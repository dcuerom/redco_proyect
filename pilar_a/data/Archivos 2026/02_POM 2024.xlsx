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defaultThemeVersion="166925"/>
  <mc:AlternateContent xmlns:mc="http://schemas.openxmlformats.org/markup-compatibility/2006">
    <mc:Choice Requires="x15">
      <x15ac:absPath xmlns:x15ac="http://schemas.microsoft.com/office/spreadsheetml/2010/11/ac" url="/Users/dacm/udd/redco_proyect/pilar_a/data/Archivos 2026/"/>
    </mc:Choice>
  </mc:AlternateContent>
  <xr:revisionPtr revIDLastSave="0" documentId="13_ncr:1_{D640BAD9-90CC-D143-81EF-92066E41F18F}" xr6:coauthVersionLast="47" xr6:coauthVersionMax="47" xr10:uidLastSave="{00000000-0000-0000-0000-000000000000}"/>
  <bookViews>
    <workbookView xWindow="3280" yWindow="2400" windowWidth="23260" windowHeight="12460" activeTab="5" xr2:uid="{00000000-000D-0000-FFFF-FFFF00000000}"/>
  </bookViews>
  <sheets>
    <sheet name="Formato reporte EDP_2024" sheetId="28" state="hidden" r:id="rId1"/>
    <sheet name="Curva S" sheetId="22" state="hidden" r:id="rId2"/>
    <sheet name="Formato Backlog_Sept25" sheetId="42" state="hidden" r:id="rId3"/>
    <sheet name="POM 2024" sheetId="21" state="hidden" r:id="rId4"/>
    <sheet name="POM 2025__old" sheetId="29" state="hidden" r:id="rId5"/>
    <sheet name="POM 2025" sheetId="45" r:id="rId6"/>
    <sheet name="EDP ene-26" sheetId="46" r:id="rId7"/>
    <sheet name="Comparación ene-26" sheetId="47" r:id="rId8"/>
    <sheet name="260209__Información ER" sheetId="48" r:id="rId9"/>
    <sheet name="Proyectos Vigentes_2025" sheetId="37" state="hidden" r:id="rId10"/>
  </sheets>
  <externalReferences>
    <externalReference r:id="rId11"/>
    <externalReference r:id="rId12"/>
    <externalReference r:id="rId13"/>
    <externalReference r:id="rId14"/>
    <externalReference r:id="rId15"/>
  </externalReferences>
  <definedNames>
    <definedName name="_xlnm._FilterDatabase" localSheetId="1" hidden="1">'Curva S'!$A$1:$S$1</definedName>
    <definedName name="_xlnm._FilterDatabase" localSheetId="6" hidden="1">'EDP ene-26'!$A$3:$T$21</definedName>
    <definedName name="_xlnm._FilterDatabase" localSheetId="2" hidden="1">'Formato Backlog_Sept25'!$A$3:$L$24</definedName>
    <definedName name="_xlnm._FilterDatabase" localSheetId="0" hidden="1">'Formato reporte EDP_2024'!$B$20:$T$48</definedName>
    <definedName name="_xlnm._FilterDatabase" localSheetId="3" hidden="1">'POM 2024'!$A$2:$BI$99</definedName>
    <definedName name="_xlnm._FilterDatabase" localSheetId="5" hidden="1">'POM 2025'!$A$15:$CG$121</definedName>
    <definedName name="_xlnm._FilterDatabase" localSheetId="4" hidden="1">'POM 2025__old'!$A$2:$AP$81</definedName>
    <definedName name="_xlnm._FilterDatabase" localSheetId="9" hidden="1">'Proyectos Vigentes_2025'!$A$7:$R$42</definedName>
    <definedName name="_xlnm.Print_Area" localSheetId="6">'EDP ene-26'!$A$2:$Q$40</definedName>
    <definedName name="_xlnm.Print_Area" localSheetId="0">'Formato reporte EDP_2024'!$C$3:$P$82</definedName>
  </definedNames>
  <calcPr calcId="191029"/>
  <pivotCaches>
    <pivotCache cacheId="87"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1" i="45" l="1"/>
  <c r="J120" i="45"/>
  <c r="J119" i="45"/>
  <c r="J118" i="45"/>
  <c r="J117" i="45"/>
  <c r="J116" i="45"/>
  <c r="J115" i="45"/>
  <c r="J114" i="45"/>
  <c r="J113" i="45"/>
  <c r="J112" i="45"/>
  <c r="J111" i="45"/>
  <c r="J110" i="45"/>
  <c r="J109" i="45"/>
  <c r="J108" i="45"/>
  <c r="J106" i="45"/>
  <c r="J105" i="45"/>
  <c r="J104" i="45"/>
  <c r="J103" i="45"/>
  <c r="J102" i="45"/>
  <c r="J101" i="45"/>
  <c r="J100" i="45"/>
  <c r="J99" i="45"/>
  <c r="J98" i="45"/>
  <c r="J97" i="45"/>
  <c r="J96" i="45"/>
  <c r="J95" i="45"/>
  <c r="J93" i="45"/>
  <c r="J91" i="45"/>
  <c r="J89" i="45"/>
  <c r="J88" i="45"/>
  <c r="J87" i="45"/>
  <c r="J86" i="45"/>
  <c r="J84" i="45"/>
  <c r="J82" i="45"/>
  <c r="J81" i="45"/>
  <c r="J80" i="45"/>
  <c r="J78" i="45"/>
  <c r="J75" i="45"/>
  <c r="J74" i="45"/>
  <c r="J73" i="45"/>
  <c r="J72" i="45"/>
  <c r="J71" i="45"/>
  <c r="J70" i="45"/>
  <c r="J69" i="45"/>
  <c r="J67" i="45"/>
  <c r="J66" i="45"/>
  <c r="J65" i="45"/>
  <c r="J64" i="45"/>
  <c r="J63" i="45"/>
  <c r="J62" i="45"/>
  <c r="J61" i="45"/>
  <c r="J60" i="45"/>
  <c r="J59" i="45"/>
  <c r="J58" i="45"/>
  <c r="J57" i="45"/>
  <c r="J56" i="45"/>
  <c r="J55" i="45"/>
  <c r="J54" i="45"/>
  <c r="J53" i="45"/>
  <c r="J52" i="45"/>
  <c r="J51" i="45"/>
  <c r="J50" i="45"/>
  <c r="J49" i="45"/>
  <c r="J48" i="45"/>
  <c r="J47" i="45"/>
  <c r="J46" i="45"/>
  <c r="J45" i="45"/>
  <c r="J43" i="45"/>
  <c r="J42" i="45"/>
  <c r="J41" i="45"/>
  <c r="J40" i="45"/>
  <c r="J38" i="45"/>
  <c r="J36" i="45"/>
  <c r="J35" i="45"/>
  <c r="J34" i="45"/>
  <c r="J33" i="45"/>
  <c r="J32" i="45"/>
  <c r="J31" i="45"/>
  <c r="J30" i="45"/>
  <c r="J29" i="45"/>
  <c r="J28" i="45"/>
  <c r="J27" i="45"/>
  <c r="J26" i="45"/>
  <c r="J25" i="45"/>
  <c r="J24" i="45"/>
  <c r="J23" i="45"/>
  <c r="J22" i="45"/>
  <c r="J21" i="45"/>
  <c r="J20" i="45"/>
  <c r="J18" i="45"/>
  <c r="J17" i="45"/>
  <c r="J16" i="45"/>
  <c r="CC119" i="45" l="1"/>
  <c r="CD119" i="45"/>
  <c r="CE119" i="45"/>
  <c r="CF119" i="45"/>
  <c r="CC120" i="45"/>
  <c r="CD120" i="45"/>
  <c r="CE120" i="45"/>
  <c r="CF120" i="45"/>
  <c r="CC121" i="45"/>
  <c r="CD121" i="45"/>
  <c r="CE121" i="45"/>
  <c r="CF121" i="45"/>
  <c r="CG17" i="45"/>
  <c r="CG18" i="45"/>
  <c r="CG19" i="45"/>
  <c r="CG20" i="45"/>
  <c r="CG21" i="45"/>
  <c r="CG22" i="45"/>
  <c r="CG23" i="45"/>
  <c r="CG24" i="45"/>
  <c r="CG25" i="45"/>
  <c r="CG26" i="45"/>
  <c r="CG27" i="45"/>
  <c r="CG28" i="45"/>
  <c r="CG29" i="45"/>
  <c r="CG30" i="45"/>
  <c r="CG31" i="45"/>
  <c r="CG32" i="45"/>
  <c r="CG33" i="45"/>
  <c r="CG34" i="45"/>
  <c r="CG35" i="45"/>
  <c r="CG36" i="45"/>
  <c r="CG37" i="45"/>
  <c r="CG38" i="45"/>
  <c r="CG39" i="45"/>
  <c r="CG40" i="45"/>
  <c r="CG41" i="45"/>
  <c r="CG42" i="45"/>
  <c r="CG43" i="45"/>
  <c r="CG44" i="45"/>
  <c r="CG45" i="45"/>
  <c r="CG46" i="45"/>
  <c r="CG47" i="45"/>
  <c r="CG48" i="45"/>
  <c r="CG49" i="45"/>
  <c r="CG50" i="45"/>
  <c r="CG51" i="45"/>
  <c r="CG52" i="45"/>
  <c r="CG53" i="45"/>
  <c r="CG54" i="45"/>
  <c r="CG55" i="45"/>
  <c r="CG56" i="45"/>
  <c r="CG57" i="45"/>
  <c r="CG58" i="45"/>
  <c r="CG59" i="45"/>
  <c r="CG60" i="45"/>
  <c r="CG61" i="45"/>
  <c r="CG62" i="45"/>
  <c r="CG63" i="45"/>
  <c r="CG64" i="45"/>
  <c r="CG65" i="45"/>
  <c r="CG66" i="45"/>
  <c r="CG67" i="45"/>
  <c r="CG68" i="45"/>
  <c r="CG69" i="45"/>
  <c r="CG70" i="45"/>
  <c r="CG71" i="45"/>
  <c r="CG72" i="45"/>
  <c r="CG73" i="45"/>
  <c r="CG74" i="45"/>
  <c r="CG75" i="45"/>
  <c r="CG76" i="45"/>
  <c r="CG77" i="45"/>
  <c r="CG78" i="45"/>
  <c r="CG79" i="45"/>
  <c r="CG80" i="45"/>
  <c r="CG81" i="45"/>
  <c r="CG82" i="45"/>
  <c r="CG83" i="45"/>
  <c r="CG84" i="45"/>
  <c r="CG85" i="45"/>
  <c r="CG86" i="45"/>
  <c r="CG87" i="45"/>
  <c r="CG88" i="45"/>
  <c r="CG89" i="45"/>
  <c r="CG90" i="45"/>
  <c r="CG91" i="45"/>
  <c r="CG92" i="45"/>
  <c r="CG93" i="45"/>
  <c r="CG94" i="45"/>
  <c r="CG95" i="45"/>
  <c r="CG96" i="45"/>
  <c r="CG97" i="45"/>
  <c r="CG98" i="45"/>
  <c r="CG99" i="45"/>
  <c r="CG100" i="45"/>
  <c r="CG101" i="45"/>
  <c r="CG102" i="45"/>
  <c r="CG103" i="45"/>
  <c r="CG104" i="45"/>
  <c r="CG105" i="45"/>
  <c r="CG106" i="45"/>
  <c r="CG108" i="45"/>
  <c r="CG109" i="45"/>
  <c r="CG110" i="45"/>
  <c r="CG111" i="45"/>
  <c r="CG112" i="45"/>
  <c r="CG113" i="45"/>
  <c r="CG114" i="45"/>
  <c r="CG115" i="45"/>
  <c r="CG116" i="45"/>
  <c r="CG117" i="45"/>
  <c r="CG118" i="45"/>
  <c r="CG119" i="45"/>
  <c r="CG120" i="45"/>
  <c r="CG121" i="45"/>
  <c r="CG16" i="45"/>
  <c r="CA121" i="45" l="1"/>
  <c r="CA120" i="45"/>
  <c r="CA119" i="45"/>
  <c r="CA118" i="45"/>
  <c r="CA117" i="45"/>
  <c r="CA116" i="45"/>
  <c r="CA115" i="45"/>
  <c r="CA114" i="45"/>
  <c r="CA113" i="45"/>
  <c r="CA112" i="45"/>
  <c r="CA111" i="45"/>
  <c r="CA110" i="45"/>
  <c r="CA109" i="45"/>
  <c r="CA108" i="45"/>
  <c r="CA106" i="45"/>
  <c r="CA105" i="45"/>
  <c r="CA104" i="45"/>
  <c r="CA103" i="45"/>
  <c r="CA102" i="45"/>
  <c r="CA101" i="45"/>
  <c r="CA100" i="45"/>
  <c r="CA99" i="45"/>
  <c r="CA98" i="45"/>
  <c r="CA97" i="45"/>
  <c r="CA96" i="45"/>
  <c r="CA95" i="45"/>
  <c r="CA93" i="45"/>
  <c r="CA92" i="45"/>
  <c r="CA91" i="45"/>
  <c r="CA89" i="45"/>
  <c r="CA88" i="45"/>
  <c r="CA87" i="45"/>
  <c r="CA86" i="45"/>
  <c r="CA84" i="45"/>
  <c r="CA82" i="45"/>
  <c r="CA81" i="45"/>
  <c r="CA80" i="45"/>
  <c r="CA78" i="45"/>
  <c r="CA77" i="45"/>
  <c r="CA75" i="45"/>
  <c r="CA74" i="45"/>
  <c r="CA73" i="45"/>
  <c r="CA72" i="45"/>
  <c r="CA71" i="45"/>
  <c r="CA70" i="45"/>
  <c r="CA69" i="45"/>
  <c r="CA68" i="45"/>
  <c r="CA67" i="45"/>
  <c r="CA66" i="45"/>
  <c r="CA65" i="45"/>
  <c r="CA64" i="45"/>
  <c r="CA63" i="45"/>
  <c r="CA62" i="45"/>
  <c r="CA61" i="45"/>
  <c r="CA60" i="45"/>
  <c r="CA59" i="45"/>
  <c r="CA58" i="45"/>
  <c r="CA57" i="45"/>
  <c r="CA56" i="45"/>
  <c r="CA55" i="45"/>
  <c r="CA54" i="45"/>
  <c r="CA53" i="45"/>
  <c r="CA52" i="45"/>
  <c r="CA51" i="45"/>
  <c r="CA50" i="45"/>
  <c r="CA49" i="45"/>
  <c r="CA48" i="45"/>
  <c r="CA47" i="45"/>
  <c r="CA46" i="45"/>
  <c r="CA45" i="45"/>
  <c r="CA44" i="45"/>
  <c r="CA43" i="45"/>
  <c r="CA42" i="45"/>
  <c r="CA41" i="45"/>
  <c r="CA40" i="45"/>
  <c r="CA39" i="45"/>
  <c r="CA38" i="45"/>
  <c r="CA37" i="45"/>
  <c r="CA36" i="45"/>
  <c r="CA35" i="45"/>
  <c r="CA34" i="45"/>
  <c r="CA33" i="45"/>
  <c r="CA32" i="45"/>
  <c r="CA31" i="45"/>
  <c r="CA30" i="45"/>
  <c r="CA29" i="45"/>
  <c r="CA28" i="45"/>
  <c r="CA27" i="45"/>
  <c r="CA26" i="45"/>
  <c r="CA25" i="45"/>
  <c r="CA24" i="45"/>
  <c r="CA23" i="45"/>
  <c r="CA22" i="45"/>
  <c r="CA21" i="45"/>
  <c r="CA20" i="45"/>
  <c r="CA19" i="45"/>
  <c r="CA18" i="45"/>
  <c r="CA17" i="45"/>
  <c r="BI107" i="45" l="1"/>
  <c r="CG107" i="45" l="1"/>
  <c r="BD11" i="45"/>
  <c r="BE11" i="45"/>
  <c r="BI11" i="45"/>
  <c r="BZ121" i="45"/>
  <c r="I121" i="45"/>
  <c r="BZ120" i="45"/>
  <c r="I120" i="45"/>
  <c r="L121" i="45" l="1"/>
  <c r="K121" i="45"/>
  <c r="K120" i="45"/>
  <c r="L120" i="45"/>
  <c r="M121" i="45" l="1"/>
  <c r="M120" i="45"/>
  <c r="BH11" i="45" l="1"/>
  <c r="BZ119" i="45" l="1"/>
  <c r="I119" i="45"/>
  <c r="L119" i="45" l="1"/>
  <c r="K119" i="45"/>
  <c r="M119" i="45" l="1"/>
  <c r="BZ118" i="45"/>
  <c r="CC118" i="45"/>
  <c r="CD118" i="45"/>
  <c r="CE118" i="45"/>
  <c r="CF118" i="45"/>
  <c r="I118" i="45"/>
  <c r="BZ113" i="45"/>
  <c r="CC113" i="45"/>
  <c r="CD113" i="45"/>
  <c r="CE113" i="45"/>
  <c r="CF114" i="45"/>
  <c r="BZ114" i="45"/>
  <c r="CC114" i="45"/>
  <c r="CD114" i="45"/>
  <c r="CE114" i="45"/>
  <c r="CF115" i="45"/>
  <c r="BZ115" i="45"/>
  <c r="CC115" i="45"/>
  <c r="CD115" i="45"/>
  <c r="CE115" i="45"/>
  <c r="BZ116" i="45"/>
  <c r="CC116" i="45"/>
  <c r="CD116" i="45"/>
  <c r="CE116" i="45"/>
  <c r="BZ117" i="45"/>
  <c r="CC117" i="45"/>
  <c r="CD117" i="45"/>
  <c r="CE117" i="45"/>
  <c r="I113" i="45"/>
  <c r="I114" i="45"/>
  <c r="I115" i="45"/>
  <c r="I117" i="45"/>
  <c r="K117" i="45" l="1"/>
  <c r="K118" i="45"/>
  <c r="L118" i="45"/>
  <c r="CF116" i="45"/>
  <c r="L114" i="45"/>
  <c r="L113" i="45"/>
  <c r="CF117" i="45"/>
  <c r="CF113" i="45"/>
  <c r="L115" i="45"/>
  <c r="K115" i="45"/>
  <c r="K114" i="45"/>
  <c r="K113" i="45"/>
  <c r="L117" i="45"/>
  <c r="M113" i="45" l="1"/>
  <c r="M114" i="45"/>
  <c r="M118" i="45"/>
  <c r="M117" i="45"/>
  <c r="M115" i="45"/>
  <c r="BF76" i="45" l="1"/>
  <c r="J76" i="45" s="1"/>
  <c r="BF85" i="45"/>
  <c r="J85" i="45" s="1"/>
  <c r="CA85" i="45" l="1"/>
  <c r="CA76" i="45"/>
  <c r="BF79" i="45"/>
  <c r="J79" i="45" s="1"/>
  <c r="CA79" i="45" l="1"/>
  <c r="BZ111" i="45"/>
  <c r="BZ112" i="45"/>
  <c r="CC111" i="45"/>
  <c r="CD111" i="45"/>
  <c r="CE111" i="45"/>
  <c r="CC112" i="45"/>
  <c r="CD112" i="45"/>
  <c r="CE112" i="45"/>
  <c r="CF111" i="45" l="1"/>
  <c r="CF112" i="45"/>
  <c r="BF107" i="45" l="1"/>
  <c r="J107" i="45" s="1"/>
  <c r="CA107" i="45" l="1"/>
  <c r="BF11" i="45"/>
  <c r="I111" i="45"/>
  <c r="I112" i="45"/>
  <c r="K112" i="45" l="1"/>
  <c r="L111" i="45"/>
  <c r="K111" i="45"/>
  <c r="M112" i="45" l="1"/>
  <c r="M111" i="45"/>
  <c r="BZ109" i="45" l="1"/>
  <c r="BZ110" i="45"/>
  <c r="CC110" i="45"/>
  <c r="CD110" i="45"/>
  <c r="CE110" i="45"/>
  <c r="CC109" i="45"/>
  <c r="CD109" i="45"/>
  <c r="CE109" i="45"/>
  <c r="I110" i="45"/>
  <c r="L110" i="45" l="1"/>
  <c r="K110" i="45"/>
  <c r="M110" i="45" l="1"/>
  <c r="I109" i="45"/>
  <c r="K109" i="45" l="1"/>
  <c r="L109" i="45"/>
  <c r="M109" i="45" l="1"/>
  <c r="BZ103" i="45" l="1"/>
  <c r="BZ104" i="45"/>
  <c r="BZ105" i="45"/>
  <c r="BZ106" i="45"/>
  <c r="BZ107" i="45"/>
  <c r="BZ108" i="45"/>
  <c r="CC105" i="45" l="1"/>
  <c r="CD105" i="45"/>
  <c r="CE105" i="45"/>
  <c r="CC106" i="45"/>
  <c r="CD106" i="45"/>
  <c r="CE106" i="45"/>
  <c r="CC107" i="45"/>
  <c r="CD107" i="45"/>
  <c r="CE107" i="45"/>
  <c r="CC108" i="45"/>
  <c r="CD108" i="45"/>
  <c r="CE108" i="45"/>
  <c r="I105" i="45" l="1"/>
  <c r="I106" i="45"/>
  <c r="I107" i="45"/>
  <c r="I108" i="45"/>
  <c r="K108" i="45" l="1"/>
  <c r="L107" i="45"/>
  <c r="K105" i="45"/>
  <c r="K106" i="45"/>
  <c r="L108" i="45"/>
  <c r="K107" i="45"/>
  <c r="L105" i="45"/>
  <c r="M107" i="45" l="1"/>
  <c r="M108" i="45"/>
  <c r="M106" i="45"/>
  <c r="M105" i="45"/>
  <c r="CC104" i="45" l="1"/>
  <c r="CD104" i="45"/>
  <c r="CE104" i="45"/>
  <c r="I104" i="45"/>
  <c r="K104" i="45" l="1"/>
  <c r="M104" i="45" l="1"/>
  <c r="CC103" i="45"/>
  <c r="CD103" i="45"/>
  <c r="CE103" i="45"/>
  <c r="I103" i="45" l="1"/>
  <c r="K103" i="45" l="1"/>
  <c r="M103" i="45" l="1"/>
  <c r="BC94" i="45"/>
  <c r="J94" i="45" l="1"/>
  <c r="CA94" i="45"/>
  <c r="BC90" i="45"/>
  <c r="J90" i="45" l="1"/>
  <c r="CA90" i="45"/>
  <c r="BC11" i="45"/>
  <c r="CD16" i="45"/>
  <c r="CD17" i="45"/>
  <c r="CD18" i="45"/>
  <c r="CD19" i="45"/>
  <c r="CD20" i="45"/>
  <c r="CD21" i="45"/>
  <c r="CD22" i="45"/>
  <c r="CD23" i="45"/>
  <c r="CD24" i="45"/>
  <c r="CD25" i="45"/>
  <c r="CD26" i="45"/>
  <c r="CD27" i="45"/>
  <c r="CD28" i="45"/>
  <c r="CD29" i="45"/>
  <c r="CD30" i="45"/>
  <c r="CD31" i="45"/>
  <c r="CD32" i="45"/>
  <c r="CD33" i="45"/>
  <c r="CD34" i="45"/>
  <c r="CD35" i="45"/>
  <c r="CD36" i="45"/>
  <c r="CD37" i="45"/>
  <c r="CD38" i="45"/>
  <c r="CD39" i="45"/>
  <c r="CD40" i="45"/>
  <c r="CD41" i="45"/>
  <c r="CD42" i="45"/>
  <c r="CD43" i="45"/>
  <c r="CD44" i="45"/>
  <c r="CD45" i="45"/>
  <c r="CD46" i="45"/>
  <c r="CD47" i="45"/>
  <c r="CD48" i="45"/>
  <c r="CD50" i="45"/>
  <c r="CD51" i="45"/>
  <c r="CD52" i="45"/>
  <c r="CD53" i="45"/>
  <c r="CD54" i="45"/>
  <c r="CD55" i="45"/>
  <c r="CD56" i="45"/>
  <c r="CD57" i="45"/>
  <c r="CD58" i="45"/>
  <c r="CD59" i="45"/>
  <c r="CD60" i="45"/>
  <c r="CD61" i="45"/>
  <c r="CD62" i="45"/>
  <c r="CD63" i="45"/>
  <c r="CD64" i="45"/>
  <c r="CD65" i="45"/>
  <c r="CD66" i="45"/>
  <c r="CD67" i="45"/>
  <c r="CD68" i="45"/>
  <c r="CD69" i="45"/>
  <c r="CD70" i="45"/>
  <c r="CD71" i="45"/>
  <c r="CD72" i="45"/>
  <c r="CD73" i="45"/>
  <c r="CD74" i="45"/>
  <c r="CD75" i="45"/>
  <c r="CD76" i="45"/>
  <c r="CD77" i="45"/>
  <c r="CD78" i="45"/>
  <c r="CD79" i="45"/>
  <c r="CD80" i="45"/>
  <c r="CD81" i="45"/>
  <c r="CD82" i="45"/>
  <c r="CD83" i="45"/>
  <c r="CD84" i="45"/>
  <c r="CD85" i="45"/>
  <c r="CD86" i="45"/>
  <c r="CD87" i="45"/>
  <c r="CD88" i="45"/>
  <c r="CD89" i="45"/>
  <c r="CD90" i="45"/>
  <c r="CD91" i="45"/>
  <c r="CD92" i="45"/>
  <c r="CD93" i="45"/>
  <c r="CD94" i="45"/>
  <c r="CD95" i="45"/>
  <c r="CD96" i="45"/>
  <c r="CD97" i="45"/>
  <c r="CD98" i="45"/>
  <c r="CD99" i="45"/>
  <c r="CD100" i="45"/>
  <c r="CD101" i="45"/>
  <c r="CD102" i="45"/>
  <c r="CD49" i="45"/>
  <c r="CC17" i="45"/>
  <c r="CC18" i="45"/>
  <c r="CC19" i="45"/>
  <c r="CC20" i="45"/>
  <c r="CC21" i="45"/>
  <c r="CC22" i="45"/>
  <c r="CC23" i="45"/>
  <c r="CC24" i="45"/>
  <c r="CC25" i="45"/>
  <c r="CC26" i="45"/>
  <c r="CC27" i="45"/>
  <c r="CC28" i="45"/>
  <c r="CC29" i="45"/>
  <c r="CC30" i="45"/>
  <c r="CC31" i="45"/>
  <c r="CC32" i="45"/>
  <c r="CC33" i="45"/>
  <c r="CC34" i="45"/>
  <c r="CC35" i="45"/>
  <c r="CC36" i="45"/>
  <c r="CC37" i="45"/>
  <c r="CC38" i="45"/>
  <c r="CC39" i="45"/>
  <c r="CC40" i="45"/>
  <c r="CC41" i="45"/>
  <c r="CC42" i="45"/>
  <c r="CC43" i="45"/>
  <c r="CC44" i="45"/>
  <c r="CC45" i="45"/>
  <c r="CC46" i="45"/>
  <c r="CC47" i="45"/>
  <c r="CC48" i="45"/>
  <c r="CC49" i="45"/>
  <c r="CC50" i="45"/>
  <c r="CC51" i="45"/>
  <c r="CC52" i="45"/>
  <c r="CC53" i="45"/>
  <c r="CC54" i="45"/>
  <c r="CC55" i="45"/>
  <c r="CC56" i="45"/>
  <c r="CC57" i="45"/>
  <c r="CC58" i="45"/>
  <c r="CC59" i="45"/>
  <c r="CC60" i="45"/>
  <c r="CC61" i="45"/>
  <c r="CC62" i="45"/>
  <c r="CC63" i="45"/>
  <c r="CC64" i="45"/>
  <c r="CC65" i="45"/>
  <c r="CC66" i="45"/>
  <c r="CC67" i="45"/>
  <c r="CC68" i="45"/>
  <c r="CC69" i="45"/>
  <c r="CC70" i="45"/>
  <c r="CC71" i="45"/>
  <c r="CC72" i="45"/>
  <c r="CC73" i="45"/>
  <c r="CC74" i="45"/>
  <c r="CC75" i="45"/>
  <c r="CC76" i="45"/>
  <c r="CC77" i="45"/>
  <c r="CC78" i="45"/>
  <c r="CC79" i="45"/>
  <c r="CC80" i="45"/>
  <c r="CC81" i="45"/>
  <c r="CC82" i="45"/>
  <c r="CC84" i="45"/>
  <c r="CC85" i="45"/>
  <c r="CC86" i="45"/>
  <c r="CC87" i="45"/>
  <c r="CC88" i="45"/>
  <c r="CC89" i="45"/>
  <c r="CC90" i="45"/>
  <c r="CC91" i="45"/>
  <c r="CC92" i="45"/>
  <c r="CC93" i="45"/>
  <c r="CC94" i="45"/>
  <c r="CC95" i="45"/>
  <c r="CC96" i="45"/>
  <c r="CC97" i="45"/>
  <c r="CC98" i="45"/>
  <c r="CC99" i="45"/>
  <c r="CC100" i="45"/>
  <c r="CC101" i="45"/>
  <c r="CC102" i="45"/>
  <c r="CC16" i="45"/>
  <c r="BB11" i="45" l="1"/>
  <c r="BZ101" i="45"/>
  <c r="BZ102" i="45"/>
  <c r="I101" i="45"/>
  <c r="I102" i="45"/>
  <c r="K102" i="45" l="1"/>
  <c r="K101" i="45"/>
  <c r="L102" i="45"/>
  <c r="L101" i="45"/>
  <c r="M102" i="45" l="1"/>
  <c r="M101" i="45"/>
  <c r="BZ97" i="45"/>
  <c r="BZ99" i="45"/>
  <c r="BZ100" i="45"/>
  <c r="AW83" i="45" l="1"/>
  <c r="BY113" i="45" l="1"/>
  <c r="N113" i="45"/>
  <c r="BY116" i="45"/>
  <c r="N116" i="45"/>
  <c r="CA83" i="45"/>
  <c r="CC83" i="45"/>
  <c r="I99" i="45"/>
  <c r="I100" i="45"/>
  <c r="P113" i="45" l="1"/>
  <c r="O113" i="45"/>
  <c r="L100" i="45"/>
  <c r="K100" i="45"/>
  <c r="K99" i="45"/>
  <c r="M99" i="45" l="1"/>
  <c r="M100" i="45"/>
  <c r="AX11" i="45"/>
  <c r="I98" i="45" l="1"/>
  <c r="BZ98" i="45"/>
  <c r="K98" i="45" l="1"/>
  <c r="M98" i="45" l="1"/>
  <c r="G30" i="48" l="1"/>
  <c r="H30" i="48"/>
  <c r="I30" i="48"/>
  <c r="L30" i="48"/>
  <c r="G29" i="48"/>
  <c r="H29" i="48"/>
  <c r="I29" i="48"/>
  <c r="L29" i="48"/>
  <c r="G28" i="48"/>
  <c r="H28" i="48"/>
  <c r="I28" i="48"/>
  <c r="L28" i="48"/>
  <c r="K30" i="48"/>
  <c r="G27" i="48"/>
  <c r="H27" i="48"/>
  <c r="I27" i="48"/>
  <c r="L27" i="48"/>
  <c r="J29" i="48"/>
  <c r="J28" i="48"/>
  <c r="J27" i="48"/>
  <c r="J23" i="48"/>
  <c r="J30" i="48"/>
  <c r="J6" i="48"/>
  <c r="L6" i="48"/>
  <c r="J7" i="48"/>
  <c r="L7" i="48"/>
  <c r="J8" i="48"/>
  <c r="L8" i="48"/>
  <c r="J9" i="48"/>
  <c r="L9" i="48"/>
  <c r="J10" i="48"/>
  <c r="L10" i="48"/>
  <c r="J11" i="48"/>
  <c r="L11" i="48"/>
  <c r="J12" i="48"/>
  <c r="L12" i="48"/>
  <c r="J13" i="48"/>
  <c r="L13" i="48"/>
  <c r="J14" i="48"/>
  <c r="K14" i="48"/>
  <c r="L14" i="48"/>
  <c r="J15" i="48"/>
  <c r="K15" i="48"/>
  <c r="L15" i="48"/>
  <c r="J16" i="48"/>
  <c r="K16" i="48"/>
  <c r="L16" i="48"/>
  <c r="J17" i="48"/>
  <c r="L17" i="48"/>
  <c r="J18" i="48"/>
  <c r="L18" i="48"/>
  <c r="J19" i="48"/>
  <c r="L19" i="48"/>
  <c r="J20" i="48"/>
  <c r="L20" i="48"/>
  <c r="J21" i="48"/>
  <c r="L21" i="48"/>
  <c r="J22" i="48"/>
  <c r="L22" i="48"/>
  <c r="L23" i="48"/>
  <c r="J24" i="48"/>
  <c r="L24" i="48"/>
  <c r="J25" i="48"/>
  <c r="L25" i="48"/>
  <c r="J26" i="48"/>
  <c r="L26" i="48"/>
  <c r="G25" i="48"/>
  <c r="H25" i="48"/>
  <c r="I25" i="48"/>
  <c r="G26" i="48"/>
  <c r="H26" i="48"/>
  <c r="I26" i="48"/>
  <c r="G23" i="48"/>
  <c r="H23" i="48"/>
  <c r="I23" i="48"/>
  <c r="G24" i="48"/>
  <c r="H24" i="48"/>
  <c r="I24" i="48"/>
  <c r="I6" i="48"/>
  <c r="I7" i="48"/>
  <c r="I8" i="48"/>
  <c r="I9" i="48"/>
  <c r="I10" i="48"/>
  <c r="I11" i="48"/>
  <c r="I12" i="48"/>
  <c r="I13" i="48"/>
  <c r="I14" i="48"/>
  <c r="I15" i="48"/>
  <c r="I16" i="48"/>
  <c r="I17" i="48"/>
  <c r="I18" i="48"/>
  <c r="I19" i="48"/>
  <c r="I20" i="48"/>
  <c r="I21" i="48"/>
  <c r="I22" i="48"/>
  <c r="H6" i="48"/>
  <c r="H7" i="48"/>
  <c r="H8" i="48"/>
  <c r="H9" i="48"/>
  <c r="H10" i="48"/>
  <c r="H11" i="48"/>
  <c r="H12" i="48"/>
  <c r="H13" i="48"/>
  <c r="H14" i="48"/>
  <c r="H15" i="48"/>
  <c r="H16" i="48"/>
  <c r="H17" i="48"/>
  <c r="H18" i="48"/>
  <c r="H19" i="48"/>
  <c r="H20" i="48"/>
  <c r="H21" i="48"/>
  <c r="H22" i="48"/>
  <c r="G7" i="48"/>
  <c r="G8" i="48"/>
  <c r="G9" i="48"/>
  <c r="G10" i="48"/>
  <c r="G11" i="48"/>
  <c r="G12" i="48"/>
  <c r="G13" i="48"/>
  <c r="G14" i="48"/>
  <c r="G15" i="48"/>
  <c r="G16" i="48"/>
  <c r="G17" i="48"/>
  <c r="G18" i="48"/>
  <c r="G19" i="48"/>
  <c r="G20" i="48"/>
  <c r="G21" i="48"/>
  <c r="G22" i="48"/>
  <c r="G6" i="48"/>
  <c r="J3" i="48" l="1"/>
  <c r="L3" i="48"/>
  <c r="H3" i="48"/>
  <c r="G3" i="48"/>
  <c r="I3" i="48"/>
  <c r="K29" i="48" l="1"/>
  <c r="K28" i="48"/>
  <c r="I95" i="45" l="1"/>
  <c r="I96" i="45"/>
  <c r="D29" i="48" l="1"/>
  <c r="D28" i="48"/>
  <c r="E29" i="48"/>
  <c r="E28" i="48"/>
  <c r="E27" i="48"/>
  <c r="L95" i="45"/>
  <c r="K95" i="45"/>
  <c r="K96" i="45"/>
  <c r="E19" i="47"/>
  <c r="E20" i="47"/>
  <c r="E21" i="47"/>
  <c r="E22" i="47"/>
  <c r="D19" i="47"/>
  <c r="D20" i="47"/>
  <c r="D21" i="47"/>
  <c r="D22" i="47"/>
  <c r="C19" i="47"/>
  <c r="C20" i="47"/>
  <c r="C21" i="47"/>
  <c r="C22" i="47"/>
  <c r="E2" i="47"/>
  <c r="E3" i="47"/>
  <c r="E4" i="47"/>
  <c r="E5" i="47"/>
  <c r="E6" i="47"/>
  <c r="E7" i="47"/>
  <c r="E8" i="47"/>
  <c r="E9" i="47"/>
  <c r="E10" i="47"/>
  <c r="E11" i="47"/>
  <c r="E12" i="47"/>
  <c r="E13" i="47"/>
  <c r="E14" i="47"/>
  <c r="E15" i="47"/>
  <c r="E16" i="47"/>
  <c r="E17" i="47"/>
  <c r="E18" i="47"/>
  <c r="D2" i="47"/>
  <c r="D3" i="47"/>
  <c r="D4" i="47"/>
  <c r="D5" i="47"/>
  <c r="D6" i="47"/>
  <c r="D7" i="47"/>
  <c r="D8" i="47"/>
  <c r="D9" i="47"/>
  <c r="D10" i="47"/>
  <c r="D11" i="47"/>
  <c r="D12" i="47"/>
  <c r="D13" i="47"/>
  <c r="D14" i="47"/>
  <c r="D15" i="47"/>
  <c r="D16" i="47"/>
  <c r="D17" i="47"/>
  <c r="D18" i="47"/>
  <c r="C3" i="47"/>
  <c r="C4" i="47"/>
  <c r="C5" i="47"/>
  <c r="C6" i="47"/>
  <c r="C7" i="47"/>
  <c r="C8" i="47"/>
  <c r="C9" i="47"/>
  <c r="C10" i="47"/>
  <c r="C11" i="47"/>
  <c r="C12" i="47"/>
  <c r="C13" i="47"/>
  <c r="C14" i="47"/>
  <c r="C15" i="47"/>
  <c r="C16" i="47"/>
  <c r="C17" i="47"/>
  <c r="C18" i="47"/>
  <c r="C2" i="47"/>
  <c r="F29" i="48" l="1"/>
  <c r="F28" i="48"/>
  <c r="M96" i="45"/>
  <c r="M95" i="45"/>
  <c r="C23" i="47"/>
  <c r="D23" i="47"/>
  <c r="E23" i="47"/>
  <c r="E6" i="48" l="1"/>
  <c r="E7" i="48"/>
  <c r="E8" i="48"/>
  <c r="E18" i="48"/>
  <c r="E9" i="48"/>
  <c r="E19" i="48"/>
  <c r="E10" i="48"/>
  <c r="E20" i="48"/>
  <c r="E15" i="48"/>
  <c r="E26" i="48"/>
  <c r="E17" i="48"/>
  <c r="E23" i="48"/>
  <c r="E25" i="48"/>
  <c r="E24" i="48"/>
  <c r="E12" i="48"/>
  <c r="E30" i="48"/>
  <c r="E13" i="48"/>
  <c r="E14" i="48"/>
  <c r="BZ77" i="45"/>
  <c r="BZ76" i="45"/>
  <c r="BZ75" i="45"/>
  <c r="BZ73" i="45"/>
  <c r="BZ72" i="45"/>
  <c r="BZ71" i="45"/>
  <c r="BZ69" i="45"/>
  <c r="BZ68" i="45"/>
  <c r="BZ67" i="45"/>
  <c r="BZ66" i="45"/>
  <c r="BZ65" i="45"/>
  <c r="BZ64" i="45"/>
  <c r="BZ63" i="45"/>
  <c r="BZ62" i="45"/>
  <c r="BZ61" i="45"/>
  <c r="BZ60" i="45"/>
  <c r="BZ59" i="45"/>
  <c r="BZ58" i="45"/>
  <c r="BZ57" i="45"/>
  <c r="BZ56" i="45"/>
  <c r="BZ55" i="45"/>
  <c r="BZ54" i="45"/>
  <c r="BZ53" i="45"/>
  <c r="BZ52" i="45"/>
  <c r="BZ51" i="45"/>
  <c r="BZ50" i="45"/>
  <c r="BZ48" i="45"/>
  <c r="BZ47" i="45"/>
  <c r="BZ46" i="45"/>
  <c r="BZ45" i="45"/>
  <c r="BZ44" i="45"/>
  <c r="BZ43" i="45"/>
  <c r="BZ42" i="45"/>
  <c r="BZ41" i="45"/>
  <c r="BZ40" i="45"/>
  <c r="BZ39" i="45"/>
  <c r="BZ38" i="45"/>
  <c r="BZ37" i="45"/>
  <c r="BZ36" i="45"/>
  <c r="BZ35" i="45"/>
  <c r="BZ34" i="45"/>
  <c r="BZ33" i="45"/>
  <c r="BZ32" i="45"/>
  <c r="BZ31" i="45"/>
  <c r="BZ30" i="45"/>
  <c r="BZ29" i="45"/>
  <c r="BZ28" i="45"/>
  <c r="BZ27" i="45"/>
  <c r="BZ26" i="45"/>
  <c r="BZ25" i="45"/>
  <c r="BZ24" i="45"/>
  <c r="BZ23" i="45"/>
  <c r="BZ22" i="45"/>
  <c r="BZ21" i="45"/>
  <c r="BZ20" i="45"/>
  <c r="BZ19" i="45"/>
  <c r="BZ18" i="45"/>
  <c r="BZ17" i="45"/>
  <c r="BZ16" i="45"/>
  <c r="F23" i="46" l="1"/>
  <c r="L45" i="46" l="1"/>
  <c r="L44" i="46"/>
  <c r="F26" i="46"/>
  <c r="D26" i="46"/>
  <c r="C26" i="46"/>
  <c r="A26" i="46"/>
  <c r="D23" i="46"/>
  <c r="C23" i="46"/>
  <c r="F20" i="46"/>
  <c r="D20" i="46"/>
  <c r="C20" i="46"/>
  <c r="F19" i="46"/>
  <c r="D19" i="46"/>
  <c r="C19" i="46"/>
  <c r="F18" i="46"/>
  <c r="D18" i="46"/>
  <c r="C18" i="46"/>
  <c r="F17" i="46"/>
  <c r="D17" i="46"/>
  <c r="C17" i="46"/>
  <c r="F16" i="46"/>
  <c r="D16" i="46"/>
  <c r="C16" i="46"/>
  <c r="F15" i="46"/>
  <c r="D15" i="46"/>
  <c r="C15" i="46"/>
  <c r="F14" i="46"/>
  <c r="D14" i="46"/>
  <c r="C14" i="46"/>
  <c r="F13" i="46"/>
  <c r="D13" i="46"/>
  <c r="C13" i="46"/>
  <c r="F12" i="46"/>
  <c r="D12" i="46"/>
  <c r="C12" i="46"/>
  <c r="F11" i="46"/>
  <c r="D11" i="46"/>
  <c r="C11" i="46"/>
  <c r="F10" i="46"/>
  <c r="D10" i="46"/>
  <c r="C10" i="46"/>
  <c r="F9" i="46"/>
  <c r="D9" i="46"/>
  <c r="C9" i="46"/>
  <c r="F8" i="46"/>
  <c r="D8" i="46"/>
  <c r="C8" i="46"/>
  <c r="F7" i="46"/>
  <c r="D7" i="46"/>
  <c r="C7" i="46"/>
  <c r="F6" i="46"/>
  <c r="D6" i="46"/>
  <c r="C6" i="46"/>
  <c r="F5" i="46"/>
  <c r="D5" i="46"/>
  <c r="C5" i="46"/>
  <c r="F4" i="46"/>
  <c r="D4" i="46"/>
  <c r="C4" i="46"/>
  <c r="AV11" i="45"/>
  <c r="BZ70" i="45" l="1"/>
  <c r="BZ95" i="45" l="1"/>
  <c r="K27" i="48"/>
  <c r="BZ94" i="45"/>
  <c r="K19" i="48"/>
  <c r="BZ90" i="45"/>
  <c r="K6" i="48"/>
  <c r="BZ78" i="45"/>
  <c r="K10" i="48"/>
  <c r="BZ82" i="45"/>
  <c r="K25" i="48"/>
  <c r="BZ85" i="45"/>
  <c r="K22" i="48"/>
  <c r="BZ93" i="45"/>
  <c r="K13" i="48"/>
  <c r="BZ86" i="45"/>
  <c r="K20" i="48"/>
  <c r="BZ91" i="45"/>
  <c r="K24" i="48"/>
  <c r="BZ80" i="45"/>
  <c r="K12" i="48"/>
  <c r="BZ84" i="45"/>
  <c r="K9" i="48"/>
  <c r="BZ81" i="45"/>
  <c r="K7" i="48"/>
  <c r="BZ79" i="45"/>
  <c r="K17" i="48"/>
  <c r="BZ88" i="45"/>
  <c r="K11" i="48"/>
  <c r="BZ83" i="45"/>
  <c r="K18" i="48"/>
  <c r="BZ89" i="45"/>
  <c r="K26" i="48"/>
  <c r="BZ87" i="45"/>
  <c r="K21" i="48" l="1"/>
  <c r="BZ92" i="45"/>
  <c r="AW11" i="45" l="1"/>
  <c r="AU11" i="45"/>
  <c r="CA16" i="45" l="1"/>
  <c r="AR93" i="45"/>
  <c r="AR92" i="45"/>
  <c r="AR91" i="45"/>
  <c r="AR90" i="45"/>
  <c r="AR89" i="45"/>
  <c r="AR88" i="45"/>
  <c r="AR77" i="45"/>
  <c r="AR87" i="45"/>
  <c r="AR76" i="45"/>
  <c r="AR75" i="45"/>
  <c r="AR86" i="45"/>
  <c r="AR85" i="45"/>
  <c r="AR84" i="45"/>
  <c r="AR83" i="45"/>
  <c r="AR82" i="45"/>
  <c r="AR81" i="45"/>
  <c r="AR80" i="45"/>
  <c r="AR74" i="45"/>
  <c r="AR79" i="45"/>
  <c r="AR78" i="45"/>
  <c r="AR73" i="45"/>
  <c r="AR72" i="45"/>
  <c r="AR71" i="45"/>
  <c r="AR70" i="45"/>
  <c r="AR69" i="45"/>
  <c r="AR68" i="45"/>
  <c r="AR67" i="45"/>
  <c r="AR66" i="45"/>
  <c r="AR65" i="45"/>
  <c r="AR64" i="45"/>
  <c r="AR63" i="45"/>
  <c r="AR62" i="45"/>
  <c r="AR61" i="45"/>
  <c r="AR60" i="45"/>
  <c r="AR59" i="45"/>
  <c r="AR58" i="45"/>
  <c r="AR57" i="45"/>
  <c r="AR55" i="45"/>
  <c r="AR54" i="45"/>
  <c r="AR52" i="45"/>
  <c r="AR49" i="45"/>
  <c r="AR47" i="45"/>
  <c r="AR46" i="45"/>
  <c r="AR45" i="45"/>
  <c r="AR43" i="45"/>
  <c r="AR41" i="45"/>
  <c r="AR40" i="45"/>
  <c r="AR38" i="45"/>
  <c r="AR36" i="45"/>
  <c r="AR35" i="45"/>
  <c r="AR33" i="45"/>
  <c r="AR32" i="45"/>
  <c r="AR31" i="45"/>
  <c r="AR28" i="45"/>
  <c r="AR27" i="45"/>
  <c r="AR26" i="45"/>
  <c r="AR22" i="45"/>
  <c r="AR18" i="45"/>
  <c r="U11" i="45"/>
  <c r="W11" i="45"/>
  <c r="X11" i="45"/>
  <c r="Z11" i="45"/>
  <c r="AB11" i="45"/>
  <c r="AC11" i="45"/>
  <c r="AD11" i="45"/>
  <c r="AF11" i="45"/>
  <c r="AG11" i="45"/>
  <c r="AH11" i="45"/>
  <c r="AI11" i="45"/>
  <c r="AJ11" i="45"/>
  <c r="AL11" i="45"/>
  <c r="AN11" i="45"/>
  <c r="AP11" i="45"/>
  <c r="T11" i="45"/>
  <c r="AS92" i="45"/>
  <c r="AS91" i="45"/>
  <c r="AS90" i="45"/>
  <c r="AS89" i="45"/>
  <c r="AS88" i="45"/>
  <c r="AS87" i="45"/>
  <c r="AS76" i="45"/>
  <c r="AS75" i="45"/>
  <c r="AS86" i="45"/>
  <c r="AS85" i="45"/>
  <c r="AS84" i="45"/>
  <c r="AS82" i="45"/>
  <c r="AS81" i="45"/>
  <c r="AS80" i="45"/>
  <c r="AS74" i="45"/>
  <c r="AS79" i="45"/>
  <c r="AS78" i="45"/>
  <c r="AS73" i="45"/>
  <c r="AS72" i="45"/>
  <c r="AS71" i="45"/>
  <c r="AS70" i="45"/>
  <c r="AS69" i="45"/>
  <c r="AS67" i="45"/>
  <c r="AS66" i="45"/>
  <c r="AS65" i="45"/>
  <c r="AS64" i="45"/>
  <c r="AS63" i="45"/>
  <c r="AS62" i="45"/>
  <c r="AS61" i="45"/>
  <c r="AS60" i="45"/>
  <c r="AS59" i="45"/>
  <c r="AS58" i="45"/>
  <c r="AS57" i="45"/>
  <c r="AS56" i="45"/>
  <c r="AS55" i="45"/>
  <c r="AS54" i="45"/>
  <c r="AS53" i="45"/>
  <c r="AS52" i="45"/>
  <c r="AS51" i="45"/>
  <c r="AS50" i="45"/>
  <c r="AS49" i="45"/>
  <c r="AS48" i="45"/>
  <c r="AS47" i="45"/>
  <c r="AS46" i="45"/>
  <c r="AS45" i="45"/>
  <c r="AS43" i="45"/>
  <c r="AS42" i="45"/>
  <c r="AS41" i="45"/>
  <c r="AS40" i="45"/>
  <c r="AS38" i="45"/>
  <c r="AS36" i="45"/>
  <c r="AS35" i="45"/>
  <c r="AS34" i="45"/>
  <c r="AS33" i="45"/>
  <c r="AS32" i="45"/>
  <c r="AS31" i="45"/>
  <c r="AS30" i="45"/>
  <c r="AS29" i="45"/>
  <c r="AS28" i="45"/>
  <c r="AS27" i="45"/>
  <c r="AS26" i="45"/>
  <c r="AS25" i="45"/>
  <c r="AS24" i="45"/>
  <c r="AS23" i="45"/>
  <c r="AS22" i="45"/>
  <c r="AS21" i="45"/>
  <c r="AS20" i="45"/>
  <c r="AS18" i="45"/>
  <c r="AS17" i="45"/>
  <c r="AS16" i="45"/>
  <c r="I93" i="45"/>
  <c r="Q92" i="45"/>
  <c r="I92" i="45"/>
  <c r="I91" i="45"/>
  <c r="I90" i="45"/>
  <c r="I89" i="45"/>
  <c r="I88" i="45"/>
  <c r="AO77" i="45"/>
  <c r="AM77" i="45"/>
  <c r="AM11" i="45" s="1"/>
  <c r="AK77" i="45"/>
  <c r="I77" i="45"/>
  <c r="I87" i="45"/>
  <c r="I86" i="45"/>
  <c r="AO83" i="45"/>
  <c r="J83" i="45" s="1"/>
  <c r="I82" i="45"/>
  <c r="I81" i="45"/>
  <c r="I80" i="45"/>
  <c r="I78" i="45"/>
  <c r="I71" i="45"/>
  <c r="I70" i="45"/>
  <c r="I69" i="45"/>
  <c r="AQ68" i="45"/>
  <c r="I68" i="45"/>
  <c r="I67" i="45"/>
  <c r="M67" i="45" s="1"/>
  <c r="I66" i="45"/>
  <c r="I65" i="45"/>
  <c r="I64" i="45"/>
  <c r="I63" i="45"/>
  <c r="I62" i="45"/>
  <c r="I61" i="45"/>
  <c r="I60" i="45"/>
  <c r="I59" i="45"/>
  <c r="I57" i="45"/>
  <c r="V56" i="45"/>
  <c r="AR56" i="45" s="1"/>
  <c r="I56" i="45"/>
  <c r="I55" i="45"/>
  <c r="I54" i="45"/>
  <c r="V53" i="45"/>
  <c r="AR53" i="45" s="1"/>
  <c r="I53" i="45"/>
  <c r="I52" i="45"/>
  <c r="V51" i="45"/>
  <c r="AR51" i="45" s="1"/>
  <c r="I51" i="45"/>
  <c r="V50" i="45"/>
  <c r="AR50" i="45" s="1"/>
  <c r="I50" i="45"/>
  <c r="R50" i="45" s="1"/>
  <c r="V48" i="45"/>
  <c r="AR48" i="45" s="1"/>
  <c r="I48" i="45"/>
  <c r="R48" i="45" s="1"/>
  <c r="I47" i="45"/>
  <c r="I46" i="45"/>
  <c r="I45" i="45"/>
  <c r="R45" i="45" s="1"/>
  <c r="AE44" i="45"/>
  <c r="V44" i="45"/>
  <c r="AR44" i="45" s="1"/>
  <c r="I43" i="45"/>
  <c r="V42" i="45"/>
  <c r="AR42" i="45" s="1"/>
  <c r="R41" i="45"/>
  <c r="M41" i="45"/>
  <c r="I40" i="45"/>
  <c r="Y39" i="45"/>
  <c r="V39" i="45"/>
  <c r="AR39" i="45" s="1"/>
  <c r="I39" i="45"/>
  <c r="I38" i="45"/>
  <c r="Y37" i="45"/>
  <c r="V37" i="45"/>
  <c r="AR37" i="45" s="1"/>
  <c r="I37" i="45"/>
  <c r="I36" i="45"/>
  <c r="I35" i="45"/>
  <c r="V34" i="45"/>
  <c r="AR34" i="45" s="1"/>
  <c r="I34" i="45"/>
  <c r="I33" i="45"/>
  <c r="I31" i="45"/>
  <c r="V30" i="45"/>
  <c r="AR30" i="45" s="1"/>
  <c r="I30" i="45"/>
  <c r="V29" i="45"/>
  <c r="AR29" i="45" s="1"/>
  <c r="I29" i="45"/>
  <c r="I28" i="45"/>
  <c r="I27" i="45"/>
  <c r="R27" i="45" s="1"/>
  <c r="I26" i="45"/>
  <c r="R26" i="45" s="1"/>
  <c r="V25" i="45"/>
  <c r="AR25" i="45" s="1"/>
  <c r="I25" i="45"/>
  <c r="V24" i="45"/>
  <c r="AR24" i="45" s="1"/>
  <c r="V23" i="45"/>
  <c r="AR23" i="45" s="1"/>
  <c r="I22" i="45"/>
  <c r="V21" i="45"/>
  <c r="AR21" i="45" s="1"/>
  <c r="V20" i="45"/>
  <c r="AR20" i="45" s="1"/>
  <c r="I20" i="45"/>
  <c r="AA19" i="45"/>
  <c r="V19" i="45"/>
  <c r="AR19" i="45" s="1"/>
  <c r="I19" i="45"/>
  <c r="I18" i="45"/>
  <c r="V17" i="45"/>
  <c r="AR17" i="45" s="1"/>
  <c r="V16" i="45"/>
  <c r="AR16" i="45" s="1"/>
  <c r="I16" i="45"/>
  <c r="J77" i="45" l="1"/>
  <c r="J37" i="45"/>
  <c r="J68" i="45"/>
  <c r="J39" i="45"/>
  <c r="J44" i="45"/>
  <c r="J92" i="45"/>
  <c r="J19" i="45"/>
  <c r="M16" i="45"/>
  <c r="M18" i="45"/>
  <c r="R19" i="45"/>
  <c r="R20" i="45"/>
  <c r="M22" i="45"/>
  <c r="R25" i="45"/>
  <c r="R28" i="45"/>
  <c r="R29" i="45"/>
  <c r="R30" i="45"/>
  <c r="M31" i="45"/>
  <c r="M33" i="45"/>
  <c r="M34" i="45"/>
  <c r="M35" i="45"/>
  <c r="M36" i="45"/>
  <c r="R37" i="45"/>
  <c r="R39" i="45"/>
  <c r="M40" i="45"/>
  <c r="M43" i="45"/>
  <c r="M46" i="45"/>
  <c r="M47" i="45"/>
  <c r="R51" i="45"/>
  <c r="M52" i="45"/>
  <c r="R53" i="45"/>
  <c r="M54" i="45"/>
  <c r="M55" i="45"/>
  <c r="M56" i="45"/>
  <c r="M57" i="45"/>
  <c r="M59" i="45"/>
  <c r="M60" i="45"/>
  <c r="M61" i="45"/>
  <c r="R62" i="45"/>
  <c r="M63" i="45"/>
  <c r="M64" i="45"/>
  <c r="M65" i="45"/>
  <c r="M66" i="45"/>
  <c r="M68" i="45"/>
  <c r="M69" i="45"/>
  <c r="M71" i="45"/>
  <c r="D16" i="48"/>
  <c r="E11" i="48"/>
  <c r="AQ11" i="45"/>
  <c r="AK11" i="45"/>
  <c r="AE11" i="45"/>
  <c r="E22" i="48"/>
  <c r="AS37" i="45"/>
  <c r="D30" i="48"/>
  <c r="F30" i="48" s="1"/>
  <c r="D6" i="48"/>
  <c r="F6" i="48" s="1"/>
  <c r="D24" i="48"/>
  <c r="F24" i="48" s="1"/>
  <c r="D9" i="48"/>
  <c r="F9" i="48" s="1"/>
  <c r="D10" i="48"/>
  <c r="F10" i="48" s="1"/>
  <c r="D13" i="48"/>
  <c r="F13" i="48" s="1"/>
  <c r="D26" i="48"/>
  <c r="F26" i="48" s="1"/>
  <c r="D17" i="48"/>
  <c r="F17" i="48" s="1"/>
  <c r="D18" i="48"/>
  <c r="F18" i="48" s="1"/>
  <c r="D19" i="48"/>
  <c r="F19" i="48" s="1"/>
  <c r="D20" i="48"/>
  <c r="F20" i="48" s="1"/>
  <c r="D21" i="48"/>
  <c r="D22" i="48"/>
  <c r="M70" i="45"/>
  <c r="AO11" i="45"/>
  <c r="V11" i="45"/>
  <c r="AR11" i="45" s="1"/>
  <c r="AA11" i="45"/>
  <c r="Y11" i="45"/>
  <c r="M53" i="45"/>
  <c r="K89" i="45"/>
  <c r="K38" i="45"/>
  <c r="AS39" i="45"/>
  <c r="AS77" i="45"/>
  <c r="AS19" i="45"/>
  <c r="AS44" i="45"/>
  <c r="AS68" i="45"/>
  <c r="AS83" i="45"/>
  <c r="AS93" i="45"/>
  <c r="K69" i="45"/>
  <c r="K51" i="45"/>
  <c r="K22" i="45"/>
  <c r="K45" i="45"/>
  <c r="M45" i="45"/>
  <c r="K63" i="45"/>
  <c r="K52" i="45"/>
  <c r="M20" i="45"/>
  <c r="R43" i="45"/>
  <c r="K60" i="45"/>
  <c r="K33" i="45"/>
  <c r="K78" i="45"/>
  <c r="K82" i="45"/>
  <c r="K88" i="45"/>
  <c r="K91" i="45"/>
  <c r="K43" i="45"/>
  <c r="K66" i="45"/>
  <c r="R56" i="45"/>
  <c r="K80" i="45"/>
  <c r="L86" i="45"/>
  <c r="R34" i="45"/>
  <c r="K55" i="45"/>
  <c r="M19" i="45"/>
  <c r="K67" i="45"/>
  <c r="K90" i="45"/>
  <c r="K50" i="45"/>
  <c r="K46" i="45"/>
  <c r="K81" i="45"/>
  <c r="K93" i="45"/>
  <c r="K64" i="45"/>
  <c r="K41" i="45"/>
  <c r="K53" i="45"/>
  <c r="K54" i="45"/>
  <c r="K59" i="45"/>
  <c r="R92" i="45"/>
  <c r="R16" i="45"/>
  <c r="K27" i="45"/>
  <c r="M28" i="45"/>
  <c r="M39" i="45"/>
  <c r="K40" i="45"/>
  <c r="M50" i="45"/>
  <c r="M51" i="45"/>
  <c r="K71" i="45"/>
  <c r="K20" i="45"/>
  <c r="K16" i="45"/>
  <c r="K18" i="45"/>
  <c r="K62" i="45"/>
  <c r="K29" i="45"/>
  <c r="K30" i="45"/>
  <c r="K31" i="45"/>
  <c r="K28" i="45"/>
  <c r="M29" i="45"/>
  <c r="M30" i="45"/>
  <c r="M25" i="45"/>
  <c r="M26" i="45"/>
  <c r="M62" i="45"/>
  <c r="K87" i="45"/>
  <c r="K26" i="45"/>
  <c r="M27" i="45"/>
  <c r="K48" i="45"/>
  <c r="K36" i="45"/>
  <c r="M38" i="45"/>
  <c r="M48" i="45"/>
  <c r="K47" i="45"/>
  <c r="K70" i="45"/>
  <c r="K25" i="45"/>
  <c r="M37" i="45"/>
  <c r="K34" i="45"/>
  <c r="K35" i="45"/>
  <c r="K56" i="45"/>
  <c r="K57" i="45"/>
  <c r="K61" i="45"/>
  <c r="K65" i="45"/>
  <c r="K86" i="45"/>
  <c r="E21" i="48" l="1"/>
  <c r="F21" i="48" s="1"/>
  <c r="K19" i="45"/>
  <c r="K39" i="45"/>
  <c r="F22" i="48"/>
  <c r="E16" i="48"/>
  <c r="F16" i="48" s="1"/>
  <c r="M86" i="45"/>
  <c r="M93" i="45"/>
  <c r="M89" i="45"/>
  <c r="M88" i="45"/>
  <c r="M91" i="45"/>
  <c r="M81" i="45"/>
  <c r="M82" i="45"/>
  <c r="M90" i="45"/>
  <c r="M87" i="45"/>
  <c r="M80" i="45"/>
  <c r="M78" i="45"/>
  <c r="M39" i="46"/>
  <c r="M38" i="46"/>
  <c r="M36" i="46"/>
  <c r="M35" i="46"/>
  <c r="M37" i="46"/>
  <c r="AS11" i="45"/>
  <c r="K68" i="45"/>
  <c r="K77" i="45"/>
  <c r="K37" i="45"/>
  <c r="K92" i="45"/>
  <c r="M77" i="45"/>
  <c r="M92" i="45" l="1"/>
  <c r="M40" i="46"/>
  <c r="Q80" i="29" l="1"/>
  <c r="Q82" i="29" l="1"/>
  <c r="AP81" i="29"/>
  <c r="J81" i="29" s="1"/>
  <c r="J80" i="29"/>
  <c r="J78" i="29" l="1"/>
  <c r="N78" i="29" s="1"/>
  <c r="J79" i="29"/>
  <c r="N79" i="29" s="1"/>
  <c r="N80" i="29"/>
  <c r="N81" i="29"/>
  <c r="I78" i="29"/>
  <c r="I79" i="29"/>
  <c r="I80" i="29"/>
  <c r="I81" i="29"/>
  <c r="AN74" i="29"/>
  <c r="AL74" i="29"/>
  <c r="AJ74" i="29"/>
  <c r="R80" i="29" l="1"/>
  <c r="K81" i="29"/>
  <c r="K79" i="29"/>
  <c r="K80" i="29"/>
  <c r="O78" i="29"/>
  <c r="L80" i="29"/>
  <c r="L81" i="29"/>
  <c r="P81" i="29"/>
  <c r="O81" i="29"/>
  <c r="L79" i="29"/>
  <c r="P80" i="29"/>
  <c r="O80" i="29"/>
  <c r="L78" i="29"/>
  <c r="O79" i="29"/>
  <c r="P79" i="29"/>
  <c r="K78" i="29"/>
  <c r="P78" i="29"/>
  <c r="J74" i="29"/>
  <c r="M81" i="29" l="1"/>
  <c r="M80" i="29"/>
  <c r="M79" i="29"/>
  <c r="M78" i="29"/>
  <c r="J56" i="29" l="1"/>
  <c r="J77" i="29"/>
  <c r="J76" i="29"/>
  <c r="J75" i="29"/>
  <c r="J58" i="29"/>
  <c r="J73" i="29"/>
  <c r="J72" i="29"/>
  <c r="J71" i="29"/>
  <c r="J70" i="29"/>
  <c r="J69" i="29"/>
  <c r="J68" i="29"/>
  <c r="J66" i="29"/>
  <c r="J65" i="29"/>
  <c r="J57" i="29"/>
  <c r="J64" i="29"/>
  <c r="J59" i="29"/>
  <c r="J63" i="29"/>
  <c r="J62" i="29"/>
  <c r="J61" i="29"/>
  <c r="J60" i="29"/>
  <c r="J54" i="29"/>
  <c r="J53" i="29"/>
  <c r="J52" i="29"/>
  <c r="J51" i="29"/>
  <c r="J50" i="29"/>
  <c r="J49" i="29"/>
  <c r="J48" i="29"/>
  <c r="J47" i="29"/>
  <c r="J46" i="29"/>
  <c r="J45" i="29"/>
  <c r="J44" i="29"/>
  <c r="J43" i="29"/>
  <c r="J42" i="29"/>
  <c r="J41" i="29"/>
  <c r="J40" i="29"/>
  <c r="J39" i="29"/>
  <c r="J38" i="29"/>
  <c r="J37" i="29"/>
  <c r="J36" i="29"/>
  <c r="J35" i="29"/>
  <c r="J34" i="29"/>
  <c r="J33" i="29"/>
  <c r="J32" i="29"/>
  <c r="J30" i="29"/>
  <c r="J29" i="29"/>
  <c r="J28" i="29"/>
  <c r="J27" i="29"/>
  <c r="J25" i="29"/>
  <c r="J23" i="29"/>
  <c r="J22" i="29"/>
  <c r="J21" i="29"/>
  <c r="J20" i="29"/>
  <c r="J19" i="29"/>
  <c r="J18" i="29"/>
  <c r="J17" i="29"/>
  <c r="J16" i="29"/>
  <c r="J15" i="29"/>
  <c r="J14" i="29"/>
  <c r="J13" i="29"/>
  <c r="J12" i="29"/>
  <c r="J11" i="29"/>
  <c r="J10" i="29"/>
  <c r="J9" i="29"/>
  <c r="J8" i="29"/>
  <c r="J7" i="29"/>
  <c r="J5" i="29"/>
  <c r="J4" i="29"/>
  <c r="J3" i="29"/>
  <c r="M28" i="29" l="1"/>
  <c r="N76" i="29"/>
  <c r="N73" i="29"/>
  <c r="N68" i="29"/>
  <c r="K28" i="29"/>
  <c r="N64" i="29"/>
  <c r="I64" i="29" l="1"/>
  <c r="I73" i="29"/>
  <c r="I76" i="29"/>
  <c r="O76" i="29" l="1"/>
  <c r="O73" i="29"/>
  <c r="O64" i="29"/>
  <c r="K76" i="29"/>
  <c r="L76" i="29"/>
  <c r="K64" i="29"/>
  <c r="L64" i="29"/>
  <c r="K73" i="29"/>
  <c r="L73" i="29"/>
  <c r="M73" i="29" l="1"/>
  <c r="M64" i="29"/>
  <c r="M76" i="29"/>
  <c r="AP55" i="29" l="1"/>
  <c r="J55" i="29" s="1"/>
  <c r="S1" i="29" l="1"/>
  <c r="T1" i="29"/>
  <c r="V1" i="29"/>
  <c r="W1" i="29"/>
  <c r="Y1" i="29"/>
  <c r="AA1" i="29"/>
  <c r="AB1" i="29"/>
  <c r="AC1" i="29"/>
  <c r="AE1" i="29"/>
  <c r="AF1" i="29"/>
  <c r="AG1" i="29"/>
  <c r="AH1" i="29"/>
  <c r="AI1" i="29"/>
  <c r="AJ1" i="29"/>
  <c r="AK1" i="29"/>
  <c r="AL1" i="29"/>
  <c r="AM1" i="29"/>
  <c r="AP1" i="29"/>
  <c r="AP82" i="29" l="1"/>
  <c r="AM82" i="29"/>
  <c r="AL82" i="29"/>
  <c r="AK82" i="29"/>
  <c r="AJ82" i="29"/>
  <c r="AI82" i="29"/>
  <c r="AH82" i="29"/>
  <c r="AG82" i="29"/>
  <c r="AF82" i="29"/>
  <c r="AE82" i="29"/>
  <c r="AC82" i="29"/>
  <c r="AB82" i="29"/>
  <c r="AA82" i="29"/>
  <c r="Y82" i="29"/>
  <c r="W82" i="29"/>
  <c r="V82" i="29"/>
  <c r="T82" i="29"/>
  <c r="S82" i="29"/>
  <c r="I75" i="29"/>
  <c r="K75" i="29" l="1"/>
  <c r="L75" i="29"/>
  <c r="M75" i="29" l="1"/>
  <c r="I77" i="29" l="1"/>
  <c r="K77" i="29" l="1"/>
  <c r="L77" i="29"/>
  <c r="M77" i="29" l="1"/>
  <c r="N108" i="45" l="1"/>
  <c r="N102" i="45"/>
  <c r="N100" i="45"/>
  <c r="AN67" i="29"/>
  <c r="J67" i="29" s="1"/>
  <c r="N121" i="45" l="1"/>
  <c r="BY121" i="45"/>
  <c r="N114" i="45"/>
  <c r="BY114" i="45"/>
  <c r="N119" i="45"/>
  <c r="BY119" i="45"/>
  <c r="N115" i="45"/>
  <c r="BY115" i="45"/>
  <c r="AN82" i="29"/>
  <c r="AN1" i="29"/>
  <c r="I65" i="29"/>
  <c r="P121" i="45" l="1"/>
  <c r="O121" i="45"/>
  <c r="P114" i="45"/>
  <c r="O114" i="45"/>
  <c r="O119" i="45"/>
  <c r="P119" i="45"/>
  <c r="P115" i="45"/>
  <c r="O115" i="45"/>
  <c r="K65" i="29"/>
  <c r="L65" i="29"/>
  <c r="N97" i="45" l="1"/>
  <c r="N109" i="45"/>
  <c r="N84" i="45"/>
  <c r="N110" i="45"/>
  <c r="N105" i="45"/>
  <c r="N85" i="45"/>
  <c r="M65" i="29"/>
  <c r="BY118" i="45" l="1"/>
  <c r="N118" i="45"/>
  <c r="BY111" i="45"/>
  <c r="N111" i="45"/>
  <c r="BY117" i="45"/>
  <c r="N117" i="45"/>
  <c r="BY120" i="45"/>
  <c r="N120" i="45"/>
  <c r="N51" i="45"/>
  <c r="N19" i="45"/>
  <c r="N46" i="45"/>
  <c r="N99" i="45"/>
  <c r="N94" i="45"/>
  <c r="N71" i="45"/>
  <c r="N77" i="45"/>
  <c r="N81" i="45"/>
  <c r="N63" i="45"/>
  <c r="N43" i="45"/>
  <c r="N96" i="45"/>
  <c r="N32" i="45"/>
  <c r="N50" i="45"/>
  <c r="N22" i="45"/>
  <c r="N61" i="45"/>
  <c r="N103" i="45"/>
  <c r="N40" i="45"/>
  <c r="N34" i="45"/>
  <c r="N87" i="45"/>
  <c r="N101" i="45"/>
  <c r="N62" i="45"/>
  <c r="N58" i="45"/>
  <c r="N59" i="45"/>
  <c r="N30" i="45"/>
  <c r="N53" i="45"/>
  <c r="N78" i="45"/>
  <c r="N80" i="45"/>
  <c r="N39" i="45"/>
  <c r="N60" i="45"/>
  <c r="N24" i="45"/>
  <c r="N38" i="45"/>
  <c r="N52" i="45"/>
  <c r="N54" i="45"/>
  <c r="N107" i="45"/>
  <c r="N64" i="45"/>
  <c r="N83" i="45"/>
  <c r="N95" i="45"/>
  <c r="N79" i="45"/>
  <c r="N93" i="45"/>
  <c r="N74" i="45"/>
  <c r="N66" i="45"/>
  <c r="N92" i="45"/>
  <c r="N67" i="45"/>
  <c r="N55" i="45"/>
  <c r="N27" i="45"/>
  <c r="N104" i="45"/>
  <c r="N56" i="45"/>
  <c r="N89" i="45"/>
  <c r="N33" i="45"/>
  <c r="N37" i="45"/>
  <c r="N41" i="45"/>
  <c r="N68" i="45"/>
  <c r="N82" i="45"/>
  <c r="N26" i="45"/>
  <c r="N29" i="45"/>
  <c r="N57" i="45"/>
  <c r="N28" i="45"/>
  <c r="N36" i="45"/>
  <c r="N75" i="45"/>
  <c r="N21" i="45"/>
  <c r="N49" i="45"/>
  <c r="N73" i="45"/>
  <c r="N65" i="45"/>
  <c r="N88" i="45"/>
  <c r="N31" i="45"/>
  <c r="N72" i="45"/>
  <c r="N48" i="45"/>
  <c r="N70" i="45"/>
  <c r="N69" i="45"/>
  <c r="N91" i="45"/>
  <c r="N44" i="45"/>
  <c r="N98" i="45"/>
  <c r="N45" i="45"/>
  <c r="N47" i="45"/>
  <c r="N106" i="45"/>
  <c r="N35" i="45"/>
  <c r="N25" i="45"/>
  <c r="N76" i="45"/>
  <c r="N86" i="45"/>
  <c r="N42" i="45"/>
  <c r="N17" i="45"/>
  <c r="I70" i="29"/>
  <c r="I57" i="29"/>
  <c r="N20" i="45" l="1"/>
  <c r="N90" i="45"/>
  <c r="N23" i="45"/>
  <c r="N18" i="45"/>
  <c r="N16" i="45"/>
  <c r="O118" i="45"/>
  <c r="P118" i="45"/>
  <c r="P111" i="45"/>
  <c r="O111" i="45"/>
  <c r="P117" i="45"/>
  <c r="O117" i="45"/>
  <c r="P120" i="45"/>
  <c r="O120" i="45"/>
  <c r="N112" i="45"/>
  <c r="BY112" i="45"/>
  <c r="K57" i="29"/>
  <c r="K70" i="29"/>
  <c r="L70" i="29"/>
  <c r="P112" i="45" l="1"/>
  <c r="O112" i="45"/>
  <c r="M57" i="29"/>
  <c r="M70" i="29"/>
  <c r="AJ84" i="29" l="1"/>
  <c r="C80" i="42" l="1"/>
  <c r="B80" i="42"/>
  <c r="D75" i="42" s="1"/>
  <c r="I6" i="42"/>
  <c r="J6" i="42" s="1"/>
  <c r="I24" i="42"/>
  <c r="J24" i="42" s="1"/>
  <c r="I12" i="42"/>
  <c r="J12" i="42" s="1"/>
  <c r="I5" i="42"/>
  <c r="J5" i="42" s="1"/>
  <c r="I20" i="42"/>
  <c r="J20" i="42" s="1"/>
  <c r="I8" i="42"/>
  <c r="J8" i="42" s="1"/>
  <c r="I15" i="42"/>
  <c r="J15" i="42" s="1"/>
  <c r="I11" i="42"/>
  <c r="J11" i="42" s="1"/>
  <c r="I22" i="42"/>
  <c r="J22" i="42" s="1"/>
  <c r="I21" i="42"/>
  <c r="J21" i="42" s="1"/>
  <c r="I14" i="42"/>
  <c r="J14" i="42" s="1"/>
  <c r="I13" i="42"/>
  <c r="J13" i="42" s="1"/>
  <c r="I23" i="42"/>
  <c r="J23" i="42" s="1"/>
  <c r="I10" i="42"/>
  <c r="J10" i="42" s="1"/>
  <c r="I17" i="42"/>
  <c r="J17" i="42" s="1"/>
  <c r="I4" i="42"/>
  <c r="L4" i="42" s="1"/>
  <c r="I19" i="42"/>
  <c r="J19" i="42" s="1"/>
  <c r="I9" i="42"/>
  <c r="J9" i="42" s="1"/>
  <c r="I16" i="42"/>
  <c r="J16" i="42" s="1"/>
  <c r="I7" i="42"/>
  <c r="J7" i="42" s="1"/>
  <c r="I18" i="42"/>
  <c r="J18" i="42" s="1"/>
  <c r="H6" i="42"/>
  <c r="H24" i="42"/>
  <c r="H12" i="42"/>
  <c r="H5" i="42"/>
  <c r="H20" i="42"/>
  <c r="H8" i="42"/>
  <c r="H15" i="42"/>
  <c r="H11" i="42"/>
  <c r="H22" i="42"/>
  <c r="H21" i="42"/>
  <c r="H14" i="42"/>
  <c r="H13" i="42"/>
  <c r="H23" i="42"/>
  <c r="H10" i="42"/>
  <c r="H17" i="42"/>
  <c r="H4" i="42"/>
  <c r="H19" i="42"/>
  <c r="H9" i="42"/>
  <c r="H16" i="42"/>
  <c r="H7" i="42"/>
  <c r="H18" i="42"/>
  <c r="C59" i="42"/>
  <c r="B59" i="42"/>
  <c r="C34" i="42"/>
  <c r="C33" i="42"/>
  <c r="C32" i="42"/>
  <c r="C31" i="42"/>
  <c r="C30" i="42"/>
  <c r="G1" i="42"/>
  <c r="F1" i="42"/>
  <c r="L5" i="42" l="1"/>
  <c r="L6" i="42" s="1"/>
  <c r="D73" i="42"/>
  <c r="D79" i="42"/>
  <c r="D74" i="42"/>
  <c r="D78" i="42"/>
  <c r="D76" i="42"/>
  <c r="D77" i="42"/>
  <c r="I1" i="42"/>
  <c r="J1" i="42" s="1"/>
  <c r="J4" i="42"/>
  <c r="H1" i="42"/>
  <c r="D52" i="42"/>
  <c r="D58" i="42"/>
  <c r="D53" i="42"/>
  <c r="D54" i="42"/>
  <c r="D55" i="42"/>
  <c r="D56" i="42"/>
  <c r="D57" i="42"/>
  <c r="L7" i="42" l="1"/>
  <c r="L8" i="42" l="1"/>
  <c r="L9" i="42" l="1"/>
  <c r="L10" i="42" l="1"/>
  <c r="L11" i="42" l="1"/>
  <c r="L12" i="42" l="1"/>
  <c r="L13" i="42" l="1"/>
  <c r="L14" i="42" l="1"/>
  <c r="L15" i="42" l="1"/>
  <c r="L16" i="42" l="1"/>
  <c r="L17" i="42" l="1"/>
  <c r="L18" i="42" l="1"/>
  <c r="L19" i="42" l="1"/>
  <c r="L20" i="42" l="1"/>
  <c r="L21" i="42" l="1"/>
  <c r="L22" i="42" l="1"/>
  <c r="L23" i="42" l="1"/>
  <c r="L24" i="42" l="1"/>
  <c r="K24" i="42" l="1"/>
  <c r="K5" i="42"/>
  <c r="K4" i="42"/>
  <c r="K6" i="42"/>
  <c r="K7" i="42"/>
  <c r="K8" i="42"/>
  <c r="K9" i="42"/>
  <c r="K10" i="42"/>
  <c r="K11" i="42"/>
  <c r="K12" i="42"/>
  <c r="K13" i="42"/>
  <c r="K14" i="42"/>
  <c r="K15" i="42"/>
  <c r="K16" i="42"/>
  <c r="K17" i="42"/>
  <c r="K18" i="42"/>
  <c r="K19" i="42"/>
  <c r="K20" i="42"/>
  <c r="K21" i="42"/>
  <c r="K22" i="42"/>
  <c r="K23" i="42"/>
  <c r="I55" i="29" l="1"/>
  <c r="I33" i="29"/>
  <c r="K33" i="29" l="1"/>
  <c r="M33" i="29"/>
  <c r="K55" i="29"/>
  <c r="M55" i="29" l="1"/>
  <c r="I42" i="29" l="1"/>
  <c r="K42" i="29" l="1"/>
  <c r="M42" i="29"/>
  <c r="I74" i="29" l="1"/>
  <c r="K74" i="29" l="1"/>
  <c r="L74" i="29"/>
  <c r="M74" i="29" l="1"/>
  <c r="Q8" i="37" l="1"/>
  <c r="Q18" i="37"/>
  <c r="Q19" i="37"/>
  <c r="Q20" i="37"/>
  <c r="Q21" i="37"/>
  <c r="Q22" i="37"/>
  <c r="Q9" i="37"/>
  <c r="Q10" i="37"/>
  <c r="Q11" i="37"/>
  <c r="Q23" i="37"/>
  <c r="Q24" i="37"/>
  <c r="Q25" i="37"/>
  <c r="Q26" i="37"/>
  <c r="Q27" i="37"/>
  <c r="Q28" i="37"/>
  <c r="Q29" i="37"/>
  <c r="Q30" i="37"/>
  <c r="Q31" i="37"/>
  <c r="Q32" i="37"/>
  <c r="Q33" i="37"/>
  <c r="Q34" i="37"/>
  <c r="Q35" i="37"/>
  <c r="Q36" i="37"/>
  <c r="Q37" i="37"/>
  <c r="Q38" i="37"/>
  <c r="Q39" i="37"/>
  <c r="Q40" i="37"/>
  <c r="Q12" i="37"/>
  <c r="Q13" i="37"/>
  <c r="Q14" i="37"/>
  <c r="Q41" i="37"/>
  <c r="Q15" i="37"/>
  <c r="Q16" i="37"/>
  <c r="Q17" i="37"/>
  <c r="Q42" i="37"/>
  <c r="M2" i="37"/>
  <c r="E3" i="37" l="1"/>
  <c r="E2" i="37"/>
  <c r="I3" i="37"/>
  <c r="I2" i="37"/>
  <c r="B5" i="37" l="1"/>
  <c r="R23" i="37" s="1"/>
  <c r="S23" i="37" s="1"/>
  <c r="I51" i="29"/>
  <c r="I56" i="29"/>
  <c r="I54" i="29"/>
  <c r="K54" i="29" l="1"/>
  <c r="M54" i="29"/>
  <c r="K51" i="29"/>
  <c r="M51" i="29"/>
  <c r="K56" i="29"/>
  <c r="R13" i="37"/>
  <c r="S13" i="37" s="1"/>
  <c r="R14" i="37"/>
  <c r="S14" i="37" s="1"/>
  <c r="R8" i="37"/>
  <c r="S8" i="37" s="1"/>
  <c r="R20" i="37"/>
  <c r="S20" i="37" s="1"/>
  <c r="R28" i="37"/>
  <c r="S28" i="37" s="1"/>
  <c r="R39" i="37"/>
  <c r="S39" i="37" s="1"/>
  <c r="R35" i="37"/>
  <c r="S35" i="37" s="1"/>
  <c r="R32" i="37"/>
  <c r="S32" i="37" s="1"/>
  <c r="R31" i="37"/>
  <c r="S31" i="37" s="1"/>
  <c r="R22" i="37"/>
  <c r="S22" i="37" s="1"/>
  <c r="R21" i="37"/>
  <c r="S21" i="37" s="1"/>
  <c r="R19" i="37"/>
  <c r="S19" i="37" s="1"/>
  <c r="R27" i="37"/>
  <c r="S27" i="37" s="1"/>
  <c r="R25" i="37"/>
  <c r="S25" i="37" s="1"/>
  <c r="R36" i="37"/>
  <c r="S36" i="37" s="1"/>
  <c r="R33" i="37"/>
  <c r="S33" i="37" s="1"/>
  <c r="R10" i="37"/>
  <c r="S10" i="37" s="1"/>
  <c r="R9" i="37"/>
  <c r="S9" i="37" s="1"/>
  <c r="R18" i="37"/>
  <c r="S18" i="37" s="1"/>
  <c r="M56" i="29" l="1"/>
  <c r="AD31" i="29"/>
  <c r="J31" i="29" s="1"/>
  <c r="AD82" i="29" l="1"/>
  <c r="AD1" i="29"/>
  <c r="AH84" i="29" l="1"/>
  <c r="I50" i="29"/>
  <c r="K50" i="29" l="1"/>
  <c r="M50" i="29"/>
  <c r="I58" i="29" l="1"/>
  <c r="I46" i="29"/>
  <c r="K58" i="29" l="1"/>
  <c r="K46" i="29"/>
  <c r="M46" i="29"/>
  <c r="M58" i="29" l="1"/>
  <c r="I34" i="29" l="1"/>
  <c r="I27" i="29"/>
  <c r="K27" i="29" l="1"/>
  <c r="M27" i="29"/>
  <c r="K34" i="29"/>
  <c r="M34" i="29"/>
  <c r="AF84" i="29" l="1"/>
  <c r="T84" i="29" l="1"/>
  <c r="I53" i="29"/>
  <c r="I66" i="29"/>
  <c r="I52" i="29"/>
  <c r="I20" i="29"/>
  <c r="I22" i="29"/>
  <c r="K66" i="29" l="1"/>
  <c r="K22" i="29"/>
  <c r="M22" i="29"/>
  <c r="K20" i="29"/>
  <c r="M20" i="29"/>
  <c r="K52" i="29"/>
  <c r="M52" i="29"/>
  <c r="K53" i="29"/>
  <c r="M53" i="29"/>
  <c r="AB84" i="29"/>
  <c r="L66" i="29"/>
  <c r="M66" i="29" l="1"/>
  <c r="I9" i="29" l="1"/>
  <c r="K9" i="29" l="1"/>
  <c r="M9" i="29"/>
  <c r="I48" i="29"/>
  <c r="K48" i="29" l="1"/>
  <c r="M48" i="29"/>
  <c r="I41" i="29" l="1"/>
  <c r="I61" i="29"/>
  <c r="K61" i="29" l="1"/>
  <c r="K41" i="29"/>
  <c r="M41" i="29"/>
  <c r="L61" i="29"/>
  <c r="M61" i="29" l="1"/>
  <c r="I5" i="29"/>
  <c r="I44" i="29"/>
  <c r="K44" i="29" l="1"/>
  <c r="M44" i="29"/>
  <c r="K5" i="29"/>
  <c r="M5" i="29"/>
  <c r="Z6" i="29"/>
  <c r="J6" i="29" s="1"/>
  <c r="Z82" i="29" l="1"/>
  <c r="Z84" i="29" s="1"/>
  <c r="Z1" i="29"/>
  <c r="X24" i="29" l="1"/>
  <c r="J24" i="29" s="1"/>
  <c r="X26" i="29" l="1"/>
  <c r="J26" i="29" s="1"/>
  <c r="J82" i="29" s="1"/>
  <c r="X1" i="29" l="1"/>
  <c r="X82" i="29"/>
  <c r="X84" i="29" s="1"/>
  <c r="I23" i="29"/>
  <c r="I15" i="29"/>
  <c r="K15" i="29" l="1"/>
  <c r="M15" i="29"/>
  <c r="K23" i="29"/>
  <c r="M23" i="29"/>
  <c r="R15" i="29"/>
  <c r="BG100" i="21" l="1"/>
  <c r="I18" i="29" l="1"/>
  <c r="I25" i="29"/>
  <c r="I39" i="29"/>
  <c r="K39" i="29" l="1"/>
  <c r="M39" i="29"/>
  <c r="K25" i="29"/>
  <c r="M25" i="29"/>
  <c r="K18" i="29"/>
  <c r="M18" i="29"/>
  <c r="I47" i="29" l="1"/>
  <c r="I12" i="29"/>
  <c r="K12" i="29" l="1"/>
  <c r="M12" i="29"/>
  <c r="K47" i="29"/>
  <c r="M47" i="29"/>
  <c r="I3" i="29"/>
  <c r="I43" i="29"/>
  <c r="K43" i="29" l="1"/>
  <c r="M43" i="29"/>
  <c r="K3" i="29"/>
  <c r="M3" i="29"/>
  <c r="R43" i="29"/>
  <c r="I7" i="29"/>
  <c r="I38" i="29"/>
  <c r="I49" i="29"/>
  <c r="I6" i="29"/>
  <c r="I16" i="29"/>
  <c r="I24" i="29"/>
  <c r="I26" i="29"/>
  <c r="I30" i="29"/>
  <c r="I40" i="29"/>
  <c r="I21" i="29"/>
  <c r="I32" i="29"/>
  <c r="I17" i="29"/>
  <c r="I37" i="29"/>
  <c r="I35" i="29"/>
  <c r="I14" i="29"/>
  <c r="I13" i="29"/>
  <c r="K16" i="29" l="1"/>
  <c r="M16" i="29"/>
  <c r="K6" i="29"/>
  <c r="M6" i="29"/>
  <c r="K49" i="29"/>
  <c r="M49" i="29"/>
  <c r="K38" i="29"/>
  <c r="M38" i="29"/>
  <c r="K7" i="29"/>
  <c r="M7" i="29"/>
  <c r="K14" i="29"/>
  <c r="M14" i="29"/>
  <c r="K32" i="29"/>
  <c r="M32" i="29"/>
  <c r="K13" i="29"/>
  <c r="M13" i="29"/>
  <c r="K35" i="29"/>
  <c r="M35" i="29"/>
  <c r="K40" i="29"/>
  <c r="M40" i="29"/>
  <c r="K37" i="29"/>
  <c r="M37" i="29"/>
  <c r="K30" i="29"/>
  <c r="M30" i="29"/>
  <c r="K26" i="29"/>
  <c r="M26" i="29"/>
  <c r="K21" i="29"/>
  <c r="M21" i="29"/>
  <c r="K24" i="29"/>
  <c r="M24" i="29"/>
  <c r="R17" i="29"/>
  <c r="R32" i="29"/>
  <c r="R21" i="29"/>
  <c r="R30" i="29"/>
  <c r="R26" i="29"/>
  <c r="R16" i="29"/>
  <c r="R38" i="29"/>
  <c r="R12" i="29"/>
  <c r="R6" i="29"/>
  <c r="R49" i="29"/>
  <c r="R13" i="29"/>
  <c r="R37" i="29"/>
  <c r="R14" i="29"/>
  <c r="R28" i="29"/>
  <c r="R40" i="29"/>
  <c r="R24" i="29"/>
  <c r="R7" i="29"/>
  <c r="R35" i="29"/>
  <c r="R3" i="29"/>
  <c r="J99" i="21"/>
  <c r="K17" i="29" l="1"/>
  <c r="M17" i="29" l="1"/>
  <c r="I97" i="21"/>
  <c r="J97" i="21"/>
  <c r="I98" i="21"/>
  <c r="J98" i="21"/>
  <c r="R98" i="21" l="1"/>
  <c r="P97" i="21"/>
  <c r="L97" i="21"/>
  <c r="M97" i="21" s="1"/>
  <c r="O97" i="21"/>
  <c r="K97" i="21"/>
  <c r="P98" i="21"/>
  <c r="L98" i="21"/>
  <c r="M98" i="21" s="1"/>
  <c r="K98" i="21"/>
  <c r="O98" i="21"/>
  <c r="R97" i="21"/>
  <c r="BI80" i="21" l="1"/>
  <c r="BK4" i="21" l="1"/>
  <c r="BK5" i="21"/>
  <c r="BK6" i="21"/>
  <c r="BK7" i="21"/>
  <c r="BK8" i="21"/>
  <c r="BK9" i="21"/>
  <c r="BK10" i="21"/>
  <c r="BK11" i="21"/>
  <c r="BK12" i="21"/>
  <c r="BK13" i="21"/>
  <c r="BK14" i="21"/>
  <c r="BK15" i="21"/>
  <c r="BK16" i="21"/>
  <c r="BK17" i="21"/>
  <c r="BK18" i="21"/>
  <c r="BK19" i="21"/>
  <c r="BK20" i="21"/>
  <c r="BK21" i="21"/>
  <c r="BK22" i="21"/>
  <c r="BK23" i="21"/>
  <c r="BK24" i="21"/>
  <c r="BK25" i="21"/>
  <c r="BK26" i="21"/>
  <c r="BK27" i="21"/>
  <c r="BK28" i="21"/>
  <c r="BK29" i="21"/>
  <c r="BK30" i="21"/>
  <c r="BK31" i="21"/>
  <c r="BK32" i="21"/>
  <c r="BK33" i="21"/>
  <c r="BK34" i="21"/>
  <c r="BK35" i="21"/>
  <c r="BK36" i="21"/>
  <c r="BK37" i="21"/>
  <c r="BK38" i="21"/>
  <c r="BK39" i="21"/>
  <c r="BK40" i="21"/>
  <c r="BK41" i="21"/>
  <c r="BK42" i="21"/>
  <c r="BK43" i="21"/>
  <c r="BK44" i="21"/>
  <c r="BK45" i="21"/>
  <c r="BK46" i="21"/>
  <c r="BK47" i="21"/>
  <c r="BK48" i="21"/>
  <c r="BK49" i="21"/>
  <c r="BK50" i="21"/>
  <c r="BK51" i="21"/>
  <c r="BK52" i="21"/>
  <c r="BK53" i="21"/>
  <c r="BK54" i="21"/>
  <c r="BK55" i="21"/>
  <c r="BK56" i="21"/>
  <c r="BK57" i="21"/>
  <c r="BK58" i="21"/>
  <c r="BK59" i="21"/>
  <c r="BK60" i="21"/>
  <c r="BK61" i="21"/>
  <c r="BK62" i="21"/>
  <c r="BK63" i="21"/>
  <c r="BK64" i="21"/>
  <c r="BK65" i="21"/>
  <c r="BK66" i="21"/>
  <c r="BK67" i="21"/>
  <c r="BK68" i="21"/>
  <c r="BK69" i="21"/>
  <c r="BK70" i="21"/>
  <c r="BK71" i="21"/>
  <c r="BK72" i="21"/>
  <c r="BK73" i="21"/>
  <c r="BK74" i="21"/>
  <c r="BK75" i="21"/>
  <c r="BK76" i="21"/>
  <c r="BK77" i="21"/>
  <c r="BK78" i="21"/>
  <c r="BK79" i="21"/>
  <c r="BK80" i="21"/>
  <c r="BK81" i="21"/>
  <c r="BK82" i="21"/>
  <c r="BK83" i="21"/>
  <c r="BK84" i="21"/>
  <c r="BK85" i="21"/>
  <c r="BK86" i="21"/>
  <c r="BK87" i="21"/>
  <c r="BK88" i="21"/>
  <c r="BK89" i="21"/>
  <c r="BK90" i="21"/>
  <c r="BK91" i="21"/>
  <c r="BK92" i="21"/>
  <c r="BK93" i="21"/>
  <c r="BK94" i="21"/>
  <c r="BK95" i="21"/>
  <c r="BK96" i="21"/>
  <c r="BK3" i="21"/>
  <c r="BL4" i="21"/>
  <c r="BL5" i="21"/>
  <c r="BL6" i="21"/>
  <c r="BL7" i="21"/>
  <c r="BL8" i="21"/>
  <c r="BL9" i="21"/>
  <c r="BL10" i="21"/>
  <c r="BL11" i="21"/>
  <c r="BL12" i="21"/>
  <c r="BL13" i="21"/>
  <c r="BL14" i="21"/>
  <c r="BL15" i="21"/>
  <c r="BL16" i="21"/>
  <c r="BL17" i="21"/>
  <c r="BL18" i="21"/>
  <c r="BL19" i="21"/>
  <c r="BL20" i="21"/>
  <c r="BL21" i="21"/>
  <c r="BL22" i="21"/>
  <c r="BL23" i="21"/>
  <c r="BL24" i="21"/>
  <c r="BL25" i="21"/>
  <c r="BL26" i="21"/>
  <c r="BL27" i="21"/>
  <c r="BL28" i="21"/>
  <c r="BL29" i="21"/>
  <c r="BL30" i="21"/>
  <c r="BL31" i="21"/>
  <c r="BL32" i="21"/>
  <c r="BL33" i="21"/>
  <c r="BL34" i="21"/>
  <c r="BL35" i="21"/>
  <c r="BL36" i="21"/>
  <c r="BL37" i="21"/>
  <c r="BL38" i="21"/>
  <c r="BL39" i="21"/>
  <c r="BL40" i="21"/>
  <c r="BL41" i="21"/>
  <c r="BL42" i="21"/>
  <c r="BL43" i="21"/>
  <c r="BL44" i="21"/>
  <c r="BL45" i="21"/>
  <c r="BL46" i="21"/>
  <c r="BL47" i="21"/>
  <c r="BL48" i="21"/>
  <c r="BL49" i="21"/>
  <c r="BL50" i="21"/>
  <c r="BL51" i="21"/>
  <c r="BL52" i="21"/>
  <c r="BL53" i="21"/>
  <c r="BL54" i="21"/>
  <c r="BL55" i="21"/>
  <c r="BL56" i="21"/>
  <c r="BL57" i="21"/>
  <c r="BL58" i="21"/>
  <c r="BL59" i="21"/>
  <c r="BL60" i="21"/>
  <c r="BL61" i="21"/>
  <c r="BL62" i="21"/>
  <c r="BL63" i="21"/>
  <c r="BL64" i="21"/>
  <c r="BL65" i="21"/>
  <c r="BL66" i="21"/>
  <c r="BL67" i="21"/>
  <c r="BL68" i="21"/>
  <c r="BL69" i="21"/>
  <c r="BL70" i="21"/>
  <c r="BL71" i="21"/>
  <c r="BL72" i="21"/>
  <c r="BL73" i="21"/>
  <c r="BL74" i="21"/>
  <c r="BL75" i="21"/>
  <c r="BL76" i="21"/>
  <c r="BL77" i="21"/>
  <c r="BL78" i="21"/>
  <c r="BL79" i="21"/>
  <c r="BL80" i="21"/>
  <c r="BL81" i="21"/>
  <c r="BL82" i="21"/>
  <c r="BL83" i="21"/>
  <c r="BL84" i="21"/>
  <c r="BL85" i="21"/>
  <c r="BL86" i="21"/>
  <c r="BL87" i="21"/>
  <c r="BL88" i="21"/>
  <c r="BL89" i="21"/>
  <c r="BL90" i="21"/>
  <c r="BL91" i="21"/>
  <c r="BL92" i="21"/>
  <c r="BL93" i="21"/>
  <c r="BL94" i="21"/>
  <c r="BL95" i="21"/>
  <c r="BL96" i="21"/>
  <c r="BL3" i="21"/>
  <c r="BF100" i="21"/>
  <c r="BE100" i="21"/>
  <c r="BL100" i="21" l="1"/>
  <c r="BK100" i="21"/>
  <c r="BM4" i="21" l="1"/>
  <c r="BM5" i="21"/>
  <c r="BM6" i="21"/>
  <c r="BM7" i="21"/>
  <c r="BM8" i="21"/>
  <c r="BM9" i="21"/>
  <c r="BM10" i="21"/>
  <c r="BM11" i="21"/>
  <c r="BM12" i="21"/>
  <c r="BM13" i="21"/>
  <c r="BM14" i="21"/>
  <c r="BM15" i="21"/>
  <c r="BM16" i="21"/>
  <c r="BM17" i="21"/>
  <c r="BM18" i="21"/>
  <c r="BM19" i="21"/>
  <c r="BM20" i="21"/>
  <c r="BM21" i="21"/>
  <c r="BM22" i="21"/>
  <c r="BM23" i="21"/>
  <c r="BM24" i="21"/>
  <c r="BM25" i="21"/>
  <c r="BM26" i="21"/>
  <c r="BM28" i="21"/>
  <c r="BM29" i="21"/>
  <c r="BM30" i="21"/>
  <c r="BM31" i="21"/>
  <c r="BM32" i="21"/>
  <c r="BM33" i="21"/>
  <c r="BM34" i="21"/>
  <c r="BM35" i="21"/>
  <c r="BM36" i="21"/>
  <c r="BM37" i="21"/>
  <c r="BM38" i="21"/>
  <c r="BM39" i="21"/>
  <c r="BM40" i="21"/>
  <c r="BM41" i="21"/>
  <c r="BM42" i="21"/>
  <c r="BM43" i="21"/>
  <c r="BM44" i="21"/>
  <c r="BM45" i="21"/>
  <c r="BM46" i="21"/>
  <c r="BM47" i="21"/>
  <c r="BM48" i="21"/>
  <c r="BM49" i="21"/>
  <c r="BM50" i="21"/>
  <c r="BM52" i="21"/>
  <c r="BM53" i="21"/>
  <c r="BM55" i="21"/>
  <c r="BM56" i="21"/>
  <c r="BM57" i="21"/>
  <c r="BM58" i="21"/>
  <c r="BM59" i="21"/>
  <c r="BM60" i="21"/>
  <c r="BM61" i="21"/>
  <c r="BM63" i="21"/>
  <c r="BM65" i="21"/>
  <c r="BM66" i="21"/>
  <c r="BM67" i="21"/>
  <c r="BM68" i="21"/>
  <c r="BM69" i="21"/>
  <c r="BM70" i="21"/>
  <c r="BM73" i="21"/>
  <c r="BM74" i="21"/>
  <c r="BM89" i="21"/>
  <c r="BM91" i="21"/>
  <c r="BM93" i="21"/>
  <c r="BM94" i="21"/>
  <c r="BM95" i="21"/>
  <c r="BM96" i="21"/>
  <c r="BM3" i="21"/>
  <c r="BD100" i="21"/>
  <c r="J4" i="21" l="1"/>
  <c r="J6" i="21"/>
  <c r="J7" i="21"/>
  <c r="J8" i="21"/>
  <c r="J9" i="21"/>
  <c r="J10" i="21"/>
  <c r="J13" i="21"/>
  <c r="J14" i="21"/>
  <c r="J15" i="21"/>
  <c r="J16" i="21"/>
  <c r="J17" i="21"/>
  <c r="J18" i="21"/>
  <c r="J19" i="21"/>
  <c r="J20" i="21"/>
  <c r="J21" i="21"/>
  <c r="J22" i="21"/>
  <c r="J23" i="21"/>
  <c r="J24" i="21"/>
  <c r="J25" i="21"/>
  <c r="J26" i="21"/>
  <c r="J27" i="21"/>
  <c r="J28" i="21"/>
  <c r="J29" i="21"/>
  <c r="J30" i="21"/>
  <c r="J31" i="21"/>
  <c r="J32" i="21"/>
  <c r="J33" i="21"/>
  <c r="J34" i="21"/>
  <c r="J35"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J64" i="21"/>
  <c r="J65" i="21"/>
  <c r="J66" i="21"/>
  <c r="J68" i="21"/>
  <c r="J69" i="21"/>
  <c r="J70" i="21"/>
  <c r="J71" i="21"/>
  <c r="J72" i="21"/>
  <c r="J73" i="21"/>
  <c r="J74" i="21"/>
  <c r="J75" i="21"/>
  <c r="J76" i="21"/>
  <c r="J77" i="21"/>
  <c r="J78" i="21"/>
  <c r="J79" i="21"/>
  <c r="J80" i="21"/>
  <c r="J81" i="21"/>
  <c r="J84" i="21"/>
  <c r="J85" i="21"/>
  <c r="J86" i="21"/>
  <c r="J87" i="21"/>
  <c r="J88" i="21"/>
  <c r="J89" i="21"/>
  <c r="J90" i="21"/>
  <c r="J91" i="21"/>
  <c r="J92" i="21"/>
  <c r="J93" i="21"/>
  <c r="J94" i="21"/>
  <c r="J95" i="21"/>
  <c r="J96" i="21"/>
  <c r="J3" i="21"/>
  <c r="R27" i="21" l="1"/>
  <c r="I93" i="21"/>
  <c r="L3" i="21"/>
  <c r="M3" i="21" s="1"/>
  <c r="L4" i="21"/>
  <c r="M4" i="21" s="1"/>
  <c r="L6" i="21"/>
  <c r="M6" i="21" s="1"/>
  <c r="AX7" i="21"/>
  <c r="L10" i="21"/>
  <c r="M10" i="21" s="1"/>
  <c r="L13" i="21"/>
  <c r="K14" i="21"/>
  <c r="I15" i="21"/>
  <c r="R15" i="21" s="1"/>
  <c r="L16" i="21"/>
  <c r="M16" i="21" s="1"/>
  <c r="L17" i="21"/>
  <c r="M17" i="21" s="1"/>
  <c r="L18" i="21"/>
  <c r="M18" i="21" s="1"/>
  <c r="I19" i="21"/>
  <c r="R19" i="21" s="1"/>
  <c r="L20" i="21"/>
  <c r="M20" i="21" s="1"/>
  <c r="L21" i="21"/>
  <c r="M21" i="21" s="1"/>
  <c r="L22" i="21"/>
  <c r="L23" i="21"/>
  <c r="M23" i="21" s="1"/>
  <c r="L24" i="21"/>
  <c r="M24" i="21" s="1"/>
  <c r="L26" i="21"/>
  <c r="M26" i="21" s="1"/>
  <c r="L28" i="21"/>
  <c r="L29" i="21"/>
  <c r="M29" i="21" s="1"/>
  <c r="I30" i="21"/>
  <c r="L31" i="21"/>
  <c r="O55" i="28" s="1"/>
  <c r="I33" i="21"/>
  <c r="R33" i="21" s="1"/>
  <c r="I34" i="21"/>
  <c r="R34" i="21" s="1"/>
  <c r="L37" i="21"/>
  <c r="I38" i="21"/>
  <c r="AX38" i="21" s="1"/>
  <c r="L39" i="21"/>
  <c r="I41" i="21"/>
  <c r="K41" i="21" s="1"/>
  <c r="I42" i="21"/>
  <c r="AX43" i="21"/>
  <c r="L45" i="21"/>
  <c r="I46" i="21"/>
  <c r="AX46" i="21" s="1"/>
  <c r="I47" i="21"/>
  <c r="R47" i="21" s="1"/>
  <c r="I48" i="21"/>
  <c r="R48" i="21" s="1"/>
  <c r="L49" i="21"/>
  <c r="I52" i="21"/>
  <c r="K52" i="21" s="1"/>
  <c r="I53" i="21"/>
  <c r="R53" i="21" s="1"/>
  <c r="I54" i="21"/>
  <c r="I55" i="21"/>
  <c r="L59" i="21"/>
  <c r="O65" i="28" s="1"/>
  <c r="I61" i="21"/>
  <c r="I63" i="21"/>
  <c r="I64" i="21"/>
  <c r="K65" i="21"/>
  <c r="I67" i="21"/>
  <c r="I69" i="21"/>
  <c r="I70" i="21"/>
  <c r="K70" i="21" s="1"/>
  <c r="I71" i="21"/>
  <c r="I72" i="21"/>
  <c r="I74" i="21"/>
  <c r="I75" i="21"/>
  <c r="I76" i="21"/>
  <c r="I77" i="21"/>
  <c r="I78" i="21"/>
  <c r="I79" i="21"/>
  <c r="I80" i="21"/>
  <c r="I81" i="21"/>
  <c r="I82" i="21"/>
  <c r="I84" i="21"/>
  <c r="I85" i="21"/>
  <c r="I86" i="21"/>
  <c r="I87" i="21"/>
  <c r="I88" i="21"/>
  <c r="I89" i="21"/>
  <c r="I90" i="21"/>
  <c r="I91" i="21"/>
  <c r="I92" i="21"/>
  <c r="I94" i="21"/>
  <c r="I96" i="21"/>
  <c r="BI100" i="21"/>
  <c r="AZ83" i="21"/>
  <c r="J83" i="21" s="1"/>
  <c r="AZ82" i="21"/>
  <c r="AW67" i="21"/>
  <c r="J67" i="21" s="1"/>
  <c r="AT36" i="21"/>
  <c r="J36" i="21" s="1"/>
  <c r="AH12" i="21"/>
  <c r="J12" i="21" s="1"/>
  <c r="AK11" i="21"/>
  <c r="AQ5" i="21"/>
  <c r="AQ1" i="21" s="1"/>
  <c r="BF1" i="21"/>
  <c r="BG1" i="21"/>
  <c r="BC100" i="21"/>
  <c r="AE100" i="21"/>
  <c r="R3" i="21"/>
  <c r="R4" i="21"/>
  <c r="R5" i="21"/>
  <c r="R6" i="21"/>
  <c r="R7" i="21"/>
  <c r="R8" i="21"/>
  <c r="R9" i="21"/>
  <c r="R10" i="21"/>
  <c r="I11" i="21"/>
  <c r="R11" i="21" s="1"/>
  <c r="R12" i="21"/>
  <c r="R13" i="21"/>
  <c r="R14" i="21"/>
  <c r="R16" i="21"/>
  <c r="R17" i="21"/>
  <c r="R18" i="21"/>
  <c r="R20" i="21"/>
  <c r="R21" i="21"/>
  <c r="R22" i="21"/>
  <c r="R23" i="21"/>
  <c r="R24" i="21"/>
  <c r="R25" i="21"/>
  <c r="R26" i="21"/>
  <c r="R28" i="21"/>
  <c r="R29" i="21"/>
  <c r="R31" i="21"/>
  <c r="R32" i="21"/>
  <c r="R35" i="21"/>
  <c r="R36" i="21"/>
  <c r="R37" i="21"/>
  <c r="R39" i="21"/>
  <c r="R40" i="21"/>
  <c r="R43" i="21"/>
  <c r="R44" i="21"/>
  <c r="R45" i="21"/>
  <c r="R49" i="21"/>
  <c r="R50" i="21"/>
  <c r="R56" i="21"/>
  <c r="R57" i="21"/>
  <c r="R58" i="21"/>
  <c r="R59" i="21"/>
  <c r="R60" i="21"/>
  <c r="R65" i="21"/>
  <c r="BI1" i="21"/>
  <c r="BE1" i="21"/>
  <c r="Q100" i="21"/>
  <c r="P4" i="21"/>
  <c r="P6" i="21"/>
  <c r="P17" i="21"/>
  <c r="P18" i="21"/>
  <c r="P21" i="21"/>
  <c r="P24" i="21"/>
  <c r="P45" i="21"/>
  <c r="B48" i="22"/>
  <c r="B49" i="22"/>
  <c r="B51" i="22"/>
  <c r="B52" i="22"/>
  <c r="B53" i="22"/>
  <c r="B54" i="22"/>
  <c r="B55" i="22"/>
  <c r="B56" i="22"/>
  <c r="B57" i="22"/>
  <c r="B58" i="22"/>
  <c r="B59" i="22"/>
  <c r="B60" i="22"/>
  <c r="B61" i="22"/>
  <c r="B62" i="22"/>
  <c r="AE1" i="21"/>
  <c r="AN1" i="21"/>
  <c r="BC1" i="21"/>
  <c r="Y5" i="21"/>
  <c r="Y100" i="21" s="1"/>
  <c r="Z68" i="21"/>
  <c r="AB68" i="21"/>
  <c r="AX32" i="21"/>
  <c r="BB100" i="21"/>
  <c r="AY100" i="21"/>
  <c r="AX24" i="21"/>
  <c r="AX39" i="21"/>
  <c r="AV42" i="21"/>
  <c r="K28" i="28" s="1"/>
  <c r="AU100" i="21"/>
  <c r="AS39" i="21"/>
  <c r="AS100" i="21" s="1"/>
  <c r="AR100" i="21"/>
  <c r="AP100" i="21"/>
  <c r="AO100" i="21"/>
  <c r="AN100" i="21"/>
  <c r="AM27" i="21"/>
  <c r="AM1" i="21" s="1"/>
  <c r="AL100" i="21"/>
  <c r="AJ100" i="21"/>
  <c r="AI100" i="21"/>
  <c r="AG100" i="21"/>
  <c r="AF100" i="21"/>
  <c r="AR1" i="21"/>
  <c r="AP1" i="21"/>
  <c r="AO1" i="21"/>
  <c r="AL1" i="21"/>
  <c r="AJ1" i="21"/>
  <c r="AI1" i="21"/>
  <c r="AG1" i="21"/>
  <c r="AF1" i="21"/>
  <c r="E30" i="28"/>
  <c r="K81" i="28"/>
  <c r="K80" i="28"/>
  <c r="K79" i="28"/>
  <c r="K78" i="28"/>
  <c r="K77" i="28"/>
  <c r="K76" i="28"/>
  <c r="K75" i="28"/>
  <c r="K74" i="28"/>
  <c r="K73" i="28"/>
  <c r="K62" i="28"/>
  <c r="K22" i="28"/>
  <c r="K23" i="28"/>
  <c r="K24" i="28"/>
  <c r="K25" i="28"/>
  <c r="K26" i="28"/>
  <c r="K27" i="28"/>
  <c r="K29" i="28"/>
  <c r="K30" i="28"/>
  <c r="K31" i="28"/>
  <c r="K32" i="28"/>
  <c r="K33" i="28"/>
  <c r="K34" i="28"/>
  <c r="K35" i="28"/>
  <c r="K36" i="28"/>
  <c r="K37" i="28"/>
  <c r="K38" i="28"/>
  <c r="K39" i="28"/>
  <c r="K40" i="28"/>
  <c r="K41" i="28"/>
  <c r="K42" i="28"/>
  <c r="K43" i="28"/>
  <c r="K44" i="28"/>
  <c r="K45" i="28"/>
  <c r="K46" i="28"/>
  <c r="K47" i="28"/>
  <c r="K21" i="28"/>
  <c r="E75" i="28"/>
  <c r="F75" i="28"/>
  <c r="J75" i="28"/>
  <c r="E76" i="28"/>
  <c r="F76" i="28"/>
  <c r="J76" i="28"/>
  <c r="G76" i="28" s="1"/>
  <c r="I76" i="28" s="1"/>
  <c r="E77" i="28"/>
  <c r="F77" i="28"/>
  <c r="J77" i="28"/>
  <c r="C75" i="28"/>
  <c r="C76" i="28"/>
  <c r="C77" i="28"/>
  <c r="J74" i="28"/>
  <c r="J78" i="28"/>
  <c r="L78" i="28"/>
  <c r="J79" i="28"/>
  <c r="J80" i="28"/>
  <c r="J81" i="28"/>
  <c r="J45" i="28"/>
  <c r="G45" i="28" s="1"/>
  <c r="I45" i="28" s="1"/>
  <c r="U45" i="28" s="1"/>
  <c r="L45" i="28"/>
  <c r="J46" i="28"/>
  <c r="G46" i="28" s="1"/>
  <c r="I46" i="28" s="1"/>
  <c r="U46" i="28" s="1"/>
  <c r="L46" i="28"/>
  <c r="J47" i="28"/>
  <c r="E74" i="28"/>
  <c r="F74" i="28"/>
  <c r="C74" i="28"/>
  <c r="H48" i="28"/>
  <c r="J73" i="28"/>
  <c r="G73" i="28" s="1"/>
  <c r="I73" i="28" s="1"/>
  <c r="U73" i="28" s="1"/>
  <c r="E73" i="28"/>
  <c r="F73" i="28"/>
  <c r="C73" i="28"/>
  <c r="J44" i="28"/>
  <c r="L44" i="28"/>
  <c r="F44" i="28"/>
  <c r="E44" i="28"/>
  <c r="C44" i="28"/>
  <c r="V53" i="22"/>
  <c r="H82" i="28"/>
  <c r="J43" i="28"/>
  <c r="E43" i="28"/>
  <c r="F43" i="28"/>
  <c r="C43" i="28"/>
  <c r="K72" i="28"/>
  <c r="F47" i="28"/>
  <c r="E47" i="28"/>
  <c r="F46" i="28"/>
  <c r="E46" i="28"/>
  <c r="F45" i="28"/>
  <c r="E45" i="28"/>
  <c r="F81" i="28"/>
  <c r="E81" i="28"/>
  <c r="F80" i="28"/>
  <c r="E80" i="28"/>
  <c r="F79" i="28"/>
  <c r="E79" i="28"/>
  <c r="F78" i="28"/>
  <c r="E78" i="28"/>
  <c r="F72" i="28"/>
  <c r="E72" i="28"/>
  <c r="L66" i="28"/>
  <c r="K66" i="28"/>
  <c r="K65" i="28"/>
  <c r="K64" i="28"/>
  <c r="K63" i="28"/>
  <c r="F65" i="28"/>
  <c r="E65" i="28"/>
  <c r="F64" i="28"/>
  <c r="E64" i="28"/>
  <c r="F63" i="28"/>
  <c r="E63" i="28"/>
  <c r="F62" i="28"/>
  <c r="E62" i="28"/>
  <c r="K56" i="28"/>
  <c r="K53" i="28"/>
  <c r="K54" i="28"/>
  <c r="K55" i="28"/>
  <c r="J54" i="28"/>
  <c r="M54" i="28" s="1"/>
  <c r="F56" i="28"/>
  <c r="E56" i="28"/>
  <c r="F55" i="28"/>
  <c r="E55" i="28"/>
  <c r="F54" i="28"/>
  <c r="E54" i="28"/>
  <c r="F53" i="28"/>
  <c r="E53" i="28"/>
  <c r="F37" i="28"/>
  <c r="E37" i="28"/>
  <c r="F36" i="28"/>
  <c r="E36" i="28"/>
  <c r="F34" i="28"/>
  <c r="E34" i="28"/>
  <c r="F33" i="28"/>
  <c r="E33" i="28"/>
  <c r="F32" i="28"/>
  <c r="E32" i="28"/>
  <c r="F31" i="28"/>
  <c r="E31" i="28"/>
  <c r="F30" i="28"/>
  <c r="F29" i="28"/>
  <c r="E29" i="28"/>
  <c r="F28" i="28"/>
  <c r="E28" i="28"/>
  <c r="F27" i="28"/>
  <c r="E27" i="28"/>
  <c r="F26" i="28"/>
  <c r="E26" i="28"/>
  <c r="F25" i="28"/>
  <c r="E25" i="28"/>
  <c r="F24" i="28"/>
  <c r="E24" i="28"/>
  <c r="F23" i="28"/>
  <c r="E23" i="28"/>
  <c r="F22" i="28"/>
  <c r="E22" i="28"/>
  <c r="F21" i="28"/>
  <c r="E21" i="28"/>
  <c r="J41" i="28"/>
  <c r="C41" i="28"/>
  <c r="C42" i="28"/>
  <c r="O26" i="22"/>
  <c r="AX27" i="21" s="1"/>
  <c r="J72" i="28"/>
  <c r="J63" i="28"/>
  <c r="J64" i="28"/>
  <c r="G64" i="28" s="1"/>
  <c r="I64" i="28" s="1"/>
  <c r="U64" i="28" s="1"/>
  <c r="J65" i="28"/>
  <c r="J62" i="28"/>
  <c r="J56" i="28"/>
  <c r="J55" i="28"/>
  <c r="J53" i="28"/>
  <c r="G53" i="28" s="1"/>
  <c r="I53" i="28" s="1"/>
  <c r="U53" i="28" s="1"/>
  <c r="L53" i="28"/>
  <c r="J22" i="28"/>
  <c r="L22" i="28"/>
  <c r="J23" i="28"/>
  <c r="L23" i="28"/>
  <c r="J24" i="28"/>
  <c r="G24" i="28" s="1"/>
  <c r="I24" i="28" s="1"/>
  <c r="U24" i="28" s="1"/>
  <c r="J25" i="28"/>
  <c r="J26" i="28"/>
  <c r="J27" i="28"/>
  <c r="J28" i="28"/>
  <c r="G28" i="28" s="1"/>
  <c r="I28" i="28" s="1"/>
  <c r="U28" i="28" s="1"/>
  <c r="J29" i="28"/>
  <c r="J30" i="28"/>
  <c r="L30" i="28"/>
  <c r="J31" i="28"/>
  <c r="G31" i="28" s="1"/>
  <c r="I31" i="28" s="1"/>
  <c r="U31" i="28" s="1"/>
  <c r="L31" i="28"/>
  <c r="J32" i="28"/>
  <c r="L32" i="28"/>
  <c r="J33" i="28"/>
  <c r="G33" i="28" s="1"/>
  <c r="I33" i="28" s="1"/>
  <c r="U33" i="28" s="1"/>
  <c r="J34" i="28"/>
  <c r="J35" i="28"/>
  <c r="G35" i="28" s="1"/>
  <c r="I35" i="28" s="1"/>
  <c r="U35" i="28" s="1"/>
  <c r="L35" i="28"/>
  <c r="J36" i="28"/>
  <c r="J37" i="28"/>
  <c r="G37" i="28" s="1"/>
  <c r="I37" i="28" s="1"/>
  <c r="U37" i="28" s="1"/>
  <c r="J38" i="28"/>
  <c r="G38" i="28" s="1"/>
  <c r="I38" i="28" s="1"/>
  <c r="U38" i="28" s="1"/>
  <c r="J39" i="28"/>
  <c r="L39" i="28"/>
  <c r="J40" i="28"/>
  <c r="G40" i="28" s="1"/>
  <c r="I40" i="28" s="1"/>
  <c r="U40" i="28" s="1"/>
  <c r="J21" i="28"/>
  <c r="L21" i="28"/>
  <c r="C47" i="28"/>
  <c r="C46" i="28"/>
  <c r="C45" i="28"/>
  <c r="C81" i="28"/>
  <c r="C80" i="28"/>
  <c r="C79" i="28"/>
  <c r="C78" i="28"/>
  <c r="C72" i="28"/>
  <c r="J66" i="28"/>
  <c r="F66" i="28"/>
  <c r="E66" i="28"/>
  <c r="C66" i="28"/>
  <c r="C65" i="28"/>
  <c r="C64" i="28"/>
  <c r="C63" i="28"/>
  <c r="C62" i="28"/>
  <c r="H57" i="28"/>
  <c r="C56" i="28"/>
  <c r="C37" i="28"/>
  <c r="C36" i="28"/>
  <c r="C34" i="28"/>
  <c r="C33" i="28"/>
  <c r="C32" i="28"/>
  <c r="C31" i="28"/>
  <c r="C30" i="28"/>
  <c r="C29" i="28"/>
  <c r="C28" i="28"/>
  <c r="C27" i="28"/>
  <c r="C26" i="28"/>
  <c r="C25" i="28"/>
  <c r="C22" i="28"/>
  <c r="C21" i="28"/>
  <c r="Q20" i="28"/>
  <c r="Q52" i="28" s="1"/>
  <c r="Q71" i="28" s="1"/>
  <c r="P20" i="28"/>
  <c r="P52" i="28" s="1"/>
  <c r="P61" i="28" s="1"/>
  <c r="P71" i="28" s="1"/>
  <c r="O20" i="28"/>
  <c r="O52" i="28" s="1"/>
  <c r="O61" i="28" s="1"/>
  <c r="O71" i="28" s="1"/>
  <c r="N20" i="28"/>
  <c r="N52" i="28" s="1"/>
  <c r="N61" i="28" s="1"/>
  <c r="N71" i="28" s="1"/>
  <c r="M20" i="28"/>
  <c r="M52" i="28" s="1"/>
  <c r="M61" i="28" s="1"/>
  <c r="M71" i="28" s="1"/>
  <c r="L20" i="28"/>
  <c r="L52" i="28" s="1"/>
  <c r="L61" i="28" s="1"/>
  <c r="L71" i="28" s="1"/>
  <c r="K20" i="28"/>
  <c r="K52" i="28" s="1"/>
  <c r="K61" i="28" s="1"/>
  <c r="K71" i="28" s="1"/>
  <c r="J20" i="28"/>
  <c r="J52" i="28" s="1"/>
  <c r="J61" i="28" s="1"/>
  <c r="J71" i="28" s="1"/>
  <c r="I20" i="28"/>
  <c r="I52" i="28" s="1"/>
  <c r="I61" i="28" s="1"/>
  <c r="I71" i="28" s="1"/>
  <c r="H20" i="28"/>
  <c r="H52" i="28" s="1"/>
  <c r="H61" i="28" s="1"/>
  <c r="H71" i="28" s="1"/>
  <c r="G20" i="28"/>
  <c r="G52" i="28" s="1"/>
  <c r="G61" i="28" s="1"/>
  <c r="G71" i="28" s="1"/>
  <c r="F20" i="28"/>
  <c r="F52" i="28" s="1"/>
  <c r="F61" i="28" s="1"/>
  <c r="F71" i="28" s="1"/>
  <c r="E20" i="28"/>
  <c r="E52" i="28" s="1"/>
  <c r="E61" i="28" s="1"/>
  <c r="E71" i="28" s="1"/>
  <c r="D20" i="28"/>
  <c r="D52" i="28" s="1"/>
  <c r="D61" i="28" s="1"/>
  <c r="D71" i="28" s="1"/>
  <c r="C20" i="28"/>
  <c r="C52" i="28" s="1"/>
  <c r="C61" i="28" s="1"/>
  <c r="C71" i="28" s="1"/>
  <c r="H15" i="28"/>
  <c r="H14" i="28"/>
  <c r="H12" i="28"/>
  <c r="L62" i="28"/>
  <c r="L55" i="28"/>
  <c r="L26" i="28"/>
  <c r="L37" i="28"/>
  <c r="L24" i="28"/>
  <c r="L56" i="28"/>
  <c r="AY1" i="21"/>
  <c r="BB1" i="21"/>
  <c r="BD1" i="21"/>
  <c r="M49" i="22"/>
  <c r="N49" i="22"/>
  <c r="O49" i="22"/>
  <c r="P49" i="22"/>
  <c r="Q49" i="22"/>
  <c r="M48" i="22"/>
  <c r="N48" i="22"/>
  <c r="O48" i="22"/>
  <c r="AD100" i="21"/>
  <c r="AC100" i="21"/>
  <c r="L64" i="28"/>
  <c r="L52" i="22"/>
  <c r="L49" i="22"/>
  <c r="L48" i="22"/>
  <c r="L72" i="28"/>
  <c r="L38" i="28"/>
  <c r="L77" i="28"/>
  <c r="L73" i="28"/>
  <c r="L75" i="28"/>
  <c r="L65" i="28"/>
  <c r="L76" i="28"/>
  <c r="L74" i="28"/>
  <c r="L47" i="28"/>
  <c r="L33" i="28"/>
  <c r="L36" i="28"/>
  <c r="L79" i="28"/>
  <c r="L80" i="28"/>
  <c r="L81" i="28"/>
  <c r="L40" i="28"/>
  <c r="L63" i="28"/>
  <c r="L42" i="28"/>
  <c r="L41" i="28"/>
  <c r="L43" i="28"/>
  <c r="K13" i="21"/>
  <c r="K24" i="21"/>
  <c r="K29" i="21"/>
  <c r="K17" i="21"/>
  <c r="K8" i="21"/>
  <c r="T100" i="21"/>
  <c r="AA100" i="21"/>
  <c r="Z100" i="21"/>
  <c r="X100" i="21"/>
  <c r="W100" i="21"/>
  <c r="V100" i="21"/>
  <c r="U100" i="21"/>
  <c r="S100" i="21"/>
  <c r="L25" i="28"/>
  <c r="L27" i="28"/>
  <c r="L28" i="28"/>
  <c r="L29" i="28"/>
  <c r="L34" i="28"/>
  <c r="AB29" i="21"/>
  <c r="AB11" i="21"/>
  <c r="K39" i="21"/>
  <c r="AU1" i="21"/>
  <c r="K43" i="21"/>
  <c r="K10" i="21"/>
  <c r="K28" i="21"/>
  <c r="K27" i="21"/>
  <c r="AX18" i="21"/>
  <c r="K25" i="21"/>
  <c r="K26" i="21"/>
  <c r="K18" i="21"/>
  <c r="K49" i="21"/>
  <c r="AX9" i="21"/>
  <c r="K45" i="21"/>
  <c r="AX17" i="21"/>
  <c r="K56" i="21"/>
  <c r="AX14" i="21"/>
  <c r="AX44" i="21"/>
  <c r="K44" i="21"/>
  <c r="K4" i="21"/>
  <c r="AX4" i="21"/>
  <c r="AX21" i="21"/>
  <c r="K21" i="21"/>
  <c r="AX13" i="21"/>
  <c r="AX45" i="21"/>
  <c r="AX35" i="21"/>
  <c r="BA3" i="21"/>
  <c r="BA100" i="21" s="1"/>
  <c r="Q61" i="28" l="1"/>
  <c r="AQ100" i="21"/>
  <c r="AX33" i="21"/>
  <c r="K33" i="21"/>
  <c r="K84" i="21"/>
  <c r="R54" i="21"/>
  <c r="R67" i="21"/>
  <c r="AX49" i="21"/>
  <c r="R91" i="21"/>
  <c r="K78" i="21"/>
  <c r="R90" i="21"/>
  <c r="R77" i="21"/>
  <c r="R64" i="21"/>
  <c r="R88" i="21"/>
  <c r="R75" i="21"/>
  <c r="R87" i="21"/>
  <c r="R85" i="21"/>
  <c r="R72" i="21"/>
  <c r="R84" i="21"/>
  <c r="K71" i="21"/>
  <c r="R96" i="21"/>
  <c r="R82" i="21"/>
  <c r="R69" i="21"/>
  <c r="R79" i="21"/>
  <c r="AB100" i="21"/>
  <c r="O33" i="21"/>
  <c r="G54" i="28"/>
  <c r="I54" i="28" s="1"/>
  <c r="U54" i="28" s="1"/>
  <c r="O4" i="21"/>
  <c r="N39" i="28"/>
  <c r="AV100" i="21"/>
  <c r="R71" i="21"/>
  <c r="AM100" i="21"/>
  <c r="J82" i="21"/>
  <c r="K82" i="21" s="1"/>
  <c r="K87" i="21"/>
  <c r="O78" i="21"/>
  <c r="AZ100" i="21"/>
  <c r="J5" i="21"/>
  <c r="K5" i="21" s="1"/>
  <c r="J11" i="21"/>
  <c r="O62" i="28"/>
  <c r="P62" i="28" s="1"/>
  <c r="O74" i="21"/>
  <c r="N75" i="28"/>
  <c r="M28" i="21"/>
  <c r="O23" i="28"/>
  <c r="P23" i="28" s="1"/>
  <c r="N22" i="28"/>
  <c r="N21" i="28"/>
  <c r="O17" i="21"/>
  <c r="K93" i="21"/>
  <c r="P13" i="21"/>
  <c r="AX28" i="21"/>
  <c r="N79" i="28"/>
  <c r="P28" i="21"/>
  <c r="K34" i="21"/>
  <c r="K64" i="21"/>
  <c r="P22" i="21"/>
  <c r="K42" i="21"/>
  <c r="AX31" i="21"/>
  <c r="K31" i="21"/>
  <c r="AX22" i="21"/>
  <c r="K22" i="21"/>
  <c r="P65" i="28"/>
  <c r="N78" i="28"/>
  <c r="M59" i="21"/>
  <c r="AX48" i="21"/>
  <c r="K90" i="21"/>
  <c r="K59" i="21"/>
  <c r="P31" i="21"/>
  <c r="O70" i="21"/>
  <c r="P34" i="21"/>
  <c r="P29" i="21"/>
  <c r="M31" i="21"/>
  <c r="O54" i="21"/>
  <c r="AX3" i="21"/>
  <c r="K3" i="21"/>
  <c r="P23" i="21"/>
  <c r="AX29" i="21"/>
  <c r="P38" i="21"/>
  <c r="P3" i="21"/>
  <c r="O24" i="21"/>
  <c r="O27" i="28"/>
  <c r="P27" i="28" s="1"/>
  <c r="M37" i="21"/>
  <c r="K94" i="21"/>
  <c r="K80" i="21"/>
  <c r="AX30" i="21"/>
  <c r="K63" i="21"/>
  <c r="M72" i="28"/>
  <c r="K15" i="28"/>
  <c r="K82" i="28"/>
  <c r="AX16" i="21"/>
  <c r="AX41" i="21"/>
  <c r="K16" i="21"/>
  <c r="AX6" i="21"/>
  <c r="AX23" i="21"/>
  <c r="O55" i="21"/>
  <c r="BA1" i="21"/>
  <c r="M56" i="28"/>
  <c r="AX37" i="21"/>
  <c r="O42" i="21"/>
  <c r="K23" i="21"/>
  <c r="O30" i="21"/>
  <c r="K47" i="21"/>
  <c r="AX47" i="21"/>
  <c r="O41" i="21"/>
  <c r="O90" i="21"/>
  <c r="O63" i="21"/>
  <c r="O52" i="21"/>
  <c r="O47" i="21"/>
  <c r="M34" i="28"/>
  <c r="R94" i="21"/>
  <c r="K91" i="21"/>
  <c r="P93" i="21"/>
  <c r="G22" i="28"/>
  <c r="I22" i="28" s="1"/>
  <c r="U22" i="28" s="1"/>
  <c r="P53" i="21"/>
  <c r="O46" i="21"/>
  <c r="K38" i="21"/>
  <c r="L33" i="21"/>
  <c r="M33" i="21" s="1"/>
  <c r="O53" i="21"/>
  <c r="N64" i="28"/>
  <c r="AX57" i="21"/>
  <c r="K53" i="21"/>
  <c r="K76" i="21"/>
  <c r="O6" i="21"/>
  <c r="N24" i="28"/>
  <c r="AX55" i="21"/>
  <c r="O21" i="21"/>
  <c r="O34" i="21"/>
  <c r="AZ1" i="21"/>
  <c r="K6" i="21"/>
  <c r="N23" i="28"/>
  <c r="AK100" i="21"/>
  <c r="AK1" i="21"/>
  <c r="AH100" i="21"/>
  <c r="AX52" i="21"/>
  <c r="AH1" i="21"/>
  <c r="O45" i="21"/>
  <c r="L34" i="21"/>
  <c r="N55" i="28"/>
  <c r="P55" i="28"/>
  <c r="M29" i="28"/>
  <c r="L82" i="28"/>
  <c r="O67" i="21"/>
  <c r="K67" i="21"/>
  <c r="L56" i="21"/>
  <c r="L7" i="21"/>
  <c r="M7" i="21" s="1"/>
  <c r="K7" i="21"/>
  <c r="P7" i="21"/>
  <c r="L83" i="21"/>
  <c r="M83" i="21" s="1"/>
  <c r="R83" i="21"/>
  <c r="AX67" i="21"/>
  <c r="O38" i="21"/>
  <c r="AX53" i="21"/>
  <c r="AX64" i="21"/>
  <c r="P49" i="21"/>
  <c r="O49" i="21"/>
  <c r="P9" i="21"/>
  <c r="O9" i="21"/>
  <c r="L12" i="21"/>
  <c r="M12" i="21" s="1"/>
  <c r="K12" i="21"/>
  <c r="AX12" i="21"/>
  <c r="AX59" i="21"/>
  <c r="AX56" i="21"/>
  <c r="L16" i="28"/>
  <c r="L13" i="28"/>
  <c r="P19" i="21"/>
  <c r="O19" i="21"/>
  <c r="AT1" i="21"/>
  <c r="P33" i="21"/>
  <c r="L44" i="21"/>
  <c r="AX26" i="21"/>
  <c r="L14" i="21"/>
  <c r="L54" i="21"/>
  <c r="K54" i="21"/>
  <c r="K48" i="21"/>
  <c r="L43" i="21"/>
  <c r="L38" i="21"/>
  <c r="M38" i="21" s="1"/>
  <c r="R38" i="21"/>
  <c r="L32" i="21"/>
  <c r="M32" i="21" s="1"/>
  <c r="K32" i="21"/>
  <c r="AX19" i="21"/>
  <c r="K19" i="21"/>
  <c r="O56" i="28"/>
  <c r="P56" i="28" s="1"/>
  <c r="M13" i="21"/>
  <c r="N35" i="28"/>
  <c r="L48" i="28"/>
  <c r="J42" i="28"/>
  <c r="M42" i="28" s="1"/>
  <c r="N77" i="28"/>
  <c r="G77" i="28"/>
  <c r="I77" i="28" s="1"/>
  <c r="AW1" i="21"/>
  <c r="K72" i="21"/>
  <c r="P72" i="21"/>
  <c r="AX71" i="21"/>
  <c r="G25" i="28"/>
  <c r="I25" i="28" s="1"/>
  <c r="U25" i="28" s="1"/>
  <c r="N25" i="28"/>
  <c r="AX65" i="21"/>
  <c r="L67" i="28"/>
  <c r="G81" i="28"/>
  <c r="I81" i="28" s="1"/>
  <c r="U81" i="28" s="1"/>
  <c r="N81" i="28"/>
  <c r="M81" i="28"/>
  <c r="AW100" i="21"/>
  <c r="AX54" i="21"/>
  <c r="AX70" i="21"/>
  <c r="K88" i="21"/>
  <c r="P84" i="21"/>
  <c r="O84" i="21"/>
  <c r="L80" i="21"/>
  <c r="M80" i="21" s="1"/>
  <c r="R80" i="21"/>
  <c r="L58" i="21"/>
  <c r="K58" i="21"/>
  <c r="AX42" i="21"/>
  <c r="K37" i="21"/>
  <c r="L9" i="21"/>
  <c r="M9" i="21" s="1"/>
  <c r="K9" i="21"/>
  <c r="L93" i="21"/>
  <c r="M93" i="21" s="1"/>
  <c r="R93" i="21"/>
  <c r="AX34" i="21"/>
  <c r="M35" i="28"/>
  <c r="M30" i="28"/>
  <c r="G41" i="28"/>
  <c r="I41" i="28" s="1"/>
  <c r="U41" i="28" s="1"/>
  <c r="N41" i="28"/>
  <c r="M44" i="28"/>
  <c r="G79" i="28"/>
  <c r="I79" i="28" s="1"/>
  <c r="U79" i="28" s="1"/>
  <c r="M79" i="28"/>
  <c r="AV1" i="21"/>
  <c r="AT100" i="21"/>
  <c r="O18" i="21"/>
  <c r="M64" i="28"/>
  <c r="N43" i="28"/>
  <c r="R92" i="21"/>
  <c r="L92" i="21"/>
  <c r="M92" i="21" s="1"/>
  <c r="L88" i="21"/>
  <c r="M88" i="21" s="1"/>
  <c r="L84" i="21"/>
  <c r="M84" i="21" s="1"/>
  <c r="L57" i="21"/>
  <c r="K57" i="21"/>
  <c r="P57" i="21"/>
  <c r="L8" i="21"/>
  <c r="M8" i="21" s="1"/>
  <c r="AX8" i="21"/>
  <c r="L27" i="21"/>
  <c r="G72" i="28"/>
  <c r="I72" i="28" s="1"/>
  <c r="U72" i="28" s="1"/>
  <c r="N27" i="28"/>
  <c r="J67" i="28"/>
  <c r="L19" i="21"/>
  <c r="M19" i="21" s="1"/>
  <c r="M66" i="28"/>
  <c r="N32" i="28"/>
  <c r="M26" i="28"/>
  <c r="N54" i="28"/>
  <c r="N74" i="28"/>
  <c r="M36" i="28"/>
  <c r="P85" i="21"/>
  <c r="P81" i="21"/>
  <c r="P77" i="21"/>
  <c r="K69" i="21"/>
  <c r="AX61" i="21"/>
  <c r="AX50" i="21"/>
  <c r="P54" i="21"/>
  <c r="K92" i="21"/>
  <c r="M63" i="28"/>
  <c r="M78" i="28"/>
  <c r="G32" i="28"/>
  <c r="I32" i="28" s="1"/>
  <c r="U32" i="28" s="1"/>
  <c r="M27" i="28"/>
  <c r="H66" i="28"/>
  <c r="I66" i="28" s="1"/>
  <c r="U66" i="28" s="1"/>
  <c r="N38" i="28"/>
  <c r="N66" i="28"/>
  <c r="N37" i="28"/>
  <c r="N33" i="28"/>
  <c r="G78" i="28"/>
  <c r="I78" i="28" s="1"/>
  <c r="U78" i="28" s="1"/>
  <c r="M76" i="28"/>
  <c r="M38" i="28"/>
  <c r="G27" i="28"/>
  <c r="I27" i="28" s="1"/>
  <c r="U27" i="28" s="1"/>
  <c r="M41" i="28"/>
  <c r="N76" i="28"/>
  <c r="M37" i="28"/>
  <c r="N46" i="28"/>
  <c r="M25" i="28"/>
  <c r="M24" i="28"/>
  <c r="M45" i="28"/>
  <c r="M55" i="28"/>
  <c r="G55" i="28"/>
  <c r="I55" i="28" s="1"/>
  <c r="U55" i="28" s="1"/>
  <c r="J57" i="28"/>
  <c r="N31" i="28"/>
  <c r="N73" i="28"/>
  <c r="M46" i="28"/>
  <c r="M73" i="28"/>
  <c r="G36" i="28"/>
  <c r="I36" i="28" s="1"/>
  <c r="U36" i="28" s="1"/>
  <c r="M74" i="28"/>
  <c r="G74" i="28"/>
  <c r="I74" i="28" s="1"/>
  <c r="N53" i="28"/>
  <c r="N36" i="28"/>
  <c r="M40" i="28"/>
  <c r="J82" i="28"/>
  <c r="N40" i="28"/>
  <c r="M53" i="28"/>
  <c r="L40" i="21"/>
  <c r="M40" i="21" s="1"/>
  <c r="AX40" i="21"/>
  <c r="K40" i="21"/>
  <c r="G56" i="28"/>
  <c r="P61" i="21"/>
  <c r="L55" i="21"/>
  <c r="K55" i="21"/>
  <c r="L46" i="21"/>
  <c r="R46" i="21"/>
  <c r="K46" i="21"/>
  <c r="L41" i="21"/>
  <c r="M41" i="21" s="1"/>
  <c r="R41" i="21"/>
  <c r="L35" i="21"/>
  <c r="P35" i="21"/>
  <c r="K35" i="21"/>
  <c r="O81" i="21"/>
  <c r="K77" i="21"/>
  <c r="G29" i="28"/>
  <c r="I29" i="28" s="1"/>
  <c r="U29" i="28" s="1"/>
  <c r="N29" i="28"/>
  <c r="L81" i="21"/>
  <c r="M81" i="21" s="1"/>
  <c r="R81" i="21"/>
  <c r="M39" i="21"/>
  <c r="O25" i="28"/>
  <c r="P25" i="28" s="1"/>
  <c r="AX10" i="21"/>
  <c r="P39" i="21"/>
  <c r="O39" i="21"/>
  <c r="AX69" i="21"/>
  <c r="L14" i="28"/>
  <c r="G23" i="28"/>
  <c r="I23" i="28" s="1"/>
  <c r="U23" i="28" s="1"/>
  <c r="AS1" i="21"/>
  <c r="P46" i="21"/>
  <c r="R55" i="21"/>
  <c r="K15" i="21"/>
  <c r="L15" i="21"/>
  <c r="M15" i="21" s="1"/>
  <c r="AX15" i="21"/>
  <c r="L65" i="21"/>
  <c r="G63" i="28"/>
  <c r="I63" i="28" s="1"/>
  <c r="U63" i="28" s="1"/>
  <c r="N63" i="28"/>
  <c r="K48" i="28"/>
  <c r="K14" i="28"/>
  <c r="AX63" i="21"/>
  <c r="AX74" i="21"/>
  <c r="AX58" i="21"/>
  <c r="P15" i="21"/>
  <c r="O15" i="21"/>
  <c r="L25" i="21"/>
  <c r="M25" i="21" s="1"/>
  <c r="AX25" i="21"/>
  <c r="K20" i="21"/>
  <c r="AX20" i="21"/>
  <c r="L89" i="21"/>
  <c r="M89" i="21" s="1"/>
  <c r="R89" i="21"/>
  <c r="K89" i="21"/>
  <c r="O89" i="21"/>
  <c r="O85" i="21"/>
  <c r="K85" i="21"/>
  <c r="G30" i="28"/>
  <c r="I30" i="28" s="1"/>
  <c r="U30" i="28" s="1"/>
  <c r="O54" i="28"/>
  <c r="P54" i="28" s="1"/>
  <c r="M22" i="21"/>
  <c r="L12" i="28"/>
  <c r="N30" i="28"/>
  <c r="K81" i="21"/>
  <c r="O77" i="21"/>
  <c r="P80" i="21"/>
  <c r="O80" i="21"/>
  <c r="K30" i="21"/>
  <c r="P89" i="21"/>
  <c r="M28" i="28"/>
  <c r="M33" i="28"/>
  <c r="M32" i="28"/>
  <c r="M22" i="28"/>
  <c r="M31" i="28"/>
  <c r="N72" i="28"/>
  <c r="P41" i="21"/>
  <c r="P42" i="21"/>
  <c r="P55" i="21"/>
  <c r="G43" i="28"/>
  <c r="I43" i="28" s="1"/>
  <c r="U43" i="28" s="1"/>
  <c r="M43" i="28"/>
  <c r="H62" i="28"/>
  <c r="M62" i="28"/>
  <c r="G62" i="28"/>
  <c r="R61" i="21"/>
  <c r="L61" i="21"/>
  <c r="K61" i="21"/>
  <c r="O61" i="21"/>
  <c r="L30" i="21"/>
  <c r="R30" i="21"/>
  <c r="G65" i="28"/>
  <c r="I65" i="28" s="1"/>
  <c r="U65" i="28" s="1"/>
  <c r="M65" i="28"/>
  <c r="L64" i="21"/>
  <c r="G26" i="28"/>
  <c r="I26" i="28" s="1"/>
  <c r="U26" i="28" s="1"/>
  <c r="N26" i="28"/>
  <c r="L76" i="21"/>
  <c r="M76" i="21" s="1"/>
  <c r="R76" i="21"/>
  <c r="O76" i="21"/>
  <c r="L72" i="21"/>
  <c r="AX72" i="21"/>
  <c r="G75" i="28"/>
  <c r="M75" i="28"/>
  <c r="L94" i="21"/>
  <c r="M94" i="21" s="1"/>
  <c r="G39" i="28"/>
  <c r="I39" i="28" s="1"/>
  <c r="U39" i="28" s="1"/>
  <c r="M39" i="28"/>
  <c r="G44" i="28"/>
  <c r="I44" i="28" s="1"/>
  <c r="U44" i="28" s="1"/>
  <c r="N44" i="28"/>
  <c r="M80" i="28"/>
  <c r="G80" i="28"/>
  <c r="I80" i="28" s="1"/>
  <c r="U80" i="28" s="1"/>
  <c r="L85" i="21"/>
  <c r="M85" i="21" s="1"/>
  <c r="L53" i="21"/>
  <c r="P30" i="21"/>
  <c r="L77" i="21"/>
  <c r="M77" i="21" s="1"/>
  <c r="M77" i="28"/>
  <c r="M23" i="28"/>
  <c r="P76" i="21"/>
  <c r="L69" i="21"/>
  <c r="N45" i="28"/>
  <c r="N80" i="28"/>
  <c r="K75" i="21"/>
  <c r="L60" i="21"/>
  <c r="M60" i="21" s="1"/>
  <c r="AX60" i="21"/>
  <c r="K60" i="21"/>
  <c r="M49" i="21"/>
  <c r="O72" i="28"/>
  <c r="P86" i="21"/>
  <c r="L86" i="21"/>
  <c r="M86" i="21" s="1"/>
  <c r="R86" i="21"/>
  <c r="K86" i="21"/>
  <c r="O86" i="21"/>
  <c r="N47" i="28"/>
  <c r="G47" i="28"/>
  <c r="I47" i="28" s="1"/>
  <c r="U47" i="28" s="1"/>
  <c r="M47" i="28"/>
  <c r="K57" i="28"/>
  <c r="N56" i="28"/>
  <c r="L15" i="28"/>
  <c r="L57" i="28"/>
  <c r="K12" i="28"/>
  <c r="K16" i="28"/>
  <c r="N62" i="28"/>
  <c r="K67" i="28"/>
  <c r="K13" i="28"/>
  <c r="P94" i="21"/>
  <c r="O94" i="21"/>
  <c r="O96" i="21"/>
  <c r="P96" i="21"/>
  <c r="P90" i="21"/>
  <c r="L90" i="21"/>
  <c r="M90" i="21" s="1"/>
  <c r="K79" i="21"/>
  <c r="L79" i="21"/>
  <c r="M79" i="21" s="1"/>
  <c r="K50" i="21"/>
  <c r="L50" i="21"/>
  <c r="O29" i="28"/>
  <c r="P29" i="28" s="1"/>
  <c r="M45" i="21"/>
  <c r="G21" i="28"/>
  <c r="M21" i="28"/>
  <c r="L75" i="21"/>
  <c r="M75" i="21" s="1"/>
  <c r="L71" i="21"/>
  <c r="L48" i="21"/>
  <c r="G34" i="28"/>
  <c r="I34" i="28" s="1"/>
  <c r="U34" i="28" s="1"/>
  <c r="N34" i="28"/>
  <c r="L78" i="21"/>
  <c r="M78" i="21" s="1"/>
  <c r="P78" i="21"/>
  <c r="R78" i="21"/>
  <c r="R63" i="21"/>
  <c r="P63" i="21"/>
  <c r="L63" i="21"/>
  <c r="L96" i="21"/>
  <c r="M96" i="21" s="1"/>
  <c r="K96" i="21"/>
  <c r="R74" i="21"/>
  <c r="P74" i="21"/>
  <c r="K74" i="21"/>
  <c r="L74" i="21"/>
  <c r="M74" i="21" s="1"/>
  <c r="L67" i="21"/>
  <c r="N28" i="28"/>
  <c r="L91" i="21"/>
  <c r="M91" i="21" s="1"/>
  <c r="L70" i="21"/>
  <c r="P70" i="21"/>
  <c r="R70" i="21"/>
  <c r="P47" i="21"/>
  <c r="L87" i="21"/>
  <c r="M87" i="21" s="1"/>
  <c r="L52" i="21"/>
  <c r="P52" i="21"/>
  <c r="R52" i="21"/>
  <c r="N65" i="28"/>
  <c r="K83" i="21"/>
  <c r="L47" i="21"/>
  <c r="R42" i="21"/>
  <c r="L42" i="21"/>
  <c r="O93" i="21"/>
  <c r="J100" i="21" l="1"/>
  <c r="O72" i="21"/>
  <c r="P11" i="21"/>
  <c r="K11" i="21"/>
  <c r="AX5" i="21"/>
  <c r="L82" i="21"/>
  <c r="M82" i="21" s="1"/>
  <c r="AX11" i="21"/>
  <c r="L5" i="21"/>
  <c r="L11" i="21"/>
  <c r="O5" i="21"/>
  <c r="O13" i="21"/>
  <c r="O28" i="21"/>
  <c r="O35" i="21"/>
  <c r="O3" i="21"/>
  <c r="O22" i="21"/>
  <c r="P67" i="21"/>
  <c r="P36" i="21"/>
  <c r="L36" i="21"/>
  <c r="O29" i="21"/>
  <c r="L11" i="28"/>
  <c r="O31" i="21"/>
  <c r="P59" i="21"/>
  <c r="O59" i="21"/>
  <c r="N57" i="28"/>
  <c r="O23" i="21"/>
  <c r="O7" i="21"/>
  <c r="J48" i="28"/>
  <c r="N48" i="28" s="1"/>
  <c r="N82" i="28"/>
  <c r="P16" i="21"/>
  <c r="O16" i="21"/>
  <c r="I62" i="28"/>
  <c r="I67" i="28" s="1"/>
  <c r="N67" i="28"/>
  <c r="G13" i="28"/>
  <c r="M34" i="21"/>
  <c r="O45" i="28"/>
  <c r="P45" i="28" s="1"/>
  <c r="M58" i="21"/>
  <c r="O33" i="28"/>
  <c r="P33" i="28" s="1"/>
  <c r="M43" i="21"/>
  <c r="O37" i="28"/>
  <c r="P37" i="28" s="1"/>
  <c r="P26" i="21"/>
  <c r="O26" i="21"/>
  <c r="P12" i="21"/>
  <c r="O12" i="21"/>
  <c r="O57" i="21"/>
  <c r="P8" i="21"/>
  <c r="O8" i="21"/>
  <c r="P44" i="21"/>
  <c r="O44" i="21"/>
  <c r="O36" i="28"/>
  <c r="P36" i="28" s="1"/>
  <c r="M54" i="21"/>
  <c r="M44" i="21"/>
  <c r="O34" i="28"/>
  <c r="P34" i="28" s="1"/>
  <c r="P37" i="21"/>
  <c r="O37" i="21"/>
  <c r="P56" i="21"/>
  <c r="O56" i="21"/>
  <c r="M57" i="21"/>
  <c r="O64" i="28"/>
  <c r="P64" i="28" s="1"/>
  <c r="P14" i="21"/>
  <c r="O14" i="21"/>
  <c r="AX36" i="21"/>
  <c r="K36" i="21"/>
  <c r="M56" i="21"/>
  <c r="O63" i="28"/>
  <c r="P27" i="21"/>
  <c r="O27" i="21"/>
  <c r="P58" i="21"/>
  <c r="O58" i="21"/>
  <c r="G42" i="28"/>
  <c r="I42" i="28" s="1"/>
  <c r="U42" i="28" s="1"/>
  <c r="N42" i="28"/>
  <c r="M14" i="21"/>
  <c r="O66" i="28"/>
  <c r="P66" i="28" s="1"/>
  <c r="P32" i="21"/>
  <c r="O32" i="21"/>
  <c r="K11" i="28"/>
  <c r="M27" i="21"/>
  <c r="O24" i="28"/>
  <c r="P24" i="28" s="1"/>
  <c r="P88" i="21"/>
  <c r="O88" i="21"/>
  <c r="P43" i="21"/>
  <c r="O43" i="21"/>
  <c r="M57" i="28"/>
  <c r="M82" i="28"/>
  <c r="G57" i="28"/>
  <c r="M46" i="21"/>
  <c r="O30" i="28"/>
  <c r="P30" i="28" s="1"/>
  <c r="I56" i="28"/>
  <c r="G15" i="28"/>
  <c r="P40" i="21"/>
  <c r="O40" i="21"/>
  <c r="P69" i="21"/>
  <c r="O69" i="21"/>
  <c r="O22" i="28"/>
  <c r="P22" i="28" s="1"/>
  <c r="M35" i="21"/>
  <c r="P65" i="21"/>
  <c r="O65" i="21"/>
  <c r="M55" i="21"/>
  <c r="O35" i="28"/>
  <c r="P35" i="28" s="1"/>
  <c r="P20" i="21"/>
  <c r="O20" i="21"/>
  <c r="M65" i="21"/>
  <c r="O74" i="28"/>
  <c r="M48" i="28"/>
  <c r="P25" i="21"/>
  <c r="O25" i="21"/>
  <c r="P10" i="21"/>
  <c r="O10" i="21"/>
  <c r="P92" i="21"/>
  <c r="O92" i="21"/>
  <c r="M69" i="21"/>
  <c r="O44" i="28"/>
  <c r="M72" i="21"/>
  <c r="O76" i="28"/>
  <c r="O46" i="28"/>
  <c r="P46" i="28" s="1"/>
  <c r="M61" i="21"/>
  <c r="O81" i="28"/>
  <c r="P81" i="28" s="1"/>
  <c r="M53" i="21"/>
  <c r="I75" i="28"/>
  <c r="I82" i="28" s="1"/>
  <c r="G82" i="28"/>
  <c r="M64" i="21"/>
  <c r="O38" i="28"/>
  <c r="P38" i="28" s="1"/>
  <c r="G67" i="28"/>
  <c r="G16" i="28"/>
  <c r="M67" i="28"/>
  <c r="H13" i="28"/>
  <c r="H11" i="28" s="1"/>
  <c r="H67" i="28"/>
  <c r="H16" i="28"/>
  <c r="O39" i="28"/>
  <c r="P39" i="28" s="1"/>
  <c r="M30" i="21"/>
  <c r="M47" i="21"/>
  <c r="O31" i="28"/>
  <c r="P31" i="28" s="1"/>
  <c r="M63" i="21"/>
  <c r="O40" i="28"/>
  <c r="P40" i="28" s="1"/>
  <c r="M71" i="21"/>
  <c r="O75" i="28"/>
  <c r="I21" i="28"/>
  <c r="M70" i="21"/>
  <c r="O73" i="28"/>
  <c r="P83" i="21"/>
  <c r="O83" i="21"/>
  <c r="P91" i="21"/>
  <c r="O91" i="21"/>
  <c r="P64" i="21"/>
  <c r="O64" i="21"/>
  <c r="P50" i="21"/>
  <c r="O50" i="21"/>
  <c r="P60" i="21"/>
  <c r="O60" i="21"/>
  <c r="M52" i="21"/>
  <c r="O80" i="28"/>
  <c r="P80" i="28" s="1"/>
  <c r="M50" i="21"/>
  <c r="O78" i="28"/>
  <c r="P78" i="28" s="1"/>
  <c r="P87" i="21"/>
  <c r="O87" i="21"/>
  <c r="O42" i="28"/>
  <c r="M67" i="21"/>
  <c r="M42" i="21"/>
  <c r="O28" i="28"/>
  <c r="P48" i="21"/>
  <c r="O48" i="21"/>
  <c r="P75" i="21"/>
  <c r="O75" i="21"/>
  <c r="O79" i="21"/>
  <c r="P79" i="21"/>
  <c r="P71" i="21"/>
  <c r="O71" i="21"/>
  <c r="O32" i="28"/>
  <c r="P32" i="28" s="1"/>
  <c r="M48" i="21"/>
  <c r="P72" i="28"/>
  <c r="P5" i="21" l="1"/>
  <c r="N100" i="21"/>
  <c r="O11" i="21"/>
  <c r="AX1" i="21"/>
  <c r="P82" i="21"/>
  <c r="O82" i="21"/>
  <c r="O21" i="28"/>
  <c r="P21" i="28" s="1"/>
  <c r="M11" i="21"/>
  <c r="O53" i="28"/>
  <c r="M5" i="21"/>
  <c r="O36" i="21"/>
  <c r="M36" i="21"/>
  <c r="O26" i="28"/>
  <c r="P26" i="28" s="1"/>
  <c r="U62" i="28"/>
  <c r="O13" i="28"/>
  <c r="P13" i="28" s="1"/>
  <c r="G14" i="28"/>
  <c r="J14" i="28" s="1"/>
  <c r="G12" i="28"/>
  <c r="I12" i="28" s="1"/>
  <c r="G48" i="28"/>
  <c r="I13" i="28"/>
  <c r="P63" i="28"/>
  <c r="P67" i="28" s="1"/>
  <c r="O67" i="28"/>
  <c r="O16" i="28"/>
  <c r="P16" i="28" s="1"/>
  <c r="J13" i="28"/>
  <c r="N13" i="28" s="1"/>
  <c r="I15" i="28"/>
  <c r="J15" i="28"/>
  <c r="U56" i="28"/>
  <c r="I57" i="28"/>
  <c r="I16" i="28"/>
  <c r="J16" i="28"/>
  <c r="U21" i="28"/>
  <c r="I48" i="28"/>
  <c r="P28" i="28"/>
  <c r="O15" i="28" l="1"/>
  <c r="P15" i="28" s="1"/>
  <c r="P53" i="28"/>
  <c r="P57" i="28" s="1"/>
  <c r="O57" i="28"/>
  <c r="P48" i="28"/>
  <c r="I14" i="28"/>
  <c r="U14" i="28" s="1"/>
  <c r="J12" i="28"/>
  <c r="M12" i="28" s="1"/>
  <c r="G11" i="28"/>
  <c r="I11" i="28" s="1"/>
  <c r="U13" i="28"/>
  <c r="M13" i="28"/>
  <c r="U16" i="28"/>
  <c r="U15" i="28"/>
  <c r="N15" i="28"/>
  <c r="M15" i="28"/>
  <c r="N16" i="28"/>
  <c r="M16" i="28"/>
  <c r="N14" i="28"/>
  <c r="M14" i="28"/>
  <c r="J11" i="28" l="1"/>
  <c r="U11" i="28" s="1"/>
  <c r="U12" i="28"/>
  <c r="N12" i="28"/>
  <c r="N11" i="28" l="1"/>
  <c r="M11" i="28"/>
  <c r="U6" i="29" l="1"/>
  <c r="U12" i="29"/>
  <c r="U10" i="29"/>
  <c r="U7" i="29"/>
  <c r="U40" i="29"/>
  <c r="U35" i="29"/>
  <c r="U43" i="29"/>
  <c r="U21" i="29"/>
  <c r="U31" i="29"/>
  <c r="U11" i="29"/>
  <c r="U38" i="29"/>
  <c r="U4" i="29"/>
  <c r="U26" i="29"/>
  <c r="U16" i="29"/>
  <c r="U37" i="29"/>
  <c r="U24" i="29"/>
  <c r="U3" i="29"/>
  <c r="U8" i="29"/>
  <c r="U17" i="29" l="1"/>
  <c r="U29" i="29"/>
  <c r="U1" i="29" l="1"/>
  <c r="U82" i="29"/>
  <c r="V84" i="29" s="1"/>
  <c r="AQ3" i="29" l="1"/>
  <c r="AQ29" i="29"/>
  <c r="AQ31" i="29"/>
  <c r="AQ40" i="29"/>
  <c r="AQ26" i="29"/>
  <c r="AQ25" i="29"/>
  <c r="AQ41" i="29"/>
  <c r="AQ17" i="29"/>
  <c r="AQ30" i="29"/>
  <c r="AQ24" i="29"/>
  <c r="AQ42" i="29"/>
  <c r="AQ18" i="29"/>
  <c r="AQ11" i="29"/>
  <c r="AQ6" i="29"/>
  <c r="AQ19" i="29"/>
  <c r="AQ8" i="29"/>
  <c r="AQ32" i="29"/>
  <c r="AQ5" i="29"/>
  <c r="AQ43" i="29"/>
  <c r="AQ16" i="29"/>
  <c r="AQ36" i="29"/>
  <c r="AQ21" i="29"/>
  <c r="AQ13" i="29"/>
  <c r="AQ33" i="29"/>
  <c r="AQ22" i="29"/>
  <c r="AQ14" i="29"/>
  <c r="AQ23" i="29"/>
  <c r="AQ7" i="29"/>
  <c r="AQ12" i="29"/>
  <c r="AQ15" i="29"/>
  <c r="AQ35" i="29"/>
  <c r="AQ37" i="29"/>
  <c r="AQ9" i="29"/>
  <c r="AQ20" i="29"/>
  <c r="AQ38" i="29"/>
  <c r="AQ27" i="29"/>
  <c r="AQ10" i="29"/>
  <c r="AQ39" i="29"/>
  <c r="AQ34" i="29"/>
  <c r="AD84" i="29"/>
  <c r="AQ4" i="29" l="1"/>
  <c r="AL84" i="29" l="1"/>
  <c r="AN84" i="29" l="1"/>
  <c r="K9" i="37" l="1"/>
  <c r="BZ96" i="45" l="1"/>
  <c r="K23" i="48"/>
  <c r="BZ49" i="45"/>
  <c r="K8" i="48"/>
  <c r="BZ74" i="45"/>
  <c r="AO12" i="29"/>
  <c r="N12" i="29" s="1"/>
  <c r="O12" i="29" s="1"/>
  <c r="AO3" i="29"/>
  <c r="N3" i="29" s="1"/>
  <c r="AO10" i="29"/>
  <c r="N10" i="29" s="1"/>
  <c r="AO43" i="29"/>
  <c r="N43" i="29" s="1"/>
  <c r="O43" i="29" s="1"/>
  <c r="AO8" i="29"/>
  <c r="N8" i="29" s="1"/>
  <c r="K3" i="48" l="1"/>
  <c r="O3" i="29"/>
  <c r="AY11" i="45" l="1"/>
  <c r="CE21" i="45" l="1"/>
  <c r="CE70" i="45"/>
  <c r="CE17" i="45"/>
  <c r="CE74" i="45"/>
  <c r="CE37" i="45"/>
  <c r="CE63" i="45"/>
  <c r="CE49" i="45"/>
  <c r="CE53" i="45"/>
  <c r="CE29" i="45"/>
  <c r="CE38" i="45"/>
  <c r="CE69" i="45"/>
  <c r="CE52" i="45"/>
  <c r="CE59" i="45"/>
  <c r="CE68" i="45"/>
  <c r="CE64" i="45"/>
  <c r="CE54" i="45"/>
  <c r="CE44" i="45"/>
  <c r="CE45" i="45"/>
  <c r="CE42" i="45"/>
  <c r="CE32" i="45"/>
  <c r="CE27" i="45"/>
  <c r="CE22" i="45"/>
  <c r="CE67" i="45"/>
  <c r="CE25" i="45"/>
  <c r="CE90" i="45"/>
  <c r="CE34" i="45"/>
  <c r="CE57" i="45"/>
  <c r="CE33" i="45"/>
  <c r="CE46" i="45"/>
  <c r="CE100" i="45"/>
  <c r="CE26" i="45"/>
  <c r="CE71" i="45"/>
  <c r="CE55" i="45"/>
  <c r="CE92" i="45"/>
  <c r="CE77" i="45"/>
  <c r="CE56" i="45"/>
  <c r="CE94" i="45"/>
  <c r="CE40" i="45"/>
  <c r="CE98" i="45"/>
  <c r="CE28" i="45"/>
  <c r="CE75" i="45"/>
  <c r="CE88" i="45"/>
  <c r="CE24" i="45"/>
  <c r="CE39" i="45"/>
  <c r="CE48" i="45"/>
  <c r="CE86" i="45"/>
  <c r="CE51" i="45"/>
  <c r="CE43" i="45"/>
  <c r="CE82" i="45"/>
  <c r="CE87" i="45"/>
  <c r="CE95" i="45"/>
  <c r="CE80" i="45"/>
  <c r="CE91" i="45"/>
  <c r="CE81" i="45"/>
  <c r="CE84" i="45"/>
  <c r="CE79" i="45"/>
  <c r="CE96" i="45"/>
  <c r="CE85" i="45"/>
  <c r="CE99" i="45"/>
  <c r="CE101" i="45"/>
  <c r="CE61" i="45" l="1"/>
  <c r="CE78" i="45"/>
  <c r="CE102" i="45"/>
  <c r="CE89" i="45"/>
  <c r="CE76" i="45"/>
  <c r="CE23" i="45"/>
  <c r="CE18" i="45"/>
  <c r="CE31" i="45"/>
  <c r="CE66" i="45"/>
  <c r="CE83" i="45"/>
  <c r="CE41" i="45"/>
  <c r="CE20" i="45"/>
  <c r="CE30" i="45"/>
  <c r="CE16" i="45"/>
  <c r="CE62" i="45"/>
  <c r="CE97" i="45"/>
  <c r="CE73" i="45"/>
  <c r="CE36" i="45"/>
  <c r="CE35" i="45"/>
  <c r="BA11" i="45"/>
  <c r="CE65" i="45"/>
  <c r="CE50" i="45"/>
  <c r="CE58" i="45"/>
  <c r="CE60" i="45"/>
  <c r="CE47" i="45"/>
  <c r="CE72" i="45"/>
  <c r="CE93" i="45"/>
  <c r="CE19" i="45"/>
  <c r="CF91" i="45" l="1"/>
  <c r="CF95" i="45"/>
  <c r="BY95" i="45" l="1"/>
  <c r="BY91" i="45"/>
  <c r="P91" i="45" l="1"/>
  <c r="O91" i="45"/>
  <c r="O95" i="45"/>
  <c r="P95" i="45"/>
  <c r="CF77" i="45"/>
  <c r="CF31" i="45"/>
  <c r="CF87" i="45"/>
  <c r="CF46" i="45"/>
  <c r="CF45" i="45"/>
  <c r="CF69" i="45"/>
  <c r="CF47" i="45"/>
  <c r="CF60" i="45"/>
  <c r="CF39" i="45"/>
  <c r="CF50" i="45"/>
  <c r="CF105" i="45"/>
  <c r="CF76" i="45"/>
  <c r="CF109" i="45"/>
  <c r="CF58" i="45"/>
  <c r="CF104" i="45"/>
  <c r="CF52" i="45"/>
  <c r="CF65" i="45"/>
  <c r="CF97" i="45"/>
  <c r="CF21" i="45"/>
  <c r="CF92" i="45"/>
  <c r="CF99" i="45"/>
  <c r="CF29" i="45"/>
  <c r="CF78" i="45"/>
  <c r="CF26" i="45"/>
  <c r="CF48" i="45"/>
  <c r="CF110" i="45"/>
  <c r="CF44" i="45"/>
  <c r="CF75" i="45"/>
  <c r="CF30" i="45"/>
  <c r="CF74" i="45"/>
  <c r="CF34" i="45"/>
  <c r="CF55" i="45"/>
  <c r="CF53" i="45"/>
  <c r="CF62" i="45"/>
  <c r="CF84" i="45"/>
  <c r="CF106" i="45"/>
  <c r="CF43" i="45"/>
  <c r="CF82" i="45"/>
  <c r="CF101" i="45"/>
  <c r="CF24" i="45"/>
  <c r="CF100" i="45"/>
  <c r="CF40" i="45"/>
  <c r="CF22" i="45"/>
  <c r="CF19" i="45"/>
  <c r="CF85" i="45"/>
  <c r="CF108" i="45"/>
  <c r="CF80" i="45"/>
  <c r="CF63" i="45"/>
  <c r="CF88" i="45"/>
  <c r="CF66" i="45"/>
  <c r="CF36" i="45"/>
  <c r="CF33" i="45"/>
  <c r="CF71" i="45"/>
  <c r="CF56" i="45"/>
  <c r="CF28" i="45"/>
  <c r="CF59" i="45"/>
  <c r="CF49" i="45"/>
  <c r="CF94" i="45"/>
  <c r="CF98" i="45"/>
  <c r="CF32" i="45"/>
  <c r="CF38" i="45"/>
  <c r="CF70" i="45"/>
  <c r="CF86" i="45"/>
  <c r="CF25" i="45"/>
  <c r="CF107" i="45"/>
  <c r="CF67" i="45"/>
  <c r="CF89" i="45"/>
  <c r="CF81" i="45"/>
  <c r="CF41" i="45"/>
  <c r="CF17" i="45"/>
  <c r="CF90" i="45"/>
  <c r="CF73" i="45"/>
  <c r="CF72" i="45"/>
  <c r="CF68" i="45"/>
  <c r="CF27" i="45"/>
  <c r="CF64" i="45"/>
  <c r="CF54" i="45"/>
  <c r="CF83" i="45"/>
  <c r="CF61" i="45"/>
  <c r="CF103" i="45"/>
  <c r="CF42" i="45"/>
  <c r="CF37" i="45"/>
  <c r="CF57" i="45"/>
  <c r="CF79" i="45"/>
  <c r="CF96" i="45"/>
  <c r="CF35" i="45"/>
  <c r="CF51" i="45"/>
  <c r="CF93" i="45"/>
  <c r="CF102" i="45"/>
  <c r="O16" i="45" l="1"/>
  <c r="CF16" i="45"/>
  <c r="O18" i="45"/>
  <c r="CF18" i="45"/>
  <c r="O20" i="45"/>
  <c r="CF20" i="45"/>
  <c r="CF23" i="45"/>
  <c r="BY102" i="45"/>
  <c r="BY83" i="45"/>
  <c r="BY67" i="45"/>
  <c r="O67" i="45"/>
  <c r="BY56" i="45"/>
  <c r="O56" i="45"/>
  <c r="BY40" i="45"/>
  <c r="O40" i="45"/>
  <c r="BY74" i="45"/>
  <c r="BY92" i="45"/>
  <c r="BY60" i="45"/>
  <c r="O60" i="45"/>
  <c r="BY93" i="45"/>
  <c r="BY54" i="45"/>
  <c r="O54" i="45"/>
  <c r="BY107" i="45"/>
  <c r="BY71" i="45"/>
  <c r="O71" i="45"/>
  <c r="BY100" i="45"/>
  <c r="BY21" i="45"/>
  <c r="BY47" i="45"/>
  <c r="O47" i="45"/>
  <c r="BY64" i="45"/>
  <c r="O64" i="45"/>
  <c r="BY25" i="45"/>
  <c r="O25" i="45"/>
  <c r="BY33" i="45"/>
  <c r="O33" i="45"/>
  <c r="BY24" i="45"/>
  <c r="BY97" i="45"/>
  <c r="BY69" i="45"/>
  <c r="O69" i="45"/>
  <c r="BY35" i="45"/>
  <c r="O35" i="45"/>
  <c r="BY27" i="45"/>
  <c r="O27" i="45"/>
  <c r="BY86" i="45"/>
  <c r="BY36" i="45"/>
  <c r="O36" i="45"/>
  <c r="BY101" i="45"/>
  <c r="BY30" i="45"/>
  <c r="O30" i="45"/>
  <c r="BY65" i="45"/>
  <c r="O65" i="45"/>
  <c r="BY45" i="45"/>
  <c r="O45" i="45"/>
  <c r="BY96" i="45"/>
  <c r="BY70" i="45"/>
  <c r="O70" i="45"/>
  <c r="BY66" i="45"/>
  <c r="O66" i="45"/>
  <c r="BY82" i="45"/>
  <c r="O82" i="45"/>
  <c r="BY75" i="45"/>
  <c r="BY52" i="45"/>
  <c r="O52" i="45"/>
  <c r="BY46" i="45"/>
  <c r="O46" i="45"/>
  <c r="BY38" i="45"/>
  <c r="O38" i="45"/>
  <c r="BY88" i="45"/>
  <c r="O88" i="45"/>
  <c r="BY43" i="45"/>
  <c r="O43" i="45"/>
  <c r="BY44" i="45"/>
  <c r="BY104" i="45"/>
  <c r="BY87" i="45"/>
  <c r="BY51" i="45"/>
  <c r="O51" i="45"/>
  <c r="BY32" i="45"/>
  <c r="BY63" i="45"/>
  <c r="O63" i="45"/>
  <c r="BY106" i="45"/>
  <c r="BY110" i="45"/>
  <c r="BY58" i="45"/>
  <c r="BY31" i="45"/>
  <c r="O31" i="45"/>
  <c r="BY72" i="45"/>
  <c r="BY79" i="45"/>
  <c r="BY57" i="45"/>
  <c r="O57" i="45"/>
  <c r="P90" i="45"/>
  <c r="O90" i="45"/>
  <c r="BY98" i="45"/>
  <c r="O98" i="45"/>
  <c r="BY80" i="45"/>
  <c r="BY84" i="45"/>
  <c r="BY48" i="45"/>
  <c r="O48" i="45"/>
  <c r="BY109" i="45"/>
  <c r="BY77" i="45"/>
  <c r="O77" i="45"/>
  <c r="BY73" i="45"/>
  <c r="BY37" i="45"/>
  <c r="O37" i="45"/>
  <c r="BY17" i="45"/>
  <c r="BY94" i="45"/>
  <c r="BY108" i="45"/>
  <c r="BY62" i="45"/>
  <c r="O62" i="45"/>
  <c r="BY26" i="45"/>
  <c r="O26" i="45"/>
  <c r="BY76" i="45"/>
  <c r="BY68" i="45"/>
  <c r="O68" i="45"/>
  <c r="BY42" i="45"/>
  <c r="BY41" i="45"/>
  <c r="O41" i="45"/>
  <c r="BY49" i="45"/>
  <c r="BY85" i="45"/>
  <c r="BY53" i="45"/>
  <c r="O53" i="45"/>
  <c r="BY78" i="45"/>
  <c r="BY105" i="45"/>
  <c r="BY103" i="45"/>
  <c r="BY81" i="45"/>
  <c r="BY59" i="45"/>
  <c r="O59" i="45"/>
  <c r="BY19" i="45"/>
  <c r="O19" i="45"/>
  <c r="BY55" i="45"/>
  <c r="O55" i="45"/>
  <c r="BY29" i="45"/>
  <c r="O29" i="45"/>
  <c r="BY50" i="45"/>
  <c r="O50" i="45"/>
  <c r="BY61" i="45"/>
  <c r="O61" i="45"/>
  <c r="BY89" i="45"/>
  <c r="BY28" i="45"/>
  <c r="O28" i="45"/>
  <c r="BY22" i="45"/>
  <c r="O22" i="45"/>
  <c r="BY34" i="45"/>
  <c r="O34" i="45"/>
  <c r="BY99" i="45"/>
  <c r="BY39" i="45"/>
  <c r="O39" i="45"/>
  <c r="BY16" i="45"/>
  <c r="BY20" i="45"/>
  <c r="BY23" i="45"/>
  <c r="BY18" i="45"/>
  <c r="BY90" i="45"/>
  <c r="O81" i="45" l="1"/>
  <c r="O110" i="45"/>
  <c r="P110" i="45"/>
  <c r="P104" i="45"/>
  <c r="O104" i="45"/>
  <c r="P107" i="45"/>
  <c r="O107" i="45"/>
  <c r="O89" i="45"/>
  <c r="P89" i="45"/>
  <c r="P87" i="45"/>
  <c r="O87" i="45"/>
  <c r="P96" i="45"/>
  <c r="O96" i="45"/>
  <c r="O86" i="45"/>
  <c r="P86" i="45"/>
  <c r="P99" i="45"/>
  <c r="O99" i="45"/>
  <c r="P103" i="45"/>
  <c r="O103" i="45"/>
  <c r="O108" i="45"/>
  <c r="P108" i="45"/>
  <c r="O109" i="45"/>
  <c r="P109" i="45"/>
  <c r="O106" i="45"/>
  <c r="P106" i="45"/>
  <c r="P93" i="45"/>
  <c r="O93" i="45"/>
  <c r="O78" i="45"/>
  <c r="P78" i="45"/>
  <c r="P101" i="45"/>
  <c r="O101" i="45"/>
  <c r="P105" i="45"/>
  <c r="O105" i="45"/>
  <c r="O80" i="45"/>
  <c r="O100" i="45"/>
  <c r="P100" i="45"/>
  <c r="P92" i="45"/>
  <c r="O92" i="45"/>
  <c r="P102" i="45"/>
  <c r="O102" i="45"/>
  <c r="AZ11" i="45" l="1"/>
  <c r="I116" i="45" l="1"/>
  <c r="K116" i="45" l="1"/>
  <c r="O116" i="45"/>
  <c r="P116" i="45"/>
  <c r="L116" i="45"/>
  <c r="M116" i="45" l="1"/>
  <c r="I79" i="45" l="1"/>
  <c r="I62" i="29"/>
  <c r="I94" i="45"/>
  <c r="D27" i="48" l="1"/>
  <c r="F27" i="48" s="1"/>
  <c r="K94" i="45"/>
  <c r="P94" i="45"/>
  <c r="L94" i="45"/>
  <c r="O94" i="45"/>
  <c r="L62" i="29"/>
  <c r="M62" i="29" s="1"/>
  <c r="K62" i="29"/>
  <c r="O79" i="45"/>
  <c r="L79" i="45"/>
  <c r="M79" i="45" s="1"/>
  <c r="D7" i="48"/>
  <c r="F7" i="48" s="1"/>
  <c r="K79" i="45"/>
  <c r="P79" i="45"/>
  <c r="M94" i="45" l="1"/>
  <c r="I72" i="29"/>
  <c r="I76" i="45"/>
  <c r="I83" i="45"/>
  <c r="I67" i="29"/>
  <c r="K67" i="29" l="1"/>
  <c r="L67" i="29"/>
  <c r="M67" i="29" s="1"/>
  <c r="D11" i="48"/>
  <c r="F11" i="48" s="1"/>
  <c r="K83" i="45"/>
  <c r="M83" i="45"/>
  <c r="O83" i="45"/>
  <c r="L72" i="29"/>
  <c r="M72" i="29" s="1"/>
  <c r="K72" i="29"/>
  <c r="D15" i="48"/>
  <c r="F15" i="48" s="1"/>
  <c r="M76" i="45"/>
  <c r="O76" i="45"/>
  <c r="K76" i="45"/>
  <c r="I97" i="45" l="1"/>
  <c r="L97" i="45" l="1"/>
  <c r="K97" i="45"/>
  <c r="P97" i="45"/>
  <c r="O97" i="45"/>
  <c r="I74" i="45" l="1"/>
  <c r="I63" i="29"/>
  <c r="I36" i="29"/>
  <c r="I49" i="45"/>
  <c r="I75" i="45"/>
  <c r="I71" i="29"/>
  <c r="M97" i="45"/>
  <c r="I85" i="45" l="1"/>
  <c r="I69" i="29"/>
  <c r="L71" i="29"/>
  <c r="M71" i="29" s="1"/>
  <c r="K71" i="29"/>
  <c r="M75" i="45"/>
  <c r="D14" i="48"/>
  <c r="F14" i="48" s="1"/>
  <c r="O75" i="45"/>
  <c r="K75" i="45"/>
  <c r="K49" i="45"/>
  <c r="M49" i="45"/>
  <c r="O49" i="45"/>
  <c r="D23" i="48"/>
  <c r="F23" i="48" s="1"/>
  <c r="K36" i="29"/>
  <c r="M36" i="29"/>
  <c r="L63" i="29"/>
  <c r="M63" i="29" s="1"/>
  <c r="K63" i="29"/>
  <c r="D8" i="48"/>
  <c r="F8" i="48" s="1"/>
  <c r="K74" i="45"/>
  <c r="O74" i="45"/>
  <c r="M74" i="45"/>
  <c r="I84" i="45" l="1"/>
  <c r="I68" i="29"/>
  <c r="K69" i="29"/>
  <c r="L69" i="29"/>
  <c r="M69" i="29" s="1"/>
  <c r="L85" i="45"/>
  <c r="D25" i="48"/>
  <c r="F25" i="48" s="1"/>
  <c r="P85" i="45"/>
  <c r="K85" i="45"/>
  <c r="O85" i="45"/>
  <c r="M85" i="45" l="1"/>
  <c r="I73" i="45"/>
  <c r="I60" i="29"/>
  <c r="K68" i="29"/>
  <c r="L68" i="29"/>
  <c r="M68" i="29" s="1"/>
  <c r="O68" i="29"/>
  <c r="O84" i="45"/>
  <c r="P84" i="45"/>
  <c r="K84" i="45"/>
  <c r="L84" i="45"/>
  <c r="D12" i="48"/>
  <c r="F12" i="48" s="1"/>
  <c r="M84" i="45" l="1"/>
  <c r="K60" i="29"/>
  <c r="L60" i="29"/>
  <c r="M73" i="45"/>
  <c r="O73" i="45"/>
  <c r="K73" i="45"/>
  <c r="I11" i="29"/>
  <c r="I24" i="45"/>
  <c r="I99" i="21"/>
  <c r="I10" i="29"/>
  <c r="I23" i="45"/>
  <c r="I59" i="29"/>
  <c r="I72" i="45"/>
  <c r="R23" i="45" l="1"/>
  <c r="K23" i="45"/>
  <c r="M23" i="45"/>
  <c r="O23" i="45"/>
  <c r="K11" i="29"/>
  <c r="M11" i="29"/>
  <c r="R10" i="29"/>
  <c r="O10" i="29"/>
  <c r="M10" i="29"/>
  <c r="K10" i="29"/>
  <c r="O24" i="45"/>
  <c r="M24" i="45"/>
  <c r="K24" i="45"/>
  <c r="P99" i="21"/>
  <c r="O99" i="21"/>
  <c r="L99" i="21"/>
  <c r="M99" i="21" s="1"/>
  <c r="K99" i="21"/>
  <c r="R99" i="21"/>
  <c r="L82" i="29"/>
  <c r="M60" i="29"/>
  <c r="M72" i="45"/>
  <c r="K72" i="45"/>
  <c r="O72" i="45"/>
  <c r="K59" i="29"/>
  <c r="M59" i="29"/>
  <c r="I32" i="45" l="1"/>
  <c r="I19" i="29"/>
  <c r="K19" i="29" l="1"/>
  <c r="M19" i="29"/>
  <c r="K32" i="45"/>
  <c r="M32" i="45"/>
  <c r="O32" i="45"/>
  <c r="I62" i="21" l="1"/>
  <c r="I17" i="45"/>
  <c r="I4" i="29"/>
  <c r="R4" i="29" l="1"/>
  <c r="M4" i="29"/>
  <c r="K4" i="29"/>
  <c r="R17" i="45"/>
  <c r="O17" i="45"/>
  <c r="M17" i="45"/>
  <c r="K17" i="45"/>
  <c r="K62" i="21"/>
  <c r="O62" i="21"/>
  <c r="AX62" i="21"/>
  <c r="P62" i="21"/>
  <c r="L62" i="21"/>
  <c r="R62" i="21"/>
  <c r="O47" i="28" l="1"/>
  <c r="P47" i="28" s="1"/>
  <c r="M62" i="21"/>
  <c r="I58" i="45" l="1"/>
  <c r="I45" i="29"/>
  <c r="I44" i="45"/>
  <c r="I31" i="29"/>
  <c r="I21" i="45"/>
  <c r="I95" i="21"/>
  <c r="I8" i="29"/>
  <c r="I51" i="21"/>
  <c r="P51" i="21" l="1"/>
  <c r="K51" i="21"/>
  <c r="O51" i="21"/>
  <c r="AX51" i="21"/>
  <c r="R51" i="21"/>
  <c r="L51" i="21"/>
  <c r="I42" i="45"/>
  <c r="I73" i="21"/>
  <c r="I29" i="29"/>
  <c r="R8" i="29"/>
  <c r="K8" i="29"/>
  <c r="O8" i="29"/>
  <c r="M8" i="29"/>
  <c r="P95" i="21"/>
  <c r="O95" i="21"/>
  <c r="L95" i="21"/>
  <c r="M95" i="21" s="1"/>
  <c r="K95" i="21"/>
  <c r="R95" i="21"/>
  <c r="K21" i="45"/>
  <c r="R21" i="45"/>
  <c r="M21" i="45"/>
  <c r="O21" i="45"/>
  <c r="M31" i="29"/>
  <c r="K31" i="29"/>
  <c r="M44" i="45"/>
  <c r="O44" i="45"/>
  <c r="K44" i="45"/>
  <c r="M45" i="29"/>
  <c r="K45" i="29"/>
  <c r="K58" i="45"/>
  <c r="M58" i="45"/>
  <c r="O58" i="45"/>
  <c r="R29" i="29" l="1"/>
  <c r="R82" i="29" s="1"/>
  <c r="M29" i="29"/>
  <c r="K29" i="29"/>
  <c r="AX73" i="21"/>
  <c r="O73" i="21"/>
  <c r="P73" i="21"/>
  <c r="L73" i="21"/>
  <c r="R73" i="21"/>
  <c r="K73" i="21"/>
  <c r="K42" i="45"/>
  <c r="M42" i="45"/>
  <c r="R42" i="45"/>
  <c r="O42" i="45"/>
  <c r="I82" i="29"/>
  <c r="M51" i="21"/>
  <c r="O79" i="28"/>
  <c r="P79" i="28" s="1"/>
  <c r="P82" i="28" s="1"/>
  <c r="M73" i="21" l="1"/>
  <c r="O77" i="28"/>
  <c r="O82" i="28" s="1"/>
  <c r="K82" i="29"/>
  <c r="M82" i="29"/>
  <c r="I68" i="21"/>
  <c r="I66" i="21"/>
  <c r="P68" i="21" l="1"/>
  <c r="AX68" i="21"/>
  <c r="R68" i="21"/>
  <c r="O68" i="21"/>
  <c r="X68" i="21" s="1"/>
  <c r="K68" i="21"/>
  <c r="T68" i="21" s="1"/>
  <c r="L68" i="21"/>
  <c r="K66" i="21"/>
  <c r="L66" i="21"/>
  <c r="O66" i="21"/>
  <c r="R66" i="21"/>
  <c r="AX66" i="21"/>
  <c r="P66" i="21"/>
  <c r="P100" i="21" s="1"/>
  <c r="I100" i="21"/>
  <c r="R100" i="21" l="1"/>
  <c r="AX100" i="21"/>
  <c r="M66" i="21"/>
  <c r="O41" i="28"/>
  <c r="L100" i="21"/>
  <c r="M100" i="21" s="1"/>
  <c r="M68" i="21"/>
  <c r="V68" i="21" s="1"/>
  <c r="O43" i="28"/>
  <c r="K100" i="21"/>
  <c r="O100" i="21"/>
  <c r="A6" i="21" l="1"/>
  <c r="C6" i="21" s="1"/>
  <c r="O12" i="28"/>
  <c r="O48" i="28"/>
  <c r="O14" i="28"/>
  <c r="P14" i="28" s="1"/>
  <c r="P12" i="28" l="1"/>
  <c r="O11" i="28"/>
  <c r="P11" i="28" s="1"/>
  <c r="A21" i="21" l="1"/>
  <c r="C21" i="21" s="1"/>
  <c r="A4" i="21" l="1"/>
  <c r="C4" i="21" s="1"/>
  <c r="A3" i="21"/>
  <c r="A18" i="21"/>
  <c r="C18" i="21" s="1"/>
  <c r="A9" i="21" l="1"/>
  <c r="C9" i="21" s="1"/>
  <c r="C3" i="21"/>
  <c r="A60" i="21" l="1"/>
  <c r="C60" i="21" s="1"/>
  <c r="A17" i="21" l="1"/>
  <c r="A20" i="21"/>
  <c r="C20" i="21" s="1"/>
  <c r="C17" i="21" l="1"/>
  <c r="A25" i="21" l="1"/>
  <c r="C25" i="21" l="1"/>
  <c r="A14" i="21" l="1"/>
  <c r="C14" i="21" s="1"/>
  <c r="A36" i="21" l="1"/>
  <c r="C36" i="21" s="1"/>
  <c r="A27" i="21" l="1"/>
  <c r="C27" i="21" l="1"/>
  <c r="BH27" i="21"/>
  <c r="A26" i="21"/>
  <c r="C26" i="21" s="1"/>
  <c r="BM27" i="21" l="1"/>
  <c r="A11" i="21"/>
  <c r="C11" i="21" s="1"/>
  <c r="A23" i="21"/>
  <c r="C23" i="21" s="1"/>
  <c r="A13" i="21" l="1"/>
  <c r="C13" i="21" s="1"/>
  <c r="A12" i="21" l="1"/>
  <c r="C12" i="21" s="1"/>
  <c r="A29" i="21" l="1"/>
  <c r="C29" i="21" s="1"/>
  <c r="A31" i="21"/>
  <c r="C31" i="21" s="1"/>
  <c r="A7" i="21" l="1"/>
  <c r="C7" i="21" s="1"/>
  <c r="A8" i="21" l="1"/>
  <c r="C8" i="21" s="1"/>
  <c r="A5" i="21" l="1"/>
  <c r="C5" i="21" s="1"/>
  <c r="A22" i="21"/>
  <c r="C22" i="21" s="1"/>
  <c r="A28" i="21" l="1"/>
  <c r="C28" i="21" s="1"/>
  <c r="A30" i="21" l="1"/>
  <c r="C30" i="21" s="1"/>
  <c r="A15" i="21" l="1"/>
  <c r="C15" i="21" s="1"/>
  <c r="A38" i="21" l="1"/>
  <c r="C38" i="21" s="1"/>
  <c r="A35" i="21" l="1"/>
  <c r="C35" i="21" s="1"/>
  <c r="A32" i="21" l="1"/>
  <c r="C32" i="21" s="1"/>
  <c r="A19" i="21" l="1"/>
  <c r="C19" i="21" s="1"/>
  <c r="A37" i="21" l="1"/>
  <c r="C37" i="21" s="1"/>
  <c r="A24" i="21" l="1"/>
  <c r="C24" i="21" s="1"/>
  <c r="A16" i="21" l="1"/>
  <c r="C16" i="21" s="1"/>
  <c r="A10" i="21" l="1"/>
  <c r="C10" i="21" s="1"/>
  <c r="A33" i="21" l="1"/>
  <c r="C33" i="21" s="1"/>
  <c r="A13" i="29" l="1"/>
  <c r="A55" i="21"/>
  <c r="C55" i="21" s="1"/>
  <c r="A26" i="45"/>
  <c r="C26" i="45" s="1"/>
  <c r="C13" i="29" l="1"/>
  <c r="AO13" i="29"/>
  <c r="N13" i="29" s="1"/>
  <c r="O13" i="29" s="1"/>
  <c r="A49" i="21" l="1"/>
  <c r="C49" i="21" s="1"/>
  <c r="A47" i="21" l="1"/>
  <c r="C47" i="21" s="1"/>
  <c r="A39" i="21" l="1"/>
  <c r="C39" i="21" s="1"/>
  <c r="A46" i="21" l="1"/>
  <c r="C46" i="21" s="1"/>
  <c r="A91" i="21" l="1"/>
  <c r="C91" i="21" s="1"/>
  <c r="A42" i="21" l="1"/>
  <c r="C42" i="21" s="1"/>
  <c r="A41" i="21" l="1"/>
  <c r="C41" i="21" s="1"/>
  <c r="A4" i="46" l="1"/>
  <c r="A92" i="45"/>
  <c r="C92" i="45" s="1"/>
  <c r="A80" i="29"/>
  <c r="C80" i="29" s="1"/>
  <c r="A43" i="21"/>
  <c r="C43" i="21" s="1"/>
  <c r="A40" i="21"/>
  <c r="C40" i="21" s="1"/>
  <c r="A28" i="45" l="1"/>
  <c r="C28" i="45" s="1"/>
  <c r="A44" i="21"/>
  <c r="C44" i="21" s="1"/>
  <c r="A15" i="29"/>
  <c r="A45" i="21"/>
  <c r="C45" i="21" s="1"/>
  <c r="C15" i="29" l="1"/>
  <c r="AO15" i="29"/>
  <c r="N15" i="29" s="1"/>
  <c r="O15" i="29" s="1"/>
  <c r="A48" i="21"/>
  <c r="C48" i="21" s="1"/>
  <c r="A50" i="21" l="1"/>
  <c r="C50" i="21" s="1"/>
  <c r="A51" i="21" l="1"/>
  <c r="C51" i="21" l="1"/>
  <c r="BH51" i="21"/>
  <c r="A52" i="21"/>
  <c r="C52" i="21" s="1"/>
  <c r="BM51" i="21" l="1"/>
  <c r="A53" i="21"/>
  <c r="C53" i="21" s="1"/>
  <c r="A54" i="21" l="1"/>
  <c r="C54" i="21" l="1"/>
  <c r="BH54" i="21"/>
  <c r="A56" i="21"/>
  <c r="C56" i="21" s="1"/>
  <c r="BM54" i="21" l="1"/>
  <c r="A34" i="21"/>
  <c r="C34" i="21" s="1"/>
  <c r="A61" i="21" l="1"/>
  <c r="C61" i="21" s="1"/>
  <c r="A57" i="21" l="1"/>
  <c r="C57" i="21" s="1"/>
  <c r="A65" i="21" l="1"/>
  <c r="C65" i="21" s="1"/>
  <c r="A66" i="21" l="1"/>
  <c r="C66" i="21" s="1"/>
  <c r="A67" i="21" l="1"/>
  <c r="C67" i="21" s="1"/>
  <c r="A27" i="45" l="1"/>
  <c r="C27" i="45" s="1"/>
  <c r="A14" i="29"/>
  <c r="A64" i="21"/>
  <c r="A59" i="21"/>
  <c r="C59" i="21" s="1"/>
  <c r="C64" i="21" l="1"/>
  <c r="BH64" i="21"/>
  <c r="BM64" i="21" s="1"/>
  <c r="C14" i="29"/>
  <c r="AO14" i="29"/>
  <c r="N14" i="29" s="1"/>
  <c r="O14" i="29" s="1"/>
  <c r="A63" i="21"/>
  <c r="C63" i="21" s="1"/>
  <c r="A58" i="21" l="1"/>
  <c r="C58" i="21" s="1"/>
  <c r="A4" i="29" l="1"/>
  <c r="A62" i="21"/>
  <c r="A17" i="45"/>
  <c r="A70" i="21"/>
  <c r="C70" i="21" s="1"/>
  <c r="C17" i="45" l="1"/>
  <c r="BH62" i="21"/>
  <c r="C62" i="21"/>
  <c r="AO4" i="29"/>
  <c r="C4" i="29"/>
  <c r="BM62" i="21" l="1"/>
  <c r="A43" i="45"/>
  <c r="C43" i="45" s="1"/>
  <c r="A30" i="29"/>
  <c r="A82" i="21"/>
  <c r="N4" i="29"/>
  <c r="AO30" i="29" l="1"/>
  <c r="N30" i="29" s="1"/>
  <c r="O30" i="29" s="1"/>
  <c r="C30" i="29"/>
  <c r="O4" i="29"/>
  <c r="C82" i="21"/>
  <c r="BH82" i="21"/>
  <c r="BM82" i="21" s="1"/>
  <c r="A28" i="29"/>
  <c r="A41" i="45"/>
  <c r="C41" i="45" s="1"/>
  <c r="A83" i="21"/>
  <c r="A78" i="21"/>
  <c r="C83" i="21" l="1"/>
  <c r="BH83" i="21"/>
  <c r="BM83" i="21" s="1"/>
  <c r="C78" i="21"/>
  <c r="BH78" i="21"/>
  <c r="BM78" i="21" s="1"/>
  <c r="C28" i="29"/>
  <c r="AO28" i="29"/>
  <c r="N28" i="29" s="1"/>
  <c r="O28" i="29" s="1"/>
  <c r="A20" i="45" l="1"/>
  <c r="C20" i="45" s="1"/>
  <c r="A7" i="29"/>
  <c r="A94" i="21"/>
  <c r="C94" i="21" s="1"/>
  <c r="A69" i="21"/>
  <c r="C69" i="21" s="1"/>
  <c r="C7" i="29" l="1"/>
  <c r="AO7" i="29"/>
  <c r="N7" i="29" s="1"/>
  <c r="O7" i="29" s="1"/>
  <c r="A68" i="21"/>
  <c r="C68" i="21" s="1"/>
  <c r="A48" i="45" l="1"/>
  <c r="C48" i="45" s="1"/>
  <c r="A71" i="21"/>
  <c r="A35" i="29"/>
  <c r="C71" i="21" l="1"/>
  <c r="BH71" i="21"/>
  <c r="C35" i="29"/>
  <c r="AO35" i="29"/>
  <c r="N35" i="29" s="1"/>
  <c r="O35" i="29" s="1"/>
  <c r="A72" i="21"/>
  <c r="A50" i="45"/>
  <c r="C50" i="45" s="1"/>
  <c r="A37" i="29"/>
  <c r="BH72" i="21" l="1"/>
  <c r="BM72" i="21" s="1"/>
  <c r="C72" i="21"/>
  <c r="AO37" i="29"/>
  <c r="N37" i="29" s="1"/>
  <c r="O37" i="29" s="1"/>
  <c r="C37" i="29"/>
  <c r="BM71" i="21"/>
  <c r="A39" i="45" l="1"/>
  <c r="C39" i="45" s="1"/>
  <c r="A84" i="21"/>
  <c r="A26" i="29"/>
  <c r="A42" i="45" l="1"/>
  <c r="C42" i="45" s="1"/>
  <c r="A73" i="21"/>
  <c r="C73" i="21" s="1"/>
  <c r="A29" i="29"/>
  <c r="C26" i="29"/>
  <c r="AO26" i="29"/>
  <c r="N26" i="29" s="1"/>
  <c r="O26" i="29" s="1"/>
  <c r="BH84" i="21"/>
  <c r="BM84" i="21" s="1"/>
  <c r="C84" i="21"/>
  <c r="C29" i="29" l="1"/>
  <c r="AO29" i="29"/>
  <c r="N29" i="29" s="1"/>
  <c r="O29" i="29" s="1"/>
  <c r="A30" i="45"/>
  <c r="C30" i="45" s="1"/>
  <c r="A75" i="21"/>
  <c r="A17" i="29"/>
  <c r="A74" i="21"/>
  <c r="C74" i="21" s="1"/>
  <c r="C17" i="29" l="1"/>
  <c r="AO17" i="29"/>
  <c r="N17" i="29" s="1"/>
  <c r="O17" i="29" s="1"/>
  <c r="BH75" i="21"/>
  <c r="BM75" i="21" s="1"/>
  <c r="C75" i="21"/>
  <c r="A79" i="21"/>
  <c r="C79" i="21" l="1"/>
  <c r="BH79" i="21"/>
  <c r="BM79" i="21" s="1"/>
  <c r="A45" i="45" l="1"/>
  <c r="C45" i="45" s="1"/>
  <c r="A32" i="29"/>
  <c r="A76" i="21"/>
  <c r="A80" i="21"/>
  <c r="C80" i="21" l="1"/>
  <c r="BH80" i="21"/>
  <c r="BM80" i="21" s="1"/>
  <c r="C76" i="21"/>
  <c r="BH76" i="21"/>
  <c r="BM76" i="21" s="1"/>
  <c r="C32" i="29"/>
  <c r="AO32" i="29"/>
  <c r="N32" i="29" s="1"/>
  <c r="O32" i="29" s="1"/>
  <c r="A21" i="29" l="1"/>
  <c r="A34" i="45"/>
  <c r="C34" i="45" s="1"/>
  <c r="A77" i="21"/>
  <c r="C21" i="29" l="1"/>
  <c r="AO21" i="29"/>
  <c r="N21" i="29" s="1"/>
  <c r="O21" i="29" s="1"/>
  <c r="A81" i="21"/>
  <c r="A40" i="29"/>
  <c r="A53" i="45"/>
  <c r="C53" i="45" s="1"/>
  <c r="C77" i="21"/>
  <c r="BH77" i="21"/>
  <c r="BM77" i="21" s="1"/>
  <c r="BH81" i="21" l="1"/>
  <c r="BM81" i="21" s="1"/>
  <c r="C81" i="21"/>
  <c r="AO40" i="29"/>
  <c r="N40" i="29" s="1"/>
  <c r="O40" i="29" s="1"/>
  <c r="C40" i="29"/>
  <c r="A37" i="45"/>
  <c r="C37" i="45" s="1"/>
  <c r="A24" i="29"/>
  <c r="A85" i="21"/>
  <c r="C85" i="21" l="1"/>
  <c r="BH85" i="21"/>
  <c r="BM85" i="21" s="1"/>
  <c r="A16" i="29"/>
  <c r="A29" i="45"/>
  <c r="C29" i="45" s="1"/>
  <c r="A86" i="21"/>
  <c r="AO24" i="29"/>
  <c r="N24" i="29" s="1"/>
  <c r="O24" i="29" s="1"/>
  <c r="C24" i="29"/>
  <c r="A87" i="21"/>
  <c r="C87" i="21" l="1"/>
  <c r="BH87" i="21"/>
  <c r="BM87" i="21" s="1"/>
  <c r="C86" i="21"/>
  <c r="BH86" i="21"/>
  <c r="BM86" i="21" s="1"/>
  <c r="C16" i="29"/>
  <c r="AO16" i="29"/>
  <c r="N16" i="29" s="1"/>
  <c r="O16" i="29" s="1"/>
  <c r="A19" i="45" l="1"/>
  <c r="C19" i="45" s="1"/>
  <c r="A6" i="29"/>
  <c r="A88" i="21"/>
  <c r="AO6" i="29" l="1"/>
  <c r="N6" i="29" s="1"/>
  <c r="O6" i="29" s="1"/>
  <c r="C6" i="29"/>
  <c r="C88" i="21"/>
  <c r="BH88" i="21"/>
  <c r="BM88" i="21" s="1"/>
  <c r="A18" i="45" l="1"/>
  <c r="A5" i="29"/>
  <c r="A89" i="21"/>
  <c r="C89" i="21" s="1"/>
  <c r="C5" i="29" l="1"/>
  <c r="AO5" i="29"/>
  <c r="K24" i="37"/>
  <c r="K23" i="37"/>
  <c r="K22" i="37"/>
  <c r="C18" i="45"/>
  <c r="A93" i="21"/>
  <c r="C93" i="21" s="1"/>
  <c r="N5" i="29" l="1"/>
  <c r="O5" i="29" l="1"/>
  <c r="A62" i="45" l="1"/>
  <c r="C62" i="45" s="1"/>
  <c r="A90" i="21"/>
  <c r="A49" i="29"/>
  <c r="BH90" i="21" l="1"/>
  <c r="BM90" i="21" s="1"/>
  <c r="C90" i="21"/>
  <c r="AO49" i="29"/>
  <c r="N49" i="29" s="1"/>
  <c r="O49" i="29" s="1"/>
  <c r="C49" i="29"/>
  <c r="A38" i="29"/>
  <c r="A92" i="21"/>
  <c r="A51" i="45"/>
  <c r="C51" i="45" s="1"/>
  <c r="C92" i="21" l="1"/>
  <c r="BH92" i="21"/>
  <c r="AO38" i="29"/>
  <c r="N38" i="29" s="1"/>
  <c r="O38" i="29" s="1"/>
  <c r="C38" i="29"/>
  <c r="BM92" i="21" l="1"/>
  <c r="BM100" i="21" s="1"/>
  <c r="BH100" i="21"/>
  <c r="BH1" i="21"/>
  <c r="A44" i="45" l="1"/>
  <c r="C44" i="45" s="1"/>
  <c r="A31" i="29"/>
  <c r="A11" i="29" l="1"/>
  <c r="A24" i="45"/>
  <c r="C24" i="45" s="1"/>
  <c r="C31" i="29"/>
  <c r="AO31" i="29"/>
  <c r="N31" i="29" s="1"/>
  <c r="O31" i="29" s="1"/>
  <c r="A31" i="45" l="1"/>
  <c r="C31" i="45" s="1"/>
  <c r="A18" i="29"/>
  <c r="C11" i="29"/>
  <c r="AO11" i="29"/>
  <c r="N11" i="29" s="1"/>
  <c r="O11" i="29" s="1"/>
  <c r="A32" i="45" l="1"/>
  <c r="C32" i="45" s="1"/>
  <c r="A19" i="29"/>
  <c r="C18" i="29"/>
  <c r="AO18" i="29"/>
  <c r="N18" i="29" s="1"/>
  <c r="O18" i="29" s="1"/>
  <c r="A47" i="29" l="1"/>
  <c r="A60" i="45"/>
  <c r="C60" i="45" s="1"/>
  <c r="C19" i="29"/>
  <c r="AO19" i="29"/>
  <c r="N19" i="29" s="1"/>
  <c r="O19" i="29" s="1"/>
  <c r="A38" i="45" l="1"/>
  <c r="C38" i="45" s="1"/>
  <c r="A25" i="29"/>
  <c r="C47" i="29"/>
  <c r="AO47" i="29"/>
  <c r="N47" i="29" s="1"/>
  <c r="O47" i="29" s="1"/>
  <c r="C25" i="29" l="1"/>
  <c r="AO25" i="29"/>
  <c r="N25" i="29" s="1"/>
  <c r="O25" i="29" s="1"/>
  <c r="A72" i="45"/>
  <c r="C72" i="45" s="1"/>
  <c r="A59" i="29"/>
  <c r="A73" i="45" l="1"/>
  <c r="C73" i="45" s="1"/>
  <c r="A60" i="29"/>
  <c r="C59" i="29"/>
  <c r="AO59" i="29"/>
  <c r="N59" i="29" s="1"/>
  <c r="O59" i="29" l="1"/>
  <c r="P59" i="29"/>
  <c r="C60" i="29"/>
  <c r="AO60" i="29"/>
  <c r="N60" i="29" s="1"/>
  <c r="O60" i="29" s="1"/>
  <c r="A58" i="45" l="1"/>
  <c r="C58" i="45" s="1"/>
  <c r="A45" i="29"/>
  <c r="A52" i="45" l="1"/>
  <c r="C52" i="45" s="1"/>
  <c r="A39" i="29"/>
  <c r="C45" i="29"/>
  <c r="AO45" i="29"/>
  <c r="N45" i="29" s="1"/>
  <c r="O45" i="29" s="1"/>
  <c r="A36" i="45" l="1"/>
  <c r="C36" i="45" s="1"/>
  <c r="A23" i="29"/>
  <c r="C39" i="29"/>
  <c r="AO39" i="29"/>
  <c r="N39" i="29" s="1"/>
  <c r="O39" i="29" s="1"/>
  <c r="C23" i="29" l="1"/>
  <c r="AO23" i="29"/>
  <c r="N23" i="29" s="1"/>
  <c r="O23" i="29" s="1"/>
  <c r="A7" i="46" l="1"/>
  <c r="A93" i="45"/>
  <c r="C93" i="45" s="1"/>
  <c r="A81" i="29"/>
  <c r="C81" i="29" s="1"/>
  <c r="A5" i="46" l="1"/>
  <c r="A90" i="45"/>
  <c r="C90" i="45" s="1"/>
  <c r="A78" i="29"/>
  <c r="C78" i="29" s="1"/>
  <c r="A57" i="45" l="1"/>
  <c r="C57" i="45" s="1"/>
  <c r="A44" i="29"/>
  <c r="A54" i="45" l="1"/>
  <c r="C54" i="45" s="1"/>
  <c r="A41" i="29"/>
  <c r="C44" i="29"/>
  <c r="AO44" i="29"/>
  <c r="N44" i="29" s="1"/>
  <c r="O44" i="29" s="1"/>
  <c r="A78" i="45" l="1"/>
  <c r="C78" i="45" s="1"/>
  <c r="A8" i="46"/>
  <c r="A61" i="29"/>
  <c r="C41" i="29"/>
  <c r="AO41" i="29"/>
  <c r="N41" i="29" s="1"/>
  <c r="O41" i="29" s="1"/>
  <c r="C61" i="29" l="1"/>
  <c r="AO61" i="29"/>
  <c r="N61" i="29" s="1"/>
  <c r="A61" i="45" l="1"/>
  <c r="C61" i="45" s="1"/>
  <c r="A48" i="29"/>
  <c r="O61" i="29"/>
  <c r="P61" i="29"/>
  <c r="A22" i="45" l="1"/>
  <c r="A9" i="29"/>
  <c r="C48" i="29"/>
  <c r="AO48" i="29"/>
  <c r="N48" i="29" s="1"/>
  <c r="O48" i="29" s="1"/>
  <c r="C9" i="29" l="1"/>
  <c r="AO9" i="29"/>
  <c r="K20" i="37"/>
  <c r="K8" i="37"/>
  <c r="K26" i="37"/>
  <c r="C22" i="45"/>
  <c r="N9" i="29" l="1"/>
  <c r="O9" i="29" l="1"/>
  <c r="A66" i="45" l="1"/>
  <c r="C66" i="45" s="1"/>
  <c r="A53" i="29"/>
  <c r="A12" i="46" l="1"/>
  <c r="A82" i="45"/>
  <c r="C82" i="45" s="1"/>
  <c r="A66" i="29"/>
  <c r="C53" i="29"/>
  <c r="AO53" i="29"/>
  <c r="N53" i="29" s="1"/>
  <c r="O53" i="29" s="1"/>
  <c r="A65" i="45" l="1"/>
  <c r="C65" i="45" s="1"/>
  <c r="A52" i="29"/>
  <c r="C66" i="29"/>
  <c r="AO66" i="29"/>
  <c r="N66" i="29" s="1"/>
  <c r="O66" i="29" l="1"/>
  <c r="P66" i="29"/>
  <c r="C52" i="29"/>
  <c r="AO52" i="29"/>
  <c r="N52" i="29" s="1"/>
  <c r="O52" i="29" s="1"/>
  <c r="A33" i="45"/>
  <c r="A20" i="29"/>
  <c r="A22" i="29" l="1"/>
  <c r="K19" i="37" s="1"/>
  <c r="A35" i="45"/>
  <c r="C35" i="45" s="1"/>
  <c r="C20" i="29"/>
  <c r="AO20" i="29"/>
  <c r="K29" i="37"/>
  <c r="C33" i="45"/>
  <c r="A76" i="45" l="1"/>
  <c r="C76" i="45" s="1"/>
  <c r="A20" i="46"/>
  <c r="A72" i="29"/>
  <c r="N20" i="29"/>
  <c r="K30" i="37"/>
  <c r="AO22" i="29"/>
  <c r="N22" i="29" s="1"/>
  <c r="O22" i="29" s="1"/>
  <c r="C22" i="29"/>
  <c r="A40" i="45" l="1"/>
  <c r="A27" i="29"/>
  <c r="O20" i="29"/>
  <c r="C72" i="29"/>
  <c r="AO72" i="29"/>
  <c r="N72" i="29" s="1"/>
  <c r="C40" i="45" l="1"/>
  <c r="O72" i="29"/>
  <c r="P72" i="29"/>
  <c r="C27" i="29"/>
  <c r="AO27" i="29"/>
  <c r="N27" i="29" s="1"/>
  <c r="K18" i="37"/>
  <c r="A63" i="45"/>
  <c r="C63" i="45" s="1"/>
  <c r="A50" i="29"/>
  <c r="AO50" i="29" l="1"/>
  <c r="N50" i="29" s="1"/>
  <c r="O50" i="29" s="1"/>
  <c r="C50" i="29"/>
  <c r="O27" i="29"/>
  <c r="A23" i="46" l="1"/>
  <c r="A49" i="45"/>
  <c r="C49" i="45" s="1"/>
  <c r="A36" i="29"/>
  <c r="C36" i="29" l="1"/>
  <c r="AO36" i="29"/>
  <c r="N36" i="29" s="1"/>
  <c r="O36" i="29" s="1"/>
  <c r="A34" i="29"/>
  <c r="A47" i="45"/>
  <c r="C47" i="45" s="1"/>
  <c r="C34" i="29" l="1"/>
  <c r="AO34" i="29"/>
  <c r="N34" i="29" s="1"/>
  <c r="O34" i="29" s="1"/>
  <c r="A46" i="29"/>
  <c r="A59" i="45"/>
  <c r="C59" i="45" s="1"/>
  <c r="C46" i="29" l="1"/>
  <c r="AO46" i="29"/>
  <c r="N46" i="29" s="1"/>
  <c r="O46" i="29" s="1"/>
  <c r="A71" i="45"/>
  <c r="C71" i="45" s="1"/>
  <c r="A58" i="29"/>
  <c r="A64" i="45" l="1"/>
  <c r="C64" i="45" s="1"/>
  <c r="A51" i="29"/>
  <c r="C58" i="29"/>
  <c r="AO58" i="29"/>
  <c r="N58" i="29" s="1"/>
  <c r="O58" i="29" s="1"/>
  <c r="C51" i="29" l="1"/>
  <c r="AO51" i="29"/>
  <c r="N51" i="29" s="1"/>
  <c r="O51" i="29" s="1"/>
  <c r="A69" i="45"/>
  <c r="C69" i="45" s="1"/>
  <c r="A56" i="29"/>
  <c r="A67" i="45" l="1"/>
  <c r="C67" i="45" s="1"/>
  <c r="A54" i="29"/>
  <c r="C56" i="29"/>
  <c r="AO56" i="29"/>
  <c r="N56" i="29" s="1"/>
  <c r="O56" i="29" s="1"/>
  <c r="A19" i="46" l="1"/>
  <c r="A75" i="45"/>
  <c r="C75" i="45" s="1"/>
  <c r="A71" i="29"/>
  <c r="C54" i="29"/>
  <c r="AO54" i="29"/>
  <c r="N54" i="29" s="1"/>
  <c r="O54" i="29" s="1"/>
  <c r="C71" i="29" l="1"/>
  <c r="AO71" i="29"/>
  <c r="N71" i="29" s="1"/>
  <c r="A9" i="46"/>
  <c r="A74" i="45"/>
  <c r="C74" i="45" s="1"/>
  <c r="A63" i="29"/>
  <c r="AO63" i="29" l="1"/>
  <c r="N63" i="29" s="1"/>
  <c r="C63" i="29"/>
  <c r="A91" i="45"/>
  <c r="C91" i="45" s="1"/>
  <c r="A13" i="46"/>
  <c r="A79" i="29"/>
  <c r="O71" i="29"/>
  <c r="P71" i="29"/>
  <c r="A18" i="46" l="1"/>
  <c r="A77" i="45"/>
  <c r="C77" i="45" s="1"/>
  <c r="A74" i="29"/>
  <c r="O63" i="29"/>
  <c r="P63" i="29"/>
  <c r="C79" i="29"/>
  <c r="K32" i="37"/>
  <c r="C74" i="29" l="1"/>
  <c r="AO74" i="29"/>
  <c r="N74" i="29" l="1"/>
  <c r="O74" i="29" s="1"/>
  <c r="A42" i="29"/>
  <c r="A55" i="45"/>
  <c r="C55" i="45" s="1"/>
  <c r="C42" i="29" l="1"/>
  <c r="AO42" i="29"/>
  <c r="N42" i="29" s="1"/>
  <c r="O42" i="29" s="1"/>
  <c r="A14" i="46" l="1"/>
  <c r="A83" i="45"/>
  <c r="A67" i="29"/>
  <c r="C83" i="45" l="1"/>
  <c r="A33" i="29"/>
  <c r="A46" i="45"/>
  <c r="C67" i="29"/>
  <c r="AO67" i="29"/>
  <c r="N67" i="29" s="1"/>
  <c r="A68" i="45" l="1"/>
  <c r="A55" i="29"/>
  <c r="C46" i="45"/>
  <c r="L23" i="46"/>
  <c r="L24" i="46" s="1"/>
  <c r="N23" i="46"/>
  <c r="O67" i="29"/>
  <c r="P67" i="29"/>
  <c r="C33" i="29"/>
  <c r="AO33" i="29"/>
  <c r="K28" i="37"/>
  <c r="K37" i="37"/>
  <c r="K21" i="37"/>
  <c r="K34" i="37"/>
  <c r="K38" i="37"/>
  <c r="K40" i="37"/>
  <c r="K35" i="37"/>
  <c r="K33" i="37"/>
  <c r="A17" i="46" l="1"/>
  <c r="A81" i="45"/>
  <c r="C81" i="45" s="1"/>
  <c r="A65" i="29"/>
  <c r="N33" i="29"/>
  <c r="O33" i="29" s="1"/>
  <c r="N24" i="46"/>
  <c r="O23" i="46"/>
  <c r="K39" i="37"/>
  <c r="AO55" i="29"/>
  <c r="N55" i="29" s="1"/>
  <c r="O55" i="29" s="1"/>
  <c r="C55" i="29"/>
  <c r="C68" i="45"/>
  <c r="A70" i="29" l="1"/>
  <c r="A10" i="46"/>
  <c r="A86" i="45"/>
  <c r="C86" i="45" s="1"/>
  <c r="C65" i="29"/>
  <c r="AO65" i="29"/>
  <c r="N65" i="29" s="1"/>
  <c r="P23" i="46"/>
  <c r="O24" i="46"/>
  <c r="P24" i="46" s="1"/>
  <c r="A70" i="45" l="1"/>
  <c r="A57" i="29"/>
  <c r="O65" i="29"/>
  <c r="P65" i="29"/>
  <c r="AO70" i="29"/>
  <c r="N70" i="29" s="1"/>
  <c r="C70" i="29"/>
  <c r="C70" i="45" l="1"/>
  <c r="N19" i="46"/>
  <c r="N9" i="46"/>
  <c r="N18" i="46"/>
  <c r="L18" i="46"/>
  <c r="L9" i="46"/>
  <c r="N20" i="46"/>
  <c r="L19" i="46"/>
  <c r="L20" i="46"/>
  <c r="P70" i="29"/>
  <c r="O70" i="29"/>
  <c r="C57" i="29"/>
  <c r="AO57" i="29"/>
  <c r="K25" i="37"/>
  <c r="K36" i="37"/>
  <c r="K11" i="37"/>
  <c r="K10" i="37"/>
  <c r="S19" i="46" l="1"/>
  <c r="S20" i="46"/>
  <c r="O18" i="46"/>
  <c r="P18" i="46" s="1"/>
  <c r="O9" i="46"/>
  <c r="P9" i="46" s="1"/>
  <c r="O20" i="46"/>
  <c r="P20" i="46" s="1"/>
  <c r="A77" i="29"/>
  <c r="A15" i="46"/>
  <c r="A89" i="45"/>
  <c r="C89" i="45" s="1"/>
  <c r="N57" i="29"/>
  <c r="O57" i="29" s="1"/>
  <c r="S9" i="46"/>
  <c r="S18" i="46"/>
  <c r="O19" i="46"/>
  <c r="P19" i="46" s="1"/>
  <c r="A85" i="45" l="1"/>
  <c r="A69" i="29"/>
  <c r="C77" i="29"/>
  <c r="AO77" i="29"/>
  <c r="N77" i="29" s="1"/>
  <c r="C85" i="45" l="1"/>
  <c r="O77" i="29"/>
  <c r="P77" i="29"/>
  <c r="C69" i="29"/>
  <c r="AO69" i="29"/>
  <c r="N69" i="29" s="1"/>
  <c r="A6" i="46" l="1"/>
  <c r="A79" i="45"/>
  <c r="A62" i="29"/>
  <c r="O69" i="29"/>
  <c r="P69" i="29"/>
  <c r="A75" i="29"/>
  <c r="C79" i="45" l="1"/>
  <c r="AO62" i="29"/>
  <c r="C62" i="29"/>
  <c r="K15" i="37"/>
  <c r="AO75" i="29"/>
  <c r="N75" i="29" s="1"/>
  <c r="C75" i="29"/>
  <c r="N6" i="46"/>
  <c r="L6" i="46"/>
  <c r="N62" i="29" l="1"/>
  <c r="AO1" i="29"/>
  <c r="AO82" i="29"/>
  <c r="AP84" i="29" s="1"/>
  <c r="A87" i="45"/>
  <c r="A73" i="29"/>
  <c r="C73" i="29" s="1"/>
  <c r="S6" i="46"/>
  <c r="O6" i="46"/>
  <c r="P6" i="46" s="1"/>
  <c r="O75" i="29"/>
  <c r="P75" i="29"/>
  <c r="C87" i="45" l="1"/>
  <c r="A16" i="46"/>
  <c r="A84" i="45"/>
  <c r="A68" i="29"/>
  <c r="C68" i="29" s="1"/>
  <c r="O62" i="29"/>
  <c r="P62" i="29"/>
  <c r="P82" i="29" s="1"/>
  <c r="N82" i="29"/>
  <c r="O82" i="29" s="1"/>
  <c r="C84" i="45" l="1"/>
  <c r="A88" i="45"/>
  <c r="C88" i="45" s="1"/>
  <c r="A11" i="46"/>
  <c r="A76" i="29"/>
  <c r="A94" i="45"/>
  <c r="C94" i="45" l="1"/>
  <c r="A64" i="29"/>
  <c r="A80" i="45"/>
  <c r="N11" i="46" s="1"/>
  <c r="C76" i="29"/>
  <c r="K41" i="37" l="1"/>
  <c r="C64" i="29"/>
  <c r="K27" i="37"/>
  <c r="K12" i="37"/>
  <c r="K13" i="37"/>
  <c r="N26" i="46"/>
  <c r="L26" i="46"/>
  <c r="L27" i="46" s="1"/>
  <c r="K14" i="37"/>
  <c r="K31" i="37"/>
  <c r="K16" i="37"/>
  <c r="K42" i="37"/>
  <c r="K17" i="37"/>
  <c r="L11" i="46"/>
  <c r="S11" i="46" s="1"/>
  <c r="C80" i="45"/>
  <c r="N10" i="46"/>
  <c r="L10" i="46"/>
  <c r="L17" i="46"/>
  <c r="N17" i="46"/>
  <c r="L13" i="46"/>
  <c r="N14" i="46"/>
  <c r="L14" i="46"/>
  <c r="N15" i="46"/>
  <c r="L15" i="46"/>
  <c r="N16" i="46"/>
  <c r="L16" i="46"/>
  <c r="A96" i="45"/>
  <c r="C96" i="45" l="1"/>
  <c r="S16" i="46"/>
  <c r="O17" i="46"/>
  <c r="P17" i="46" s="1"/>
  <c r="O14" i="46"/>
  <c r="P14" i="46" s="1"/>
  <c r="L35" i="46"/>
  <c r="S15" i="46"/>
  <c r="O15" i="46"/>
  <c r="P15" i="46" s="1"/>
  <c r="L38" i="46"/>
  <c r="S14" i="46"/>
  <c r="N27" i="46"/>
  <c r="O26" i="46"/>
  <c r="S17" i="46"/>
  <c r="S10" i="46"/>
  <c r="O10" i="46"/>
  <c r="P10" i="46" s="1"/>
  <c r="O16" i="46"/>
  <c r="P16" i="46" s="1"/>
  <c r="O11" i="46"/>
  <c r="P11" i="46" s="1"/>
  <c r="A95" i="45"/>
  <c r="C95" i="45" l="1"/>
  <c r="N35" i="46"/>
  <c r="O35" i="46"/>
  <c r="P26" i="46"/>
  <c r="O27" i="46"/>
  <c r="P27" i="46" s="1"/>
  <c r="N38" i="46"/>
  <c r="O38" i="46"/>
  <c r="A97" i="45"/>
  <c r="C97" i="45" l="1"/>
  <c r="A98" i="45"/>
  <c r="C98" i="45" s="1"/>
  <c r="A99" i="45" l="1"/>
  <c r="C99" i="45" l="1"/>
  <c r="A100" i="45"/>
  <c r="C100" i="45" l="1"/>
  <c r="A102" i="45"/>
  <c r="C102" i="45" l="1"/>
  <c r="A101" i="45"/>
  <c r="C101" i="45" l="1"/>
  <c r="A103" i="45"/>
  <c r="C103" i="45" s="1"/>
  <c r="A104" i="45" l="1"/>
  <c r="C104" i="45" s="1"/>
  <c r="A105" i="45" l="1"/>
  <c r="C105" i="45" l="1"/>
  <c r="A106" i="45"/>
  <c r="C106" i="45" s="1"/>
  <c r="A107" i="45" l="1"/>
  <c r="C107" i="45" l="1"/>
  <c r="A108" i="45"/>
  <c r="C108" i="45" l="1"/>
  <c r="A109" i="45"/>
  <c r="C109" i="45" l="1"/>
  <c r="A110" i="45"/>
  <c r="C110" i="45" l="1"/>
  <c r="A111" i="45"/>
  <c r="C111" i="45" l="1"/>
  <c r="A112" i="45"/>
  <c r="C112" i="45" l="1"/>
  <c r="A113" i="45" l="1"/>
  <c r="C113" i="45" s="1"/>
  <c r="A114" i="45"/>
  <c r="C114" i="45" s="1"/>
  <c r="A115" i="45" l="1"/>
  <c r="C115" i="45" l="1"/>
  <c r="A116" i="45"/>
  <c r="C116" i="45" l="1"/>
  <c r="A117" i="45"/>
  <c r="C117" i="45" l="1"/>
  <c r="A118" i="45"/>
  <c r="C118" i="45" l="1"/>
  <c r="A119" i="45"/>
  <c r="C119" i="45" l="1"/>
  <c r="N4" i="46"/>
  <c r="L4" i="46"/>
  <c r="N8" i="46"/>
  <c r="N5" i="46"/>
  <c r="L8" i="46"/>
  <c r="L5" i="46"/>
  <c r="L7" i="46"/>
  <c r="N7" i="46"/>
  <c r="N12" i="46"/>
  <c r="L12" i="46"/>
  <c r="N13" i="46"/>
  <c r="A120" i="45"/>
  <c r="C120" i="45" s="1"/>
  <c r="S5" i="46" l="1"/>
  <c r="O12" i="46"/>
  <c r="P12" i="46" s="1"/>
  <c r="O7" i="46"/>
  <c r="P7" i="46" s="1"/>
  <c r="O5" i="46"/>
  <c r="P5" i="46" s="1"/>
  <c r="S12" i="46"/>
  <c r="L36" i="46"/>
  <c r="O13" i="46"/>
  <c r="P13" i="46" s="1"/>
  <c r="S13" i="46"/>
  <c r="S7" i="46"/>
  <c r="S8" i="46"/>
  <c r="L37" i="46"/>
  <c r="O8" i="46"/>
  <c r="P8" i="46" s="1"/>
  <c r="M45" i="46"/>
  <c r="L39" i="46"/>
  <c r="S4" i="46"/>
  <c r="L31" i="46"/>
  <c r="L46" i="46" s="1"/>
  <c r="L21" i="46"/>
  <c r="N21" i="46"/>
  <c r="M44" i="46"/>
  <c r="O4" i="46"/>
  <c r="P4" i="46" s="1"/>
  <c r="L32" i="46"/>
  <c r="A121" i="45"/>
  <c r="C121" i="45" l="1"/>
  <c r="S21" i="46"/>
  <c r="N39" i="46"/>
  <c r="O39" i="46"/>
  <c r="N29" i="46"/>
  <c r="O21" i="46"/>
  <c r="P21" i="46" s="1"/>
  <c r="M32" i="46"/>
  <c r="O36" i="46"/>
  <c r="N36" i="46"/>
  <c r="L40" i="46"/>
  <c r="N37" i="46"/>
  <c r="O37" i="46"/>
  <c r="L29" i="46"/>
  <c r="M31" i="46"/>
  <c r="O40" i="46" l="1"/>
  <c r="N40" i="46"/>
  <c r="O29" i="46"/>
  <c r="P29" i="46" s="1"/>
  <c r="T29" i="46"/>
  <c r="C23" i="45" l="1"/>
  <c r="C10" i="29"/>
  <c r="C3" i="29"/>
  <c r="C43" i="29"/>
  <c r="C95" i="21"/>
  <c r="C99" i="21"/>
  <c r="C25" i="45"/>
  <c r="C8" i="29"/>
  <c r="C21" i="45"/>
  <c r="C56" i="45"/>
  <c r="C16" i="45"/>
  <c r="C97" i="21"/>
  <c r="C12" i="29"/>
  <c r="C98" i="21"/>
  <c r="C96" i="21"/>
  <c r="BL8" i="45" l="1"/>
  <c r="BL4" i="45"/>
  <c r="BL5" i="45"/>
  <c r="BK6" i="45"/>
  <c r="BK4" i="45"/>
  <c r="BK5" i="45"/>
  <c r="BK3" i="45"/>
  <c r="BK7" i="45"/>
  <c r="BL6" i="45"/>
  <c r="BK8" i="45"/>
  <c r="BL7" i="45"/>
  <c r="BL3" i="45"/>
  <c r="BJ8" i="45"/>
  <c r="BJ6" i="45"/>
  <c r="BJ4" i="45"/>
  <c r="BJ3" i="45"/>
  <c r="BJ7" i="45"/>
  <c r="BJ5" i="45"/>
  <c r="BF8" i="45"/>
  <c r="BB8" i="45"/>
  <c r="Y5" i="45"/>
  <c r="AU4" i="45"/>
  <c r="BD6" i="45"/>
  <c r="AQ4" i="45"/>
  <c r="BG6" i="45"/>
  <c r="AN3" i="45"/>
  <c r="AC7" i="45"/>
  <c r="X5" i="45"/>
  <c r="BI3" i="45"/>
  <c r="I5" i="45"/>
  <c r="BE5" i="45"/>
  <c r="AU3" i="45"/>
  <c r="AC4" i="45"/>
  <c r="BA4" i="45"/>
  <c r="BB5" i="45"/>
  <c r="AN5" i="45"/>
  <c r="BE6" i="45"/>
  <c r="AY7" i="45"/>
  <c r="L3" i="45"/>
  <c r="AX4" i="45"/>
  <c r="BF5" i="45"/>
  <c r="BA3" i="45"/>
  <c r="AE6" i="45"/>
  <c r="BF6" i="45"/>
  <c r="V3" i="45"/>
  <c r="Z4" i="45"/>
  <c r="AB6" i="45"/>
  <c r="AY4" i="45"/>
  <c r="AJ5" i="45"/>
  <c r="AN7" i="45"/>
  <c r="BI4" i="45"/>
  <c r="BA7" i="45"/>
  <c r="AG3" i="45"/>
  <c r="BC8" i="45"/>
  <c r="BE8" i="45"/>
  <c r="Y4" i="45"/>
  <c r="AB3" i="45"/>
  <c r="BD3" i="45"/>
  <c r="T3" i="45"/>
  <c r="J4" i="45"/>
  <c r="AE4" i="45"/>
  <c r="J7" i="45"/>
  <c r="AC5" i="45"/>
  <c r="AP4" i="45"/>
  <c r="AL6" i="45"/>
  <c r="L4" i="45"/>
  <c r="BC5" i="45"/>
  <c r="I6" i="45"/>
  <c r="AK6" i="45"/>
  <c r="BC4" i="45"/>
  <c r="J6" i="45"/>
  <c r="AA4" i="45"/>
  <c r="BH8" i="45"/>
  <c r="BD8" i="45"/>
  <c r="AQ5" i="45"/>
  <c r="V4" i="45"/>
  <c r="Z7" i="45"/>
  <c r="AA3" i="45"/>
  <c r="AK4" i="45"/>
  <c r="BH3" i="45"/>
  <c r="AF7" i="45"/>
  <c r="AJ6" i="45"/>
  <c r="T4" i="45"/>
  <c r="AW5" i="45"/>
  <c r="U6" i="45"/>
  <c r="BC6" i="45"/>
  <c r="BE7" i="45"/>
  <c r="BG5" i="45"/>
  <c r="AE5" i="45"/>
  <c r="BB3" i="45"/>
  <c r="AD7" i="45"/>
  <c r="AX3" i="45"/>
  <c r="AU8" i="45"/>
  <c r="BG8" i="45"/>
  <c r="T6" i="45"/>
  <c r="AM4" i="45"/>
  <c r="AB5" i="45"/>
  <c r="BD5" i="45"/>
  <c r="U4" i="45"/>
  <c r="BI6" i="45"/>
  <c r="AM3" i="45"/>
  <c r="AQ7" i="45"/>
  <c r="AM5" i="45"/>
  <c r="Z5" i="45"/>
  <c r="AL3" i="45"/>
  <c r="Y6" i="45"/>
  <c r="AH4" i="45"/>
  <c r="X7" i="45"/>
  <c r="AZ6" i="45"/>
  <c r="AG6" i="45"/>
  <c r="BI8" i="45"/>
  <c r="J8" i="45"/>
  <c r="AV3" i="45"/>
  <c r="AX5" i="45"/>
  <c r="BG3" i="45"/>
  <c r="AG5" i="45"/>
  <c r="AZ5" i="45"/>
  <c r="AU6" i="45"/>
  <c r="AH3" i="45"/>
  <c r="L6" i="45"/>
  <c r="L7" i="45"/>
  <c r="BA5" i="45"/>
  <c r="AI3" i="45"/>
  <c r="AE7" i="45"/>
  <c r="U3" i="45"/>
  <c r="AQ6" i="45"/>
  <c r="X3" i="45"/>
  <c r="BH6" i="45"/>
  <c r="AV8" i="45"/>
  <c r="L8" i="45"/>
  <c r="AP7" i="45"/>
  <c r="X4" i="45"/>
  <c r="BI5" i="45"/>
  <c r="J5" i="45"/>
  <c r="AQ3" i="45"/>
  <c r="T7" i="45"/>
  <c r="V7" i="45"/>
  <c r="AI4" i="45"/>
  <c r="AA5" i="45"/>
  <c r="BG4" i="45"/>
  <c r="BH4" i="45"/>
  <c r="AP5" i="45"/>
  <c r="U7" i="45"/>
  <c r="W4" i="45"/>
  <c r="AB4" i="45"/>
  <c r="AW8" i="45"/>
  <c r="BC7" i="45"/>
  <c r="AO5" i="45"/>
  <c r="AH6" i="45"/>
  <c r="AH5" i="45"/>
  <c r="BD4" i="45"/>
  <c r="BB6" i="45"/>
  <c r="AI5" i="45"/>
  <c r="AE3" i="45"/>
  <c r="W5" i="45"/>
  <c r="BC3" i="45"/>
  <c r="AY6" i="45"/>
  <c r="U5" i="45"/>
  <c r="AC3" i="45"/>
  <c r="BF7" i="45"/>
  <c r="AF5" i="45"/>
  <c r="I8" i="45"/>
  <c r="BH5" i="45"/>
  <c r="W7" i="45"/>
  <c r="AW7" i="45"/>
  <c r="AD3" i="45"/>
  <c r="AA6" i="45"/>
  <c r="AF4" i="45"/>
  <c r="AZ4" i="45"/>
  <c r="BB7" i="45"/>
  <c r="AK5" i="45"/>
  <c r="AA7" i="45"/>
  <c r="AO7" i="45"/>
  <c r="X6" i="45"/>
  <c r="AJ3" i="45"/>
  <c r="AZ7" i="45"/>
  <c r="BI7" i="45"/>
  <c r="AX8" i="45"/>
  <c r="Y7" i="45"/>
  <c r="AI6" i="45"/>
  <c r="I7" i="45"/>
  <c r="AI7" i="45"/>
  <c r="AW3" i="45"/>
  <c r="AF3" i="45"/>
  <c r="BF4" i="45"/>
  <c r="AO4" i="45"/>
  <c r="AH7" i="45"/>
  <c r="AJ4" i="45"/>
  <c r="AM6" i="45"/>
  <c r="Y3" i="45"/>
  <c r="AU5" i="45"/>
  <c r="AY8" i="45"/>
  <c r="AL4" i="45"/>
  <c r="AY3" i="45"/>
  <c r="BB4" i="45"/>
  <c r="AK3" i="45"/>
  <c r="AV6" i="45"/>
  <c r="AZ3" i="45"/>
  <c r="AU7" i="45"/>
  <c r="BH7" i="45"/>
  <c r="V6" i="45"/>
  <c r="AP6" i="45"/>
  <c r="AV4" i="45"/>
  <c r="AV5" i="45"/>
  <c r="Z6" i="45"/>
  <c r="AF6" i="45"/>
  <c r="BF3" i="45"/>
  <c r="AL7" i="45"/>
  <c r="L5" i="45"/>
  <c r="AO6" i="45"/>
  <c r="AV7" i="45"/>
  <c r="AZ8" i="45"/>
  <c r="W6" i="45"/>
  <c r="AX6" i="45"/>
  <c r="AW4" i="45"/>
  <c r="T5" i="45"/>
  <c r="AD4" i="45"/>
  <c r="BD7" i="45"/>
  <c r="AO3" i="45"/>
  <c r="BE3" i="45"/>
  <c r="AM7" i="45"/>
  <c r="AN6" i="45"/>
  <c r="AW6" i="45"/>
  <c r="I3" i="45"/>
  <c r="AD6" i="45"/>
  <c r="J3" i="45"/>
  <c r="AP3" i="45"/>
  <c r="I4" i="45"/>
  <c r="BA8" i="45"/>
  <c r="BE4" i="45"/>
  <c r="BA6" i="45"/>
  <c r="AG7" i="45"/>
  <c r="AY5" i="45"/>
  <c r="BG7" i="45"/>
  <c r="AL5" i="45"/>
  <c r="V5" i="45"/>
  <c r="W3" i="45"/>
  <c r="AJ7" i="45"/>
  <c r="AN4" i="45"/>
  <c r="Z3" i="45"/>
  <c r="AC6" i="45"/>
  <c r="AX7" i="45"/>
  <c r="AG4" i="45"/>
  <c r="AD5" i="45"/>
  <c r="AB7" i="45"/>
  <c r="AK7" i="45"/>
  <c r="BL9" i="45" l="1"/>
  <c r="BK9" i="45"/>
  <c r="BJ9" i="45"/>
  <c r="Y9" i="45"/>
  <c r="W9" i="45"/>
  <c r="AE9" i="45"/>
  <c r="Z9" i="45"/>
  <c r="AP9" i="45"/>
  <c r="AZ9" i="45"/>
  <c r="AZ12" i="45" s="1"/>
  <c r="BB9" i="45"/>
  <c r="BB12" i="45" s="1"/>
  <c r="AA9" i="45"/>
  <c r="BA9" i="45"/>
  <c r="BA12" i="45" s="1"/>
  <c r="BF9" i="45"/>
  <c r="BF12" i="45" s="1"/>
  <c r="U9" i="45"/>
  <c r="AS3" i="45"/>
  <c r="AV9" i="45"/>
  <c r="AV12" i="45" s="1"/>
  <c r="AM9" i="45"/>
  <c r="AG9" i="45"/>
  <c r="BI9" i="45"/>
  <c r="BE9" i="45"/>
  <c r="BE12" i="45" s="1"/>
  <c r="AK9" i="45"/>
  <c r="AF9" i="45"/>
  <c r="AR7" i="45"/>
  <c r="K8" i="45"/>
  <c r="AO9" i="45"/>
  <c r="AW9" i="45"/>
  <c r="AW12" i="45" s="1"/>
  <c r="AC9" i="45"/>
  <c r="AQ9" i="45"/>
  <c r="AI9" i="45"/>
  <c r="AS4" i="45"/>
  <c r="L9" i="45"/>
  <c r="L11" i="45" s="1"/>
  <c r="AY9" i="45"/>
  <c r="AY12" i="45" s="1"/>
  <c r="AS5" i="45"/>
  <c r="K5" i="45"/>
  <c r="K7" i="45"/>
  <c r="AN9" i="45"/>
  <c r="AS6" i="45"/>
  <c r="AR5" i="45"/>
  <c r="BC9" i="45"/>
  <c r="BC12" i="45" s="1"/>
  <c r="K4" i="45"/>
  <c r="AS7" i="45"/>
  <c r="AH9" i="45"/>
  <c r="AR6" i="45"/>
  <c r="AR4" i="45"/>
  <c r="K6" i="45"/>
  <c r="AR3" i="45"/>
  <c r="T9" i="45"/>
  <c r="J9" i="45"/>
  <c r="K3" i="45"/>
  <c r="AD9" i="45"/>
  <c r="BD9" i="45"/>
  <c r="BD12" i="45" s="1"/>
  <c r="AL9" i="45"/>
  <c r="AB9" i="45"/>
  <c r="V9" i="45"/>
  <c r="I9" i="45"/>
  <c r="AX9" i="45"/>
  <c r="AX12" i="45" s="1"/>
  <c r="BH9" i="45"/>
  <c r="BH12" i="45" s="1"/>
  <c r="AU9" i="45"/>
  <c r="AU12" i="45" s="1"/>
  <c r="AJ9" i="45"/>
  <c r="X9" i="45"/>
  <c r="BG9" i="45"/>
  <c r="BI12" i="45" l="1"/>
  <c r="BZ9" i="45"/>
  <c r="BG11" i="45"/>
  <c r="BG12" i="45" s="1"/>
  <c r="K9" i="45"/>
  <c r="AR9" i="45"/>
  <c r="AR12" i="45" s="1"/>
  <c r="AS9" i="45"/>
  <c r="AS12" i="4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tc={A32B6CA9-4D64-42DC-BD4C-C0B3C80C0478}</author>
    <author>tc={B89EB41D-386D-4097-B182-35AE3BE10487}</author>
    <author>tc={F0336D9C-28EC-4318-8772-F5C3A04153E0}</author>
    <author>tc={978E00F9-6CE0-4B98-84D4-C364E186AA04}</author>
    <author>tc={05D82529-05F6-48C9-817F-42C27596FEC1}</author>
  </authors>
  <commentList>
    <comment ref="K32" authorId="0" shapeId="0" xr:uid="{A32B6CA9-4D64-42DC-BD4C-C0B3C80C0478}">
      <text>
        <t>[Comentario encadenado]
Tu versión de Excel te permite leer este comentario encadenado; sin embargo, las ediciones que se apliquen se quitarán si el archivo se abre en una versión más reciente de Excel. Más información: https://go.microsoft.com/fwlink/?linkid=870924
Comentario:
    Reprogramado</t>
      </text>
    </comment>
    <comment ref="J35" authorId="1" shapeId="0" xr:uid="{B89EB41D-386D-4097-B182-35AE3BE10487}">
      <text>
        <t>[Comentario encadenado]
Tu versión de Excel te permite leer este comentario encadenado; sin embargo, las ediciones que se apliquen se quitarán si el archivo se abre en una versión más reciente de Excel. Más información: https://go.microsoft.com/fwlink/?linkid=870924
Comentario:
    Proyecto reprogramado… avance proyectado en marzo de 43%... 79% corresponde a avance original</t>
      </text>
    </comment>
    <comment ref="B48" authorId="2" shapeId="0" xr:uid="{F0336D9C-28EC-4318-8772-F5C3A04153E0}">
      <text>
        <t>[Comentario encadenado]
Tu versión de Excel te permite leer este comentario encadenado; sin embargo, las ediciones que se apliquen se quitarán si el archivo se abre en una versión más reciente de Excel. Más información: https://go.microsoft.com/fwlink/?linkid=870924
Comentario:
    Proyección estimada con base en los proyectos Codelco Drenaje QT, Panel Central y Falla Oeste.</t>
      </text>
    </comment>
    <comment ref="B49" authorId="3" shapeId="0" xr:uid="{978E00F9-6CE0-4B98-84D4-C364E186AA04}">
      <text>
        <t>[Comentario encadenado]
Tu versión de Excel te permite leer este comentario encadenado; sin embargo, las ediciones que se apliquen se quitarán si el archivo se abre en una versión más reciente de Excel. Más información: https://go.microsoft.com/fwlink/?linkid=870924
Comentario:
    Proyección estimada con base en los proyectos Candelaria Pilares, Diag. Operacional y CMP Est. Plan.</t>
      </text>
    </comment>
    <comment ref="B52" authorId="4" shapeId="0" xr:uid="{05D82529-05F6-48C9-817F-42C27596FEC1}">
      <text>
        <t>[Comentario encadenado]
Tu versión de Excel te permite leer este comentario encadenado; sin embargo, las ediciones que se apliquen se quitarán si el archivo se abre en una versión más reciente de Excel. Más información: https://go.microsoft.com/fwlink/?linkid=870924
Comentario:
    Proyección estimada con base en los proyectos NorGold, Compilación R&amp;R y Forecast Budget24.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tc={7A13A731-0560-4D0F-91E6-E31FBCCC9C3F}</author>
    <author>tc={6CE47448-D21A-454C-90F0-F95F5AEC779F}</author>
    <author>tc={FEB71FEE-82AA-48AF-8CFC-4B485FF789DA}</author>
    <author>tc={9CF17A33-7EC0-4505-8C94-956B15314FAB}</author>
    <author>tc={0ACF8B33-CA73-46EA-BBD3-4EF5A4297452}</author>
    <author>tc={DA11CFA3-162A-4C2B-9A18-93971B7F9718}</author>
    <author>tc={DC15C434-F6AE-48A1-9B6F-86CFA7847FB8}</author>
    <author>tc={020AE4ED-BDF4-4827-8AF4-E5AE8AED1055}</author>
    <author>tc={8910DDC7-D132-46E2-A209-C3FCCD6AE30D}</author>
    <author>Eduardo Cuevas</author>
    <author>tc={83371EF2-7129-4050-899C-3BB63B2181F7}</author>
    <author>tc={A72B520A-3223-4EE0-A895-9BD007F66776}</author>
    <author>tc={8C36D431-10FB-4E31-A4D6-CB51670D6AA5}</author>
    <author>tc={C2E03CEB-31C1-404F-862A-1A5FAF2E8405}</author>
    <author>tc={150811B4-8257-4DB0-9822-AB96D640F247}</author>
    <author>tc={89BA0AA2-C95A-4F2A-8715-0A9A17C8B9E1}</author>
    <author>tc={E4A5524A-311A-422D-9DC6-77C4E85DE2BF}</author>
    <author>tc={4FDD7B2D-DF76-44B9-BA87-DC38B3AA1A4E}</author>
    <author>tc={1D3678D7-1D2C-42D6-A817-6546D2F81861}</author>
    <author>tc={62A8A48B-45D0-460A-A1E9-1831D3474178}</author>
    <author>tc={27727ABB-43B5-44B9-9C8A-B88E87E59A64}</author>
    <author>tc={B16CC625-212B-4BA9-AB60-4915C56EC04B}</author>
    <author>tc={6B3EF495-5D6D-4D25-9116-F8F3605F0EB4}</author>
    <author>tc={9D6A94F2-DB79-4CAE-A3D1-90D30148BB05}</author>
    <author>tc={0CBBCD5D-122D-4B75-8DD2-18D3208A6AF5}</author>
    <author>tc={22B5D8C9-BA58-42D3-9423-F4379F955320}</author>
    <author>tc={7E109DB7-ED00-40F7-8D78-29D5AD25AFE6}</author>
    <author>tc={AD2BF962-CCD2-4B77-B01D-49ED574E241D}</author>
    <author>tc={73255401-BF51-45EB-B291-14BD7E7CD6E6}</author>
    <author>tc={81F6D751-E982-4AA5-9299-73AE160ADC75}</author>
    <author>tc={F81AFE3F-033B-4605-9339-8856AD0FD4DF}</author>
    <author>tc={EBF23FF5-7F12-4BEE-B7F8-F0007035CEB6}</author>
    <author>tc={940B3EA4-2FFC-4F15-BBBC-95680A8E293F}</author>
  </authors>
  <commentList>
    <comment ref="I4" authorId="0" shapeId="0" xr:uid="{7A13A731-0560-4D0F-91E6-E31FBCCC9C3F}">
      <text>
        <t>[Comentario encadenado]
Tu versión de Excel te permite leer este comentario encadenado; sin embargo, las ediciones que se apliquen se quitarán si el archivo se abre en una versión más reciente de Excel. Más información: https://go.microsoft.com/fwlink/?linkid=870924
Comentario:
    249,727 Monto Original OC</t>
      </text>
    </comment>
    <comment ref="I5" authorId="1" shapeId="0" xr:uid="{6CE47448-D21A-454C-90F0-F95F5AEC779F}">
      <text>
        <t>[Comentario encadenado]
Tu versión de Excel te permite leer este comentario encadenado; sin embargo, las ediciones que se apliquen se quitarán si el archivo se abre en una versión más reciente de Excel. Más información: https://go.microsoft.com/fwlink/?linkid=870924
Comentario:
    Se restan 93,6 UF por disminuciones de SDC05 en relación a entregables de FEL 1</t>
      </text>
    </comment>
    <comment ref="AI5" authorId="2" shapeId="0" xr:uid="{FEB71FEE-82AA-48AF-8CFC-4B485FF789DA}">
      <text>
        <t>[Comentario encadenado]
Tu versión de Excel te permite leer este comentario encadenado; sin embargo, las ediciones que se apliquen se quitarán si el archivo se abre en una versión más reciente de Excel. Más información: https://go.microsoft.com/fwlink/?linkid=870924
Comentario:
    No se estaba considerando el monto de la SDC 7 por 400,7 UF</t>
      </text>
    </comment>
    <comment ref="I11" authorId="3" shapeId="0" xr:uid="{9CF17A33-7EC0-4505-8C94-956B15314FAB}">
      <text>
        <t>[Comentario encadenado]
Tu versión de Excel te permite leer este comentario encadenado; sin embargo, las ediciones que se apliquen se quitarán si el archivo se abre en una versión más reciente de Excel. Más información: https://go.microsoft.com/fwlink/?linkid=870924
Comentario:
    Monto 655.021 considerando nuevo alcance P2.</t>
      </text>
    </comment>
    <comment ref="Y11" authorId="4" shapeId="0" xr:uid="{0ACF8B33-CA73-46EA-BBD3-4EF5A4297452}">
      <text>
        <t>[Comentario encadenado]
Tu versión de Excel te permite leer este comentario encadenado; sin embargo, las ediciones que se apliquen se quitarán si el archivo se abre en una versión más reciente de Excel. Más información: https://go.microsoft.com/fwlink/?linkid=870924
Comentario:
    EDP 14</t>
      </text>
    </comment>
    <comment ref="AB11" authorId="5" shapeId="0" xr:uid="{DA11CFA3-162A-4C2B-9A18-93971B7F9718}">
      <text>
        <t>[Comentario encadenado]
Tu versión de Excel te permite leer este comentario encadenado; sin embargo, las ediciones que se apliquen se quitarán si el archivo se abre en una versión más reciente de Excel. Más información: https://go.microsoft.com/fwlink/?linkid=870924
Comentario:
    Diciembre considera emisión de 2 BM, primero por 36kusd</t>
      </text>
    </comment>
    <comment ref="Y12" authorId="6" shapeId="0" xr:uid="{DC15C434-F6AE-48A1-9B6F-86CFA7847FB8}">
      <text>
        <t>[Comentario encadenado]
Tu versión de Excel te permite leer este comentario encadenado; sin embargo, las ediciones que se apliquen se quitarán si el archivo se abre en una versión más reciente de Excel. Más información: https://go.microsoft.com/fwlink/?linkid=870924
Comentario:
    EDP 3</t>
      </text>
    </comment>
    <comment ref="AH12" authorId="7" shapeId="0" xr:uid="{020AE4ED-BDF4-4827-8AF4-E5AE8AED1055}">
      <text>
        <t>[Comentario encadenado]
Tu versión de Excel te permite leer este comentario encadenado; sin embargo, las ediciones que se apliquen se quitarán si el archivo se abre en una versión más reciente de Excel. Más información: https://go.microsoft.com/fwlink/?linkid=870924
Comentario:
    Se cobro de manera adicional un item reembolsable por 27 kusd
Respuesta:
    28283 USD</t>
      </text>
    </comment>
    <comment ref="W13" authorId="8" shapeId="0" xr:uid="{8910DDC7-D132-46E2-A209-C3FCCD6AE30D}">
      <text>
        <t>[Comentario encadenado]
Tu versión de Excel te permite leer este comentario encadenado; sin embargo, las ediciones que se apliquen se quitarán si el archivo se abre en una versión más reciente de Excel. Más información: https://go.microsoft.com/fwlink/?linkid=870924
Comentario:
    EDP emitido a final del mes. Acordado con cliente</t>
      </text>
    </comment>
    <comment ref="I14" authorId="9" shapeId="0" xr:uid="{A75F52C4-72FD-498B-ADE3-CD826195274A}">
      <text>
        <r>
          <rPr>
            <b/>
            <sz val="9"/>
            <color indexed="81"/>
            <rFont val="Tahoma"/>
            <family val="2"/>
          </rPr>
          <t>Eduardo Cuevas:</t>
        </r>
        <r>
          <rPr>
            <sz val="9"/>
            <color indexed="81"/>
            <rFont val="Tahoma"/>
            <family val="2"/>
          </rPr>
          <t xml:space="preserve">
Se agrega la SDC 03 por Asistencia en MB02 y cobro de gastos reembolsables</t>
        </r>
      </text>
    </comment>
    <comment ref="I17" authorId="10" shapeId="0" xr:uid="{83371EF2-7129-4050-899C-3BB63B2181F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297,223 Monto original de la OC
</t>
      </text>
    </comment>
    <comment ref="AH19" authorId="11" shapeId="0" xr:uid="{A72B520A-3223-4EE0-A895-9BD007F66776}">
      <text>
        <t>[Comentario encadenado]
Tu versión de Excel te permite leer este comentario encadenado; sin embargo, las ediciones que se apliquen se quitarán si el archivo se abre en una versión más reciente de Excel. Más información: https://go.microsoft.com/fwlink/?linkid=870924
Comentario:
    No fue aprobado en el periodo el EDP</t>
      </text>
    </comment>
    <comment ref="AB21" authorId="12" shapeId="0" xr:uid="{8C36D431-10FB-4E31-A4D6-CB51670D6AA5}">
      <text>
        <t>[Comentario encadenado]
Tu versión de Excel te permite leer este comentario encadenado; sin embargo, las ediciones que se apliquen se quitarán si el archivo se abre en una versión más reciente de Excel. Más información: https://go.microsoft.com/fwlink/?linkid=870924
Comentario:
    Avance en NOC 3 y acompañamientos</t>
      </text>
    </comment>
    <comment ref="I22" authorId="13" shapeId="0" xr:uid="{C2E03CEB-31C1-404F-862A-1A5FAF2E8405}">
      <text>
        <t>[Comentario encadenado]
Tu versión de Excel te permite leer este comentario encadenado; sin embargo, las ediciones que se apliquen se quitarán si el archivo se abre en una versión más reciente de Excel. Más información: https://go.microsoft.com/fwlink/?linkid=870924
Comentario:
    Se descuenta yacimientos sin nuevos modelos de bloques y se agrega SDC 05</t>
      </text>
    </comment>
    <comment ref="AB27" authorId="14" shapeId="0" xr:uid="{150811B4-8257-4DB0-9822-AB96D640F247}">
      <text>
        <t>[Comentario encadenado]
Tu versión de Excel te permite leer este comentario encadenado; sin embargo, las ediciones que se apliquen se quitarán si el archivo se abre en una versión más reciente de Excel. Más información: https://go.microsoft.com/fwlink/?linkid=870924
Comentario:
    EDP Proyectado</t>
      </text>
    </comment>
    <comment ref="AK27" authorId="15" shapeId="0" xr:uid="{89BA0AA2-C95A-4F2A-8715-0A9A17C8B9E1}">
      <text>
        <t>[Comentario encadenado]
Tu versión de Excel te permite leer este comentario encadenado; sin embargo, las ediciones que se apliquen se quitarán si el archivo se abre en una versión más reciente de Excel. Más información: https://go.microsoft.com/fwlink/?linkid=870924
Comentario:
    Pendiente de formalización, habrá reunión con Roberto para definiciones</t>
      </text>
    </comment>
    <comment ref="AM27" authorId="16" shapeId="0" xr:uid="{E4A5524A-311A-422D-9DC6-77C4E85DE2BF}">
      <text>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 EDP 6 negociado con RC
Respuesta:
    EDP 7 - 41.184 USD proyectado</t>
      </text>
    </comment>
    <comment ref="AB28" authorId="17" shapeId="0" xr:uid="{4FDD7B2D-DF76-44B9-BA87-DC38B3AA1A4E}">
      <text>
        <t>[Comentario encadenado]
Tu versión de Excel te permite leer este comentario encadenado; sin embargo, las ediciones que se apliquen se quitarán si el archivo se abre en una versión más reciente de Excel. Más información: https://go.microsoft.com/fwlink/?linkid=870924
Comentario:
    Cuota 1</t>
      </text>
    </comment>
    <comment ref="AC30" authorId="18" shapeId="0" xr:uid="{1D3678D7-1D2C-42D6-A817-6546D2F81861}">
      <text>
        <t>[Comentario encadenado]
Tu versión de Excel te permite leer este comentario encadenado; sin embargo, las ediciones que se apliquen se quitarán si el archivo se abre en una versión más reciente de Excel. Más información: https://go.microsoft.com/fwlink/?linkid=870924
Comentario:
    Continua ?</t>
      </text>
    </comment>
    <comment ref="AH32" authorId="19" shapeId="0" xr:uid="{62A8A48B-45D0-460A-A1E9-1831D3474178}">
      <text>
        <t>[Comentario encadenado]
Tu versión de Excel te permite leer este comentario encadenado; sin embargo, las ediciones que se apliquen se quitarán si el archivo se abre en una versión más reciente de Excel. Más información: https://go.microsoft.com/fwlink/?linkid=870924
Comentario:
    Cliente no procesó el EDP, solicita emitir 3 y 4 juntos</t>
      </text>
    </comment>
    <comment ref="AB33" authorId="20" shapeId="0" xr:uid="{27727ABB-43B5-44B9-9C8A-B88E87E59A64}">
      <text>
        <t>[Comentario encadenado]
Tu versión de Excel te permite leer este comentario encadenado; sin embargo, las ediciones que se apliquen se quitarán si el archivo se abre en una versión más reciente de Excel. Más información: https://go.microsoft.com/fwlink/?linkid=870924
Comentario:
    Considera dos valorizaciones en el mes</t>
      </text>
    </comment>
    <comment ref="I35" authorId="21" shapeId="0" xr:uid="{B16CC625-212B-4BA9-AB60-4915C56EC04B}">
      <text>
        <t>[Comentario encadenado]
Tu versión de Excel te permite leer este comentario encadenado; sin embargo, las ediciones que se apliquen se quitarán si el archivo se abre en una versión más reciente de Excel. Más información: https://go.microsoft.com/fwlink/?linkid=870924
Comentario:
    Monto inicialmente considerado por 250 kusd (errado)</t>
      </text>
    </comment>
    <comment ref="AB38" authorId="22" shapeId="0" xr:uid="{6B3EF495-5D6D-4D25-9116-F8F3605F0EB4}">
      <text>
        <t>[Comentario encadenado]
Tu versión de Excel te permite leer este comentario encadenado; sin embargo, las ediciones que se apliquen se quitarán si el archivo se abre en una versión más reciente de Excel. Más información: https://go.microsoft.com/fwlink/?linkid=870924
Comentario:
    Cliente solicita valorizar 45% en dic… acum de 95%</t>
      </text>
    </comment>
    <comment ref="I39" authorId="9" shapeId="0" xr:uid="{68596F94-D442-4EDC-92A5-A3E5442D9EB8}">
      <text>
        <r>
          <rPr>
            <b/>
            <sz val="9"/>
            <color indexed="81"/>
            <rFont val="Tahoma"/>
            <family val="2"/>
          </rPr>
          <t>Eduardo Cuevas:</t>
        </r>
        <r>
          <rPr>
            <sz val="9"/>
            <color indexed="81"/>
            <rFont val="Tahoma"/>
            <family val="2"/>
          </rPr>
          <t xml:space="preserve">
Considera 17 kusd por GGRR </t>
        </r>
      </text>
    </comment>
    <comment ref="Q39" authorId="23" shapeId="0" xr:uid="{9D6A94F2-DB79-4CAE-A3D1-90D30148BB05}">
      <text>
        <t>[Comentario encadenado]
Tu versión de Excel te permite leer este comentario encadenado; sin embargo, las ediciones que se apliquen se quitarán si el archivo se abre en una versión más reciente de Excel. Más información: https://go.microsoft.com/fwlink/?linkid=870924
Comentario:
    Monto emitido durante el 2023 es mayor a lo calculado inicialmente.</t>
      </text>
    </comment>
    <comment ref="AB39" authorId="24" shapeId="0" xr:uid="{0CBBCD5D-122D-4B75-8DD2-18D3208A6AF5}">
      <text>
        <t>[Comentario encadenado]
Tu versión de Excel te permite leer este comentario encadenado; sin embargo, las ediciones que se apliquen se quitarán si el archivo se abre en una versión más reciente de Excel. Más información: https://go.microsoft.com/fwlink/?linkid=870924
Comentario:
    Invoice 2</t>
      </text>
    </comment>
    <comment ref="AM39" authorId="25" shapeId="0" xr:uid="{22B5D8C9-BA58-42D3-9423-F4379F955320}">
      <text>
        <t>[Comentario encadenado]
Tu versión de Excel te permite leer este comentario encadenado; sin embargo, las ediciones que se apliquen se quitarán si el archivo se abre en una versión más reciente de Excel. Más información: https://go.microsoft.com/fwlink/?linkid=870924
Comentario:
    En base a plan</t>
      </text>
    </comment>
    <comment ref="BC54" authorId="26" shapeId="0" xr:uid="{7E109DB7-ED00-40F7-8D78-29D5AD25AFE6}">
      <text>
        <t>[Comentario encadenado]
Tu versión de Excel te permite leer este comentario encadenado; sin embargo, las ediciones que se apliquen se quitarán si el archivo se abre en una versión más reciente de Excel. Más información: https://go.microsoft.com/fwlink/?linkid=870924
Comentario:
    Se actualiza la emisión a diciembre dado que es la fecha donde se presentará el entregable</t>
      </text>
    </comment>
    <comment ref="I62" authorId="27" shapeId="0" xr:uid="{AD2BF962-CCD2-4B77-B01D-49ED574E241D}">
      <text>
        <t>[Comentario encadenado]
Tu versión de Excel te permite leer este comentario encadenado; sin embargo, las ediciones que se apliquen se quitarán si el archivo se abre en una versión más reciente de Excel. Más información: https://go.microsoft.com/fwlink/?linkid=870924
Comentario:
    21.289 UF</t>
      </text>
    </comment>
    <comment ref="BC69" authorId="28" shapeId="0" xr:uid="{73255401-BF51-45EB-B291-14BD7E7CD6E6}">
      <text>
        <t>[Comentario encadenado]
Tu versión de Excel te permite leer este comentario encadenado; sin embargo, las ediciones que se apliquen se quitarán si el archivo se abre en una versión más reciente de Excel. Más información: https://go.microsoft.com/fwlink/?linkid=870924
Comentario:
    24.147 monto se actualizó</t>
      </text>
    </comment>
    <comment ref="BG79" authorId="29" shapeId="0" xr:uid="{81F6D751-E982-4AA5-9299-73AE160ADC75}">
      <text>
        <t>[Comentario encadenado]
Tu versión de Excel te permite leer este comentario encadenado; sin embargo, las ediciones que se apliquen se quitarán si el archivo se abre en una versión más reciente de Excel. Más información: https://go.microsoft.com/fwlink/?linkid=870924
Comentario:
    Cliente solicitó modificar EDP Noviembre. Se emitió en Diciembre, por el saldo completo del proyecto. Antes: $58.745</t>
      </text>
    </comment>
    <comment ref="AZ82" authorId="30" shapeId="0" xr:uid="{F81AFE3F-033B-4605-9339-8856AD0FD4DF}">
      <text>
        <t>[Comentario encadenado]
Tu versión de Excel te permite leer este comentario encadenado; sin embargo, las ediciones que se apliquen se quitarán si el archivo se abre en una versión más reciente de Excel. Más información: https://go.microsoft.com/fwlink/?linkid=870924
Comentario:
    Ajuste por tipo de cambio UF-USD</t>
      </text>
    </comment>
    <comment ref="AZ83" authorId="31" shapeId="0" xr:uid="{EBF23FF5-7F12-4BEE-B7F8-F0007035CEB6}">
      <text>
        <t>[Comentario encadenado]
Tu versión de Excel te permite leer este comentario encadenado; sin embargo, las ediciones que se apliquen se quitarán si el archivo se abre en una versión más reciente de Excel. Más información: https://go.microsoft.com/fwlink/?linkid=870924
Comentario:
    Ajuste por tipo de cambio UF-USD</t>
      </text>
    </comment>
    <comment ref="BG84" authorId="32" shapeId="0" xr:uid="{940B3EA4-2FFC-4F15-BBBC-95680A8E293F}">
      <text>
        <t>[Comentario encadenado]
Tu versión de Excel te permite leer este comentario encadenado; sin embargo, las ediciones que se apliquen se quitarán si el archivo se abre en una versión más reciente de Excel. Más información: https://go.microsoft.com/fwlink/?linkid=870924
Comentario:
    Se unificaron los EDP de Nov y Dic, para presentar uno sólo por el monto de 46,2 kUSD (antes EDP Nov 22,3 kUSD)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tc={D3E51E99-7B6F-420D-861F-B85C4E553366}</author>
    <author>Eduardo Cuevas</author>
    <author>tc={25CEAEF6-F055-44B2-8886-1334AD15CEB6}</author>
    <author>tc={85EB8350-6387-449F-973E-CF36695EDA6D}</author>
    <author>tc={6AEC1357-5E0F-4D3B-A8A9-7B520AAE8022}</author>
    <author>RA</author>
    <author>tc={72C6636C-44AA-4D7F-9D9C-4687DCD0CA52}</author>
    <author>tc={24108960-4AF2-4E33-92E0-A13AD3A67F29}</author>
    <author>tc={92F3B6E3-34D7-4BDA-9A2B-A819E7AACAFE}</author>
    <author>tc={09728851-D0DA-4B59-A3D4-76B3257FC39C}</author>
    <author>tc={169287A4-2DB8-439F-A429-39C2E008645D}</author>
    <author>tc={4694D664-0E45-4B17-833C-503E780E11FF}</author>
    <author>tc={2BDB6DA2-4351-4E24-A021-AC5ECB8332D5}</author>
    <author>tc={D694E7B9-6995-4733-AD34-82BB3A7D270A}</author>
    <author>tc={1F692811-E62E-4F81-A1BF-A318A3C1286F}</author>
    <author>tc={2D10E02A-714E-4A39-9790-4F16602943AF}</author>
  </authors>
  <commentList>
    <comment ref="I4" authorId="0" shapeId="0" xr:uid="{D3E51E99-7B6F-420D-861F-B85C4E553366}">
      <text>
        <t>[Comentario encadenado]
Tu versión de Excel te permite leer este comentario encadenado; sin embargo, las ediciones que se apliquen se quitarán si el archivo se abre en una versión más reciente de Excel. Más información: https://go.microsoft.com/fwlink/?linkid=870924
Comentario:
    21.289 UF</t>
      </text>
    </comment>
    <comment ref="V6" authorId="1" shapeId="0" xr:uid="{8B0A5CB2-6FFC-4F6A-9BBA-B4E2F267EEE4}">
      <text>
        <r>
          <rPr>
            <b/>
            <sz val="9"/>
            <color indexed="81"/>
            <rFont val="Tahoma"/>
            <family val="2"/>
          </rPr>
          <t>Eduardo Cuevas:</t>
        </r>
        <r>
          <rPr>
            <sz val="9"/>
            <color indexed="81"/>
            <rFont val="Tahoma"/>
            <family val="2"/>
          </rPr>
          <t xml:space="preserve">
Inicialmente se consideraba 123 kUS$</t>
        </r>
      </text>
    </comment>
    <comment ref="X6" authorId="2" shapeId="0" xr:uid="{25CEAEF6-F055-44B2-8886-1334AD15CEB6}">
      <text>
        <t>[Comentario encadenado]
Tu versión de Excel te permite leer este comentario encadenado; sin embargo, las ediciones que se apliquen se quitarán si el archivo se abre en una versión más reciente de Excel. Más información: https://go.microsoft.com/fwlink/?linkid=870924
Comentario:
    No se tenía registro de esta emisión</t>
      </text>
    </comment>
    <comment ref="Z6" authorId="3" shapeId="0" xr:uid="{85EB8350-6387-449F-973E-CF36695EDA6D}">
      <text>
        <t>[Comentario encadenado]
Tu versión de Excel te permite leer este comentario encadenado; sin embargo, las ediciones que se apliquen se quitarán si el archivo se abre en una versión más reciente de Excel. Más información: https://go.microsoft.com/fwlink/?linkid=870924
Comentario:
    101 kUSD fueron emitidos la primera semana de abril y corresponde al EDP de marzo</t>
      </text>
    </comment>
    <comment ref="X11" authorId="4" shapeId="0" xr:uid="{6AEC1357-5E0F-4D3B-A8A9-7B520AAE8022}">
      <text>
        <t>[Comentario encadenado]
Tu versión de Excel te permite leer este comentario encadenado; sin embargo, las ediciones que se apliquen se quitarán si el archivo se abre en una versión más reciente de Excel. Más información: https://go.microsoft.com/fwlink/?linkid=870924
Comentario:
    Anterior 89.184 USD</t>
      </text>
    </comment>
    <comment ref="Z11" authorId="1" shapeId="0" xr:uid="{4D8BAFCA-35E9-4165-9EDE-1243AAF29A6C}">
      <text>
        <r>
          <rPr>
            <b/>
            <sz val="9"/>
            <color indexed="81"/>
            <rFont val="Tahoma"/>
            <family val="2"/>
          </rPr>
          <t>Eduardo Cuevas:</t>
        </r>
        <r>
          <rPr>
            <sz val="9"/>
            <color indexed="81"/>
            <rFont val="Tahoma"/>
            <family val="2"/>
          </rPr>
          <t xml:space="preserve">
EDP inicial por 69 kUSD emitido en abril. A solicitud de cliente se incorporan adicionales por 11 kUSD. Nueva emisión en junio 25</t>
        </r>
      </text>
    </comment>
    <comment ref="AD11" authorId="5" shapeId="0" xr:uid="{4677BDD4-42A5-4392-AB99-2A45E5970B3B}">
      <text>
        <r>
          <rPr>
            <b/>
            <sz val="9"/>
            <color indexed="81"/>
            <rFont val="Tahoma"/>
            <family val="2"/>
          </rPr>
          <t>RA:</t>
        </r>
        <r>
          <rPr>
            <sz val="9"/>
            <color indexed="81"/>
            <rFont val="Tahoma"/>
            <family val="2"/>
          </rPr>
          <t xml:space="preserve">
Monto cobrado de servicio considerado en el mes de Julio.</t>
        </r>
      </text>
    </comment>
    <comment ref="AB21" authorId="6" shapeId="0" xr:uid="{72C6636C-44AA-4D7F-9D9C-4687DCD0CA52}">
      <text>
        <t>[Comentario encadenado]
Tu versión de Excel te permite leer este comentario encadenado; sin embargo, las ediciones que se apliquen se quitarán si el archivo se abre en una versión más reciente de Excel. Más información: https://go.microsoft.com/fwlink/?linkid=870924
Comentario:
    Emitido el 05/05/25</t>
      </text>
    </comment>
    <comment ref="X24" authorId="1" shapeId="0" xr:uid="{E7ED363C-72CF-4453-9651-B7F62D416D84}">
      <text>
        <r>
          <rPr>
            <b/>
            <sz val="9"/>
            <color indexed="81"/>
            <rFont val="Tahoma"/>
            <family val="2"/>
          </rPr>
          <t>Eduardo Cuevas:</t>
        </r>
        <r>
          <rPr>
            <sz val="9"/>
            <color indexed="81"/>
            <rFont val="Tahoma"/>
            <family val="2"/>
          </rPr>
          <t xml:space="preserve">
Emitido por FR el 06/03/25 + 31/03 emitido por RB EDP 3</t>
        </r>
      </text>
    </comment>
    <comment ref="I28" authorId="7" shapeId="0" xr:uid="{24108960-4AF2-4E33-92E0-A13AD3A67F29}">
      <text>
        <t>[Comentario encadenado]
Tu versión de Excel te permite leer este comentario encadenado; sin embargo, las ediciones que se apliquen se quitarán si el archivo se abre en una versión más reciente de Excel. Más información: https://go.microsoft.com/fwlink/?linkid=870924
Comentario:
    Monto contrato 67k + SDC 24 k
Respuesta:
    Se actualiza monto a 48.710,16</t>
      </text>
    </comment>
    <comment ref="Z28" authorId="8" shapeId="0" xr:uid="{92F3B6E3-34D7-4BDA-9A2B-A819E7AACAFE}">
      <text>
        <t>[Comentario encadenado]
Tu versión de Excel te permite leer este comentario encadenado; sin embargo, las ediciones que se apliquen se quitarán si el archivo se abre en una versión más reciente de Excel. Más información: https://go.microsoft.com/fwlink/?linkid=870924
Comentario:
    Cliente genera una nueva OC en julio 2025 para ejercicios adicionales al proyecto base. Parte de esos ejercicios habían sido cobrados en este EDP, pero en julio se emite el EDEP correspondiente.</t>
      </text>
    </comment>
    <comment ref="V29" authorId="1" shapeId="0" xr:uid="{43E09B1A-7F85-4570-B931-8C8549ACA1BD}">
      <text>
        <r>
          <rPr>
            <b/>
            <sz val="9"/>
            <color indexed="81"/>
            <rFont val="Tahoma"/>
            <family val="2"/>
          </rPr>
          <t>Eduardo Cuevas:</t>
        </r>
        <r>
          <rPr>
            <sz val="9"/>
            <color indexed="81"/>
            <rFont val="Tahoma"/>
            <family val="2"/>
          </rPr>
          <t xml:space="preserve">
Primer monto considerado por 99 kUS$ era erroneo por parte del DP</t>
        </r>
      </text>
    </comment>
    <comment ref="T31" authorId="1" shapeId="0" xr:uid="{6B52E69D-9F46-4AEF-A4EE-C3D486C11143}">
      <text>
        <r>
          <rPr>
            <b/>
            <sz val="9"/>
            <color indexed="81"/>
            <rFont val="Tahoma"/>
            <family val="2"/>
          </rPr>
          <t>Eduardo Cuevas:</t>
        </r>
        <r>
          <rPr>
            <sz val="9"/>
            <color indexed="81"/>
            <rFont val="Tahoma"/>
            <family val="2"/>
          </rPr>
          <t xml:space="preserve">
Cliente rechazó EDP 1 por falta de sustento. (8.738 USD)</t>
        </r>
      </text>
    </comment>
    <comment ref="V31" authorId="1" shapeId="0" xr:uid="{C94B4BA4-CA65-4DAD-B1F4-B863E529E7A2}">
      <text>
        <r>
          <rPr>
            <b/>
            <sz val="9"/>
            <color indexed="81"/>
            <rFont val="Tahoma"/>
            <family val="2"/>
          </rPr>
          <t>Eduardo Cuevas:</t>
        </r>
        <r>
          <rPr>
            <sz val="9"/>
            <color indexed="81"/>
            <rFont val="Tahoma"/>
            <family val="2"/>
          </rPr>
          <t xml:space="preserve">
Dado el rechazo del edp 1, este EDP tambien deberia ser rechazado (27.785 USD)</t>
        </r>
      </text>
    </comment>
    <comment ref="Z31" authorId="1" shapeId="0" xr:uid="{F9232434-990F-4E4E-925B-1C88E7319A45}">
      <text>
        <r>
          <rPr>
            <b/>
            <sz val="9"/>
            <color indexed="81"/>
            <rFont val="Tahoma"/>
            <family val="2"/>
          </rPr>
          <t>Eduardo Cuevas:</t>
        </r>
        <r>
          <rPr>
            <sz val="9"/>
            <color indexed="81"/>
            <rFont val="Tahoma"/>
            <family val="2"/>
          </rPr>
          <t xml:space="preserve">
Se emite el viernes 02/05 formalmente con cliente</t>
        </r>
      </text>
    </comment>
    <comment ref="AB31" authorId="9" shapeId="0" xr:uid="{09728851-D0DA-4B59-A3D4-76B3257FC39C}">
      <text>
        <t>[Comentario encadenado]
Tu versión de Excel te permite leer este comentario encadenado; sin embargo, las ediciones que se apliquen se quitarán si el archivo se abre en una versión más reciente de Excel. Más información: https://go.microsoft.com/fwlink/?linkid=870924
Comentario:
    Considera 16.127 USD por concepto de adicional. OC recientemente aprobada.</t>
      </text>
    </comment>
    <comment ref="AD31" authorId="10" shapeId="0" xr:uid="{169287A4-2DB8-439F-A429-39C2E008645D}">
      <text>
        <t>[Comentario encadenado]
Tu versión de Excel te permite leer este comentario encadenado; sin embargo, las ediciones que se apliquen se quitarán si el archivo se abre en una versión más reciente de Excel. Más información: https://go.microsoft.com/fwlink/?linkid=870924
Comentario:
    Inicialmente 4461 USD</t>
      </text>
    </comment>
    <comment ref="V43" authorId="1" shapeId="0" xr:uid="{DA1B0554-63DF-47B9-83F3-4F9C9BC1D514}">
      <text>
        <r>
          <rPr>
            <b/>
            <sz val="9"/>
            <color indexed="81"/>
            <rFont val="Tahoma"/>
            <family val="2"/>
          </rPr>
          <t>Eduardo Cuevas:</t>
        </r>
        <r>
          <rPr>
            <sz val="9"/>
            <color indexed="81"/>
            <rFont val="Tahoma"/>
            <family val="2"/>
          </rPr>
          <t xml:space="preserve">
Se acordó emitir EDP por totalidad del proyecto en marzo. Monto considerado emitido en febrero por 39.221 USD</t>
        </r>
      </text>
    </comment>
    <comment ref="V45" authorId="1" shapeId="0" xr:uid="{ED9FA9A3-9E8F-4C00-85DB-69318602727D}">
      <text>
        <r>
          <rPr>
            <b/>
            <sz val="9"/>
            <color indexed="81"/>
            <rFont val="Tahoma"/>
            <family val="2"/>
          </rPr>
          <t>Eduardo Cuevas:</t>
        </r>
        <r>
          <rPr>
            <sz val="9"/>
            <color indexed="81"/>
            <rFont val="Tahoma"/>
            <family val="2"/>
          </rPr>
          <t xml:space="preserve">
Inicialmente se había considerado el monto por el total del proyecto por 34,2 kUS$</t>
        </r>
      </text>
    </comment>
    <comment ref="AF53" authorId="11" shapeId="0" xr:uid="{4694D664-0E45-4B17-833C-503E780E11FF}">
      <text>
        <t>[Comentario encadenado]
Tu versión de Excel te permite leer este comentario encadenado; sin embargo, las ediciones que se apliquen se quitarán si el archivo se abre en una versión más reciente de Excel. Más información: https://go.microsoft.com/fwlink/?linkid=870924
Comentario:
    Se habia emitido un EDP por 8710 USD pero no fue aceptado por cliente (contratos) dado que proyecto debió estar terminado. En septiembre se debe emitir al 100%</t>
      </text>
    </comment>
    <comment ref="AB59" authorId="12" shapeId="0" xr:uid="{2BDB6DA2-4351-4E24-A021-AC5ECB8332D5}">
      <text>
        <t>[Comentario encadenado]
Tu versión de Excel te permite leer este comentario encadenado; sin embargo, las ediciones que se apliquen se quitarán si el archivo se abre en una versión más reciente de Excel. Más información: https://go.microsoft.com/fwlink/?linkid=870924
Comentario:
    Emitido fuera de plazo. Finalmente se consolida con el EDP de Junio</t>
      </text>
    </comment>
    <comment ref="I60" authorId="13" shapeId="0" xr:uid="{D694E7B9-6995-4733-AD34-82BB3A7D270A}">
      <text>
        <t>[Comentario encadenado]
Tu versión de Excel te permite leer este comentario encadenado; sin embargo, las ediciones que se apliquen se quitarán si el archivo se abre en una versión más reciente de Excel. Más información: https://go.microsoft.com/fwlink/?linkid=870924
Comentario:
    Se ajusta monto de contrato a PO oficializada por cliente. Monto responde a permisos MEIA V de Las Bambas</t>
      </text>
    </comment>
    <comment ref="AB60" authorId="5" shapeId="0" xr:uid="{3C8420BE-A25E-422A-A6AD-EB85DF779A64}">
      <text>
        <r>
          <rPr>
            <b/>
            <sz val="9"/>
            <color indexed="81"/>
            <rFont val="Tahoma"/>
            <family val="2"/>
          </rPr>
          <t>RA:</t>
        </r>
        <r>
          <rPr>
            <sz val="9"/>
            <color indexed="81"/>
            <rFont val="Tahoma"/>
            <family val="2"/>
          </rPr>
          <t xml:space="preserve">
Se unificaron los EDP de abril, mayo y junio. Antes $416.449. Ahora $0.</t>
        </r>
      </text>
    </comment>
    <comment ref="AD60" authorId="5" shapeId="0" xr:uid="{AF447521-2F13-440B-8F2F-10594030A0F8}">
      <text>
        <r>
          <rPr>
            <b/>
            <sz val="9"/>
            <color indexed="81"/>
            <rFont val="Tahoma"/>
            <family val="2"/>
          </rPr>
          <t>RA:</t>
        </r>
        <r>
          <rPr>
            <sz val="9"/>
            <color indexed="81"/>
            <rFont val="Tahoma"/>
            <family val="2"/>
          </rPr>
          <t xml:space="preserve">
Se unificaron los EDP de abril, mayo y junio. Antes $281.326.-Ahora $453.391.-</t>
        </r>
      </text>
    </comment>
    <comment ref="AH60" authorId="14" shapeId="0" xr:uid="{1F692811-E62E-4F81-A1BF-A318A3C1286F}">
      <text>
        <t>[Comentario encadenado]
Tu versión de Excel te permite leer este comentario encadenado; sin embargo, las ediciones que se apliquen se quitarán si el archivo se abre en una versión más reciente de Excel. Más información: https://go.microsoft.com/fwlink/?linkid=870924
Comentario:
    EDP Inicial 200.336 USD</t>
      </text>
    </comment>
    <comment ref="AN67" authorId="15" shapeId="0" xr:uid="{2D10E02A-714E-4A39-9790-4F16602943AF}">
      <text>
        <t>[Comentario encadenado]
Tu versión de Excel te permite leer este comentario encadenado; sin embargo, las ediciones que se apliquen se quitarán si el archivo se abre en una versión más reciente de Excel. Más información: https://go.microsoft.com/fwlink/?linkid=870924
Comentario:
    EDP 1 y EDP 2</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tc={945844EF-D543-40CD-8905-DF5360FCAFF6}</author>
    <author>tc={16554D8B-D9E1-43F3-852A-C19089CE7F27}</author>
    <author>Eduardo Cuevas</author>
    <author>tc={23AA5578-240C-443A-9371-0E3E740AB222}</author>
    <author>tc={5AA55CAD-96C9-4B35-A1D8-E229FABC6D09}</author>
    <author>tc={2C80CF02-A583-4ADB-94CB-D7AAF9414927}</author>
    <author>RA</author>
    <author>tc={ADCF8067-1531-4391-8E5A-3C52C4453CAC}</author>
    <author>tc={DD5AA996-0623-419E-977E-143A5395D78D}</author>
    <author>tc={AF2DE1DC-6B4D-4A89-B65A-00382F330436}</author>
    <author>tc={BE1C59B0-8157-4DC6-B3E4-3F68408A8AAB}</author>
    <author>tc={E657E587-0440-4621-AD9F-357A449255C9}</author>
    <author>tc={850DF282-351B-4EA3-AF33-F641F143D259}</author>
    <author>tc={90C8C74A-ABB7-47A0-BFB2-B47CC8FE7330}</author>
    <author>tc={43293288-C61F-4981-928E-8AF65C0678E0}</author>
    <author>tc={B8F8DC48-C38F-436F-A556-E8A8D31AE94F}</author>
    <author>tc={1253DE5B-D47B-47A8-977C-FE0C2678D28C}</author>
    <author>tc={B052FC2C-F6F3-47A3-A9A9-849C43862A82}</author>
    <author>tc={A74855EB-C718-4944-AF5E-D95FB23CD440}</author>
    <author>tc={BBF20D6F-3C52-48A8-B92C-43AA627BD3A7}</author>
    <author>tc={37612B3C-B1AD-454B-B0F4-CE069675985F}</author>
    <author>tc={3363CF2B-68DD-4496-B02B-55704F6DB65A}</author>
    <author>tc={E693C5CB-2250-4A32-AF96-C3D85077756F}</author>
    <author>tc={AFB5E851-893F-4FE9-A51A-D3C2788E32D0}</author>
  </authors>
  <commentList>
    <comment ref="AX15" authorId="0" shapeId="0" xr:uid="{945844EF-D543-40CD-8905-DF5360FCAFF6}">
      <text>
        <t>[Comentario encadenado]
Tu versión de Excel te permite leer este comentario encadenado; sin embargo, las ediciones que se apliquen se quitarán si el archivo se abre en una versión más reciente de Excel. Más información: https://go.microsoft.com/fwlink/?linkid=870924
Comentario:
    Para el caso de Feb-26 se acordó que el POM sería igual a la OTI</t>
      </text>
    </comment>
    <comment ref="I17" authorId="1" shapeId="0" xr:uid="{16554D8B-D9E1-43F3-852A-C19089CE7F27}">
      <text>
        <t>[Comentario encadenado]
Tu versión de Excel te permite leer este comentario encadenado; sin embargo, las ediciones que se apliquen se quitarán si el archivo se abre en una versión más reciente de Excel. Más información: https://go.microsoft.com/fwlink/?linkid=870924
Comentario:
    21.289 UF</t>
      </text>
    </comment>
    <comment ref="W19" authorId="2" shapeId="0" xr:uid="{FF882A3A-2F92-413E-88D8-6F92F8842F2F}">
      <text>
        <r>
          <rPr>
            <b/>
            <sz val="9"/>
            <color indexed="81"/>
            <rFont val="Tahoma"/>
            <family val="2"/>
          </rPr>
          <t>Eduardo Cuevas:</t>
        </r>
        <r>
          <rPr>
            <sz val="9"/>
            <color indexed="81"/>
            <rFont val="Tahoma"/>
            <family val="2"/>
          </rPr>
          <t xml:space="preserve">
Inicialmente se consideraba 123 kUS$</t>
        </r>
      </text>
    </comment>
    <comment ref="Y19" authorId="3" shapeId="0" xr:uid="{23AA5578-240C-443A-9371-0E3E740AB222}">
      <text>
        <t>[Comentario encadenado]
Tu versión de Excel te permite leer este comentario encadenado; sin embargo, las ediciones que se apliquen se quitarán si el archivo se abre en una versión más reciente de Excel. Más información: https://go.microsoft.com/fwlink/?linkid=870924
Comentario:
    No se tenía registro de esta emisión</t>
      </text>
    </comment>
    <comment ref="AA19" authorId="4" shapeId="0" xr:uid="{5AA55CAD-96C9-4B35-A1D8-E229FABC6D09}">
      <text>
        <t>[Comentario encadenado]
Tu versión de Excel te permite leer este comentario encadenado; sin embargo, las ediciones que se apliquen se quitarán si el archivo se abre en una versión más reciente de Excel. Más información: https://go.microsoft.com/fwlink/?linkid=870924
Comentario:
    101 kUSD fueron emitidos la primera semana de abril y corresponde al EDP de marzo</t>
      </text>
    </comment>
    <comment ref="Y24" authorId="5" shapeId="0" xr:uid="{2C80CF02-A583-4ADB-94CB-D7AAF9414927}">
      <text>
        <t>[Comentario encadenado]
Tu versión de Excel te permite leer este comentario encadenado; sin embargo, las ediciones que se apliquen se quitarán si el archivo se abre en una versión más reciente de Excel. Más información: https://go.microsoft.com/fwlink/?linkid=870924
Comentario:
    Anterior 89.184 USD</t>
      </text>
    </comment>
    <comment ref="AA24" authorId="2" shapeId="0" xr:uid="{F3DB091A-C725-4159-B457-530A5516C715}">
      <text>
        <r>
          <rPr>
            <b/>
            <sz val="9"/>
            <color indexed="81"/>
            <rFont val="Tahoma"/>
            <family val="2"/>
          </rPr>
          <t>Eduardo Cuevas:</t>
        </r>
        <r>
          <rPr>
            <sz val="9"/>
            <color indexed="81"/>
            <rFont val="Tahoma"/>
            <family val="2"/>
          </rPr>
          <t xml:space="preserve">
EDP inicial por 69 kUSD emitido en abril. A solicitud de cliente se incorporan adicionales por 11 kUSD. Nueva emisión en junio 25</t>
        </r>
      </text>
    </comment>
    <comment ref="AE24" authorId="6" shapeId="0" xr:uid="{B48E6F2B-5975-4394-8CEB-AAD723324883}">
      <text>
        <r>
          <rPr>
            <b/>
            <sz val="9"/>
            <color indexed="81"/>
            <rFont val="Tahoma"/>
            <family val="2"/>
          </rPr>
          <t>RA:</t>
        </r>
        <r>
          <rPr>
            <sz val="9"/>
            <color indexed="81"/>
            <rFont val="Tahoma"/>
            <family val="2"/>
          </rPr>
          <t xml:space="preserve">
Monto cobrado de servicio considerado en el mes de Julio.</t>
        </r>
      </text>
    </comment>
    <comment ref="AC34" authorId="7" shapeId="0" xr:uid="{ADCF8067-1531-4391-8E5A-3C52C4453CAC}">
      <text>
        <t>[Comentario encadenado]
Tu versión de Excel te permite leer este comentario encadenado; sin embargo, las ediciones que se apliquen se quitarán si el archivo se abre en una versión más reciente de Excel. Más información: https://go.microsoft.com/fwlink/?linkid=870924
Comentario:
    Emitido el 05/05/25</t>
      </text>
    </comment>
    <comment ref="Y37" authorId="2" shapeId="0" xr:uid="{1376A84A-1D21-420B-A07D-1FBFACB7B773}">
      <text>
        <r>
          <rPr>
            <b/>
            <sz val="9"/>
            <color indexed="81"/>
            <rFont val="Tahoma"/>
            <family val="2"/>
          </rPr>
          <t>Eduardo Cuevas:</t>
        </r>
        <r>
          <rPr>
            <sz val="9"/>
            <color indexed="81"/>
            <rFont val="Tahoma"/>
            <family val="2"/>
          </rPr>
          <t xml:space="preserve">
Emitido por FR el 06/03/25 + 31/03 emitido por RB EDP 3</t>
        </r>
      </text>
    </comment>
    <comment ref="I41" authorId="8" shapeId="0" xr:uid="{DD5AA996-0623-419E-977E-143A5395D78D}">
      <text>
        <t>[Comentario encadenado]
Tu versión de Excel te permite leer este comentario encadenado; sin embargo, las ediciones que se apliquen se quitarán si el archivo se abre en una versión más reciente de Excel. Más información: https://go.microsoft.com/fwlink/?linkid=870924
Comentario:
    Monto contrato 67k + SDC 24 k
Respuesta:
    Se actualiza monto a 48.710,16</t>
      </text>
    </comment>
    <comment ref="AA41" authorId="9" shapeId="0" xr:uid="{AF2DE1DC-6B4D-4A89-B65A-00382F330436}">
      <text>
        <t>[Comentario encadenado]
Tu versión de Excel te permite leer este comentario encadenado; sin embargo, las ediciones que se apliquen se quitarán si el archivo se abre en una versión más reciente de Excel. Más información: https://go.microsoft.com/fwlink/?linkid=870924
Comentario:
    Cliente genera una nueva OC en julio 2025 para ejercicios adicionales al proyecto base. Parte de esos ejercicios habían sido cobrados en este EDP, pero en julio se emite el EDEP correspondiente.</t>
      </text>
    </comment>
    <comment ref="W42" authorId="2" shapeId="0" xr:uid="{B6269923-168C-4134-976B-855AF73460E3}">
      <text>
        <r>
          <rPr>
            <b/>
            <sz val="9"/>
            <color indexed="81"/>
            <rFont val="Tahoma"/>
            <family val="2"/>
          </rPr>
          <t>Eduardo Cuevas:</t>
        </r>
        <r>
          <rPr>
            <sz val="9"/>
            <color indexed="81"/>
            <rFont val="Tahoma"/>
            <family val="2"/>
          </rPr>
          <t xml:space="preserve">
Primer monto considerado por 99 kUS$ era erroneo por parte del DP</t>
        </r>
      </text>
    </comment>
    <comment ref="U44" authorId="2" shapeId="0" xr:uid="{585E1BC3-0230-4A12-BBB5-357B5BD869FC}">
      <text>
        <r>
          <rPr>
            <b/>
            <sz val="9"/>
            <color indexed="81"/>
            <rFont val="Tahoma"/>
            <family val="2"/>
          </rPr>
          <t>Eduardo Cuevas:</t>
        </r>
        <r>
          <rPr>
            <sz val="9"/>
            <color indexed="81"/>
            <rFont val="Tahoma"/>
            <family val="2"/>
          </rPr>
          <t xml:space="preserve">
Cliente rechazó EDP 1 por falta de sustento. (8.738 USD)</t>
        </r>
      </text>
    </comment>
    <comment ref="W44" authorId="2" shapeId="0" xr:uid="{DEF9B498-EF7F-45FA-8586-6BCF3F77AE79}">
      <text>
        <r>
          <rPr>
            <b/>
            <sz val="9"/>
            <color indexed="81"/>
            <rFont val="Tahoma"/>
            <family val="2"/>
          </rPr>
          <t>Eduardo Cuevas:</t>
        </r>
        <r>
          <rPr>
            <sz val="9"/>
            <color indexed="81"/>
            <rFont val="Tahoma"/>
            <family val="2"/>
          </rPr>
          <t xml:space="preserve">
Dado el rechazo del edp 1, este EDP tambien deberia ser rechazado (27.785 USD)</t>
        </r>
      </text>
    </comment>
    <comment ref="AA44" authorId="2" shapeId="0" xr:uid="{8E3E71D7-1D85-4D85-A2C9-24B05823ABC1}">
      <text>
        <r>
          <rPr>
            <b/>
            <sz val="9"/>
            <color indexed="81"/>
            <rFont val="Tahoma"/>
            <family val="2"/>
          </rPr>
          <t>Eduardo Cuevas:</t>
        </r>
        <r>
          <rPr>
            <sz val="9"/>
            <color indexed="81"/>
            <rFont val="Tahoma"/>
            <family val="2"/>
          </rPr>
          <t xml:space="preserve">
Se emite el viernes 02/05 formalmente con cliente</t>
        </r>
      </text>
    </comment>
    <comment ref="AC44" authorId="10" shapeId="0" xr:uid="{BE1C59B0-8157-4DC6-B3E4-3F68408A8AAB}">
      <text>
        <t>[Comentario encadenado]
Tu versión de Excel te permite leer este comentario encadenado; sin embargo, las ediciones que se apliquen se quitarán si el archivo se abre en una versión más reciente de Excel. Más información: https://go.microsoft.com/fwlink/?linkid=870924
Comentario:
    Considera 16.127 USD por concepto de adicional. OC recientemente aprobada.</t>
      </text>
    </comment>
    <comment ref="AE44" authorId="11" shapeId="0" xr:uid="{E657E587-0440-4621-AD9F-357A449255C9}">
      <text>
        <t>[Comentario encadenado]
Tu versión de Excel te permite leer este comentario encadenado; sin embargo, las ediciones que se apliquen se quitarán si el archivo se abre en una versión más reciente de Excel. Más información: https://go.microsoft.com/fwlink/?linkid=870924
Comentario:
    Inicialmente 4461 USD</t>
      </text>
    </comment>
    <comment ref="AO47" authorId="12" shapeId="0" xr:uid="{850DF282-351B-4EA3-AF33-F641F143D259}">
      <text>
        <t>[Comentario encadenado]
Tu versión de Excel te permite leer este comentario encadenado; sin embargo, las ediciones que se apliquen se quitarán si el archivo se abre en una versión más reciente de Excel. Más información: https://go.microsoft.com/fwlink/?linkid=870924
Comentario:
    EDP se reenvía en enero 2026
Respuesta:
    Se mueve al lunes 02/02/26</t>
      </text>
    </comment>
    <comment ref="W56" authorId="2" shapeId="0" xr:uid="{EBFEAA86-9515-4D19-A95E-46ED503CD408}">
      <text>
        <r>
          <rPr>
            <b/>
            <sz val="9"/>
            <color indexed="81"/>
            <rFont val="Tahoma"/>
            <family val="2"/>
          </rPr>
          <t>Eduardo Cuevas:</t>
        </r>
        <r>
          <rPr>
            <sz val="9"/>
            <color indexed="81"/>
            <rFont val="Tahoma"/>
            <family val="2"/>
          </rPr>
          <t xml:space="preserve">
Se acordó emitir EDP por totalidad del proyecto en marzo. Monto considerado emitido en febrero por 39.221 USD</t>
        </r>
      </text>
    </comment>
    <comment ref="W58" authorId="2" shapeId="0" xr:uid="{510FC964-BCE1-49FD-9C18-D4FC367E094A}">
      <text>
        <r>
          <rPr>
            <b/>
            <sz val="9"/>
            <color indexed="81"/>
            <rFont val="Tahoma"/>
            <family val="2"/>
          </rPr>
          <t>Eduardo Cuevas:</t>
        </r>
        <r>
          <rPr>
            <sz val="9"/>
            <color indexed="81"/>
            <rFont val="Tahoma"/>
            <family val="2"/>
          </rPr>
          <t xml:space="preserve">
Inicialmente se había considerado el monto por el total del proyecto por 34,2 kUS$</t>
        </r>
      </text>
    </comment>
    <comment ref="AG66" authorId="13" shapeId="0" xr:uid="{90C8C74A-ABB7-47A0-BFB2-B47CC8FE7330}">
      <text>
        <t>[Comentario encadenado]
Tu versión de Excel te permite leer este comentario encadenado; sin embargo, las ediciones que se apliquen se quitarán si el archivo se abre en una versión más reciente de Excel. Más información: https://go.microsoft.com/fwlink/?linkid=870924
Comentario:
    Se habia emitido un EDP por 8710 USD pero no fue aceptado por cliente (contratos) dado que proyecto debió estar terminado. En septiembre se debe emitir al 100%</t>
      </text>
    </comment>
    <comment ref="AC72" authorId="14" shapeId="0" xr:uid="{43293288-C61F-4981-928E-8AF65C0678E0}">
      <text>
        <t>[Comentario encadenado]
Tu versión de Excel te permite leer este comentario encadenado; sin embargo, las ediciones que se apliquen se quitarán si el archivo se abre en una versión más reciente de Excel. Más información: https://go.microsoft.com/fwlink/?linkid=870924
Comentario:
    Emitido fuera de plazo. Finalmente se consolida con el EDP de Junio</t>
      </text>
    </comment>
    <comment ref="AK72" authorId="15" shapeId="0" xr:uid="{B8F8DC48-C38F-436F-A556-E8A8D31AE94F}">
      <text>
        <t>[Comentario encadenado]
Tu versión de Excel te permite leer este comentario encadenado; sin embargo, las ediciones que se apliquen se quitarán si el archivo se abre en una versión más reciente de Excel. Más información: https://go.microsoft.com/fwlink/?linkid=870924
Comentario:
    No procede</t>
      </text>
    </comment>
    <comment ref="AM72" authorId="16" shapeId="0" xr:uid="{1253DE5B-D47B-47A8-977C-FE0C2678D28C}">
      <text>
        <t>[Comentario encadenado]
Tu versión de Excel te permite leer este comentario encadenado; sin embargo, las ediciones que se apliquen se quitarán si el archivo se abre en una versión más reciente de Excel. Más información: https://go.microsoft.com/fwlink/?linkid=870924
Comentario:
    No procede</t>
      </text>
    </comment>
    <comment ref="I73" authorId="17" shapeId="0" xr:uid="{B052FC2C-F6F3-47A3-A9A9-849C43862A82}">
      <text>
        <t>[Comentario encadenado]
Tu versión de Excel te permite leer este comentario encadenado; sin embargo, las ediciones que se apliquen se quitarán si el archivo se abre en una versión más reciente de Excel. Más información: https://go.microsoft.com/fwlink/?linkid=870924
Comentario:
    Se ajusta monto de contrato a PO oficializada por cliente. Monto responde a permisos MEIA V de Las Bambas</t>
      </text>
    </comment>
    <comment ref="AC73" authorId="6" shapeId="0" xr:uid="{11C0EBA2-739E-4A28-BF11-B1C0FE1FC0F8}">
      <text>
        <r>
          <rPr>
            <b/>
            <sz val="9"/>
            <color indexed="81"/>
            <rFont val="Tahoma"/>
            <family val="2"/>
          </rPr>
          <t>RA:</t>
        </r>
        <r>
          <rPr>
            <sz val="9"/>
            <color indexed="81"/>
            <rFont val="Tahoma"/>
            <family val="2"/>
          </rPr>
          <t xml:space="preserve">
Se unificaron los EDP de abril, mayo y junio. Antes $416.449. Ahora $0.</t>
        </r>
      </text>
    </comment>
    <comment ref="AE73" authorId="6" shapeId="0" xr:uid="{EF087FE7-BA12-454F-B7AA-ACFE03F26274}">
      <text>
        <r>
          <rPr>
            <b/>
            <sz val="9"/>
            <color indexed="81"/>
            <rFont val="Tahoma"/>
            <family val="2"/>
          </rPr>
          <t>RA:</t>
        </r>
        <r>
          <rPr>
            <sz val="9"/>
            <color indexed="81"/>
            <rFont val="Tahoma"/>
            <family val="2"/>
          </rPr>
          <t xml:space="preserve">
Se unificaron los EDP de abril, mayo y junio. Antes $281.326.-Ahora $453.391.-</t>
        </r>
      </text>
    </comment>
    <comment ref="AI73" authorId="18" shapeId="0" xr:uid="{A74855EB-C718-4944-AF5E-D95FB23CD440}">
      <text>
        <t>[Comentario encadenado]
Tu versión de Excel te permite leer este comentario encadenado; sin embargo, las ediciones que se apliquen se quitarán si el archivo se abre en una versión más reciente de Excel. Más información: https://go.microsoft.com/fwlink/?linkid=870924
Comentario:
    EDP Inicial 200.336 USD</t>
      </text>
    </comment>
    <comment ref="AZ79" authorId="2" shapeId="0" xr:uid="{80AF06B0-EDA3-4793-8871-DBFCBCBDD552}">
      <text>
        <r>
          <rPr>
            <b/>
            <sz val="9"/>
            <color indexed="81"/>
            <rFont val="Tahoma"/>
            <family val="2"/>
          </rPr>
          <t>Eduardo Cuevas:</t>
        </r>
        <r>
          <rPr>
            <sz val="9"/>
            <color indexed="81"/>
            <rFont val="Tahoma"/>
            <family val="2"/>
          </rPr>
          <t xml:space="preserve">
Considera 3.501 USD con relación a gastos reembolsables</t>
        </r>
      </text>
    </comment>
    <comment ref="BF79" authorId="2" shapeId="0" xr:uid="{611EA90B-51C5-4EB6-A06D-93C6616DE4B8}">
      <text>
        <r>
          <rPr>
            <b/>
            <sz val="9"/>
            <color indexed="81"/>
            <rFont val="Tahoma"/>
            <family val="2"/>
          </rPr>
          <t>Eduardo Cuevas:</t>
        </r>
        <r>
          <rPr>
            <sz val="9"/>
            <color indexed="81"/>
            <rFont val="Tahoma"/>
            <family val="2"/>
          </rPr>
          <t xml:space="preserve">
Incluye cobro de adenda por 11.496 USD por pruebas de laboratorio</t>
        </r>
      </text>
    </comment>
    <comment ref="AO83" authorId="19" shapeId="0" xr:uid="{BBF20D6F-3C52-48A8-B92C-43AA627BD3A7}">
      <text>
        <t>[Comentario encadenado]
Tu versión de Excel te permite leer este comentario encadenado; sin embargo, las ediciones que se apliquen se quitarán si el archivo se abre en una versión más reciente de Excel. Más información: https://go.microsoft.com/fwlink/?linkid=870924
Comentario:
    EDP 1 y EDP 2</t>
      </text>
    </comment>
    <comment ref="AW83" authorId="2" shapeId="0" xr:uid="{C2F2D154-980D-4020-8952-EC1BF18498FE}">
      <text>
        <r>
          <rPr>
            <b/>
            <sz val="9"/>
            <color indexed="81"/>
            <rFont val="Tahoma"/>
            <family val="2"/>
          </rPr>
          <t xml:space="preserve">Eduardo Cuevas:
</t>
        </r>
        <r>
          <rPr>
            <sz val="9"/>
            <color indexed="81"/>
            <rFont val="Tahoma"/>
            <family val="2"/>
          </rPr>
          <t>En base a correo de Ignacio Navarrete se reconoce cobro de 20k no reflejado en edp 04</t>
        </r>
      </text>
    </comment>
    <comment ref="BC84" authorId="2" shapeId="0" xr:uid="{A6EC9DD2-7B00-4496-B86C-DBC3C259C15A}">
      <text>
        <r>
          <rPr>
            <b/>
            <sz val="9"/>
            <color indexed="81"/>
            <rFont val="Tahoma"/>
            <family val="2"/>
          </rPr>
          <t>Eduardo Cuevas:</t>
        </r>
        <r>
          <rPr>
            <sz val="9"/>
            <color indexed="81"/>
            <rFont val="Tahoma"/>
            <family val="2"/>
          </rPr>
          <t xml:space="preserve">
10k por concepto de Gestion de Control en Terreno (GCMP)</t>
        </r>
      </text>
    </comment>
    <comment ref="AZ85" authorId="2" shapeId="0" xr:uid="{361865BB-37D2-4AF6-85AB-8E5EE4655A51}">
      <text>
        <r>
          <rPr>
            <b/>
            <sz val="9"/>
            <color indexed="81"/>
            <rFont val="Tahoma"/>
            <family val="2"/>
          </rPr>
          <t>Eduardo Cuevas:</t>
        </r>
        <r>
          <rPr>
            <sz val="9"/>
            <color indexed="81"/>
            <rFont val="Tahoma"/>
            <family val="2"/>
          </rPr>
          <t xml:space="preserve">
Considera 7.000 USD en gastos reembolsables por concepto de visita tecnica</t>
        </r>
      </text>
    </comment>
    <comment ref="AZ86" authorId="2" shapeId="0" xr:uid="{EC3CF6A7-A028-4EE3-B482-29478F981B8E}">
      <text>
        <r>
          <rPr>
            <b/>
            <sz val="9"/>
            <color indexed="81"/>
            <rFont val="Tahoma"/>
            <family val="2"/>
          </rPr>
          <t>Eduardo Cuevas:</t>
        </r>
        <r>
          <rPr>
            <sz val="9"/>
            <color indexed="81"/>
            <rFont val="Tahoma"/>
            <family val="2"/>
          </rPr>
          <t xml:space="preserve">
Se podria considerar un EDP adicional por 10k</t>
        </r>
      </text>
    </comment>
    <comment ref="AV88" authorId="20" shapeId="0" xr:uid="{37612B3C-B1AD-454B-B0F4-CE069675985F}">
      <text>
        <t>[Comentario encadenado]
Tu versión de Excel te permite leer este comentario encadenado; sin embargo, las ediciones que se apliquen se quitarán si el archivo se abre en una versión más reciente de Excel. Más información: https://go.microsoft.com/fwlink/?linkid=870924
Comentario:
    Incluye 15k por concepto de asesoria</t>
      </text>
    </comment>
    <comment ref="L99" authorId="21" shapeId="0" xr:uid="{3363CF2B-68DD-4496-B02B-55704F6DB65A}">
      <text>
        <t>[Comentario encadenado]
Tu versión de Excel te permite leer este comentario encadenado; sin embargo, las ediciones que se apliquen se quitarán si el archivo se abre en una versión más reciente de Excel. Más información: https://go.microsoft.com/fwlink/?linkid=870924
Comentario:
    Pendiente de cobro el 5% corresponde al informe final</t>
      </text>
    </comment>
    <comment ref="BF105" authorId="22" shapeId="0" xr:uid="{E693C5CB-2250-4A32-AF96-C3D85077756F}">
      <text>
        <t>[Comentario encadenado]
Tu versión de Excel te permite leer este comentario encadenado; sin embargo, las ediciones que se apliquen se quitarán si el archivo se abre en una versión más reciente de Excel. Más información: https://go.microsoft.com/fwlink/?linkid=870924
Comentario:
    Monto se actualizó, anterior: 32.311 USD</t>
      </text>
    </comment>
    <comment ref="BI105" authorId="23" shapeId="0" xr:uid="{AFB5E851-893F-4FE9-A51A-D3C2788E32D0}">
      <text>
        <t>[Comentario encadenado]
Tu versión de Excel te permite leer este comentario encadenado; sin embargo, las ediciones que se apliquen se quitarán si el archivo se abre en una versión más reciente de Excel. Más información: https://go.microsoft.com/fwlink/?linkid=870924
Comentario:
    Anterior: 20.120 USD</t>
      </text>
    </comment>
    <comment ref="BF107" authorId="2" shapeId="0" xr:uid="{93C4490B-4CFF-4235-ADCF-F7B0B9F14EE1}">
      <text>
        <r>
          <rPr>
            <b/>
            <sz val="9"/>
            <color indexed="81"/>
            <rFont val="Tahoma"/>
            <family val="2"/>
          </rPr>
          <t>Eduardo Cuevas:</t>
        </r>
        <r>
          <rPr>
            <sz val="9"/>
            <color indexed="81"/>
            <rFont val="Tahoma"/>
            <family val="2"/>
          </rPr>
          <t xml:space="preserve">
9723 USD corresponde a adicional de Hidrogeología. La diferencia es de Analsis de establidad
</t>
        </r>
      </text>
    </comment>
    <comment ref="BI107" authorId="2" shapeId="0" xr:uid="{BB57B923-B3D3-4464-8374-3C36236ECDAC}">
      <text>
        <r>
          <rPr>
            <b/>
            <sz val="9"/>
            <color indexed="81"/>
            <rFont val="Tahoma"/>
            <family val="2"/>
          </rPr>
          <t>Eduardo Cuevas:</t>
        </r>
        <r>
          <rPr>
            <sz val="9"/>
            <color indexed="81"/>
            <rFont val="Tahoma"/>
            <family val="2"/>
          </rPr>
          <t xml:space="preserve">
1.9k hidro + 16k analisis estabilidad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Eduardo Cuevas</author>
  </authors>
  <commentList>
    <comment ref="E5" authorId="0" shapeId="0" xr:uid="{4B1F541A-7579-4A1A-AA09-5F735D32E547}">
      <text>
        <r>
          <rPr>
            <b/>
            <sz val="9"/>
            <color indexed="81"/>
            <rFont val="Tahoma"/>
            <family val="2"/>
          </rPr>
          <t>Eduardo Cuevas:</t>
        </r>
        <r>
          <rPr>
            <sz val="9"/>
            <color indexed="81"/>
            <rFont val="Tahoma"/>
            <family val="2"/>
          </rPr>
          <t xml:space="preserve">
Monto emitido al cierre de ene-26</t>
        </r>
      </text>
    </comment>
  </commentList>
</comments>
</file>

<file path=xl/sharedStrings.xml><?xml version="1.0" encoding="utf-8"?>
<sst xmlns="http://schemas.openxmlformats.org/spreadsheetml/2006/main" count="2476" uniqueCount="554">
  <si>
    <t>Proyectos</t>
  </si>
  <si>
    <t>SEPT POM</t>
  </si>
  <si>
    <t>CMP - FEL 2A</t>
  </si>
  <si>
    <t>Técnico</t>
  </si>
  <si>
    <t>Adrianita -Raúl</t>
  </si>
  <si>
    <t>Administrativo</t>
  </si>
  <si>
    <t>Codelco_Falla Oeste</t>
  </si>
  <si>
    <t>Codelco_Panel Central</t>
  </si>
  <si>
    <t>Diagnóstico Operacional Candelaria</t>
  </si>
  <si>
    <t>Sierra Metals_Plan de Minado MEIA</t>
  </si>
  <si>
    <t>Mosaic_Cajati</t>
  </si>
  <si>
    <t>Mosaic_Taquari Vassouras</t>
  </si>
  <si>
    <t>NEXA_FEL2 Aripuana</t>
  </si>
  <si>
    <t>Romeral</t>
  </si>
  <si>
    <t>Minsur_Forecast_Budget24</t>
  </si>
  <si>
    <t>Lomas Bayas - LoA24</t>
  </si>
  <si>
    <t>Pilares Mineros - Candelaria</t>
  </si>
  <si>
    <t>LOM CNN 2023</t>
  </si>
  <si>
    <t>LOM MLC 2023</t>
  </si>
  <si>
    <t>Algarrobo</t>
  </si>
  <si>
    <t>RDP</t>
  </si>
  <si>
    <t>Actualización LoM Raura</t>
  </si>
  <si>
    <t>Real</t>
  </si>
  <si>
    <t>Estado Comercial</t>
  </si>
  <si>
    <t>Consultor</t>
  </si>
  <si>
    <t>Emitido Acumulado Actual [USD]</t>
  </si>
  <si>
    <t>OCT RESAGADO</t>
  </si>
  <si>
    <t>Adjudicado</t>
  </si>
  <si>
    <t>Matias Fuentes</t>
  </si>
  <si>
    <t>Jorman Barrera</t>
  </si>
  <si>
    <t>Ricardo Miranda</t>
  </si>
  <si>
    <t>Felipe Matamoros</t>
  </si>
  <si>
    <t>Felipe Rojas</t>
  </si>
  <si>
    <t>Alex Figueroa</t>
  </si>
  <si>
    <t>Mauricio Melendez</t>
  </si>
  <si>
    <t>Freddy Diaz</t>
  </si>
  <si>
    <t>Emilio Sánchez</t>
  </si>
  <si>
    <t>Carlos Catalán</t>
  </si>
  <si>
    <t>Kevin Rios</t>
  </si>
  <si>
    <t>TBD</t>
  </si>
  <si>
    <t>Guillermo Valdés</t>
  </si>
  <si>
    <t>Carlos Morante</t>
  </si>
  <si>
    <t xml:space="preserve">Olesya </t>
  </si>
  <si>
    <t>Felipe Lira</t>
  </si>
  <si>
    <t>Nicolás Ayarza</t>
  </si>
  <si>
    <t>MEIA Coripuno</t>
  </si>
  <si>
    <t>Johnny Pacheco</t>
  </si>
  <si>
    <t>Sub total Adjudicado</t>
  </si>
  <si>
    <t>Andres Budini</t>
  </si>
  <si>
    <t>Patricio Vergara</t>
  </si>
  <si>
    <t>Pablo Quiero</t>
  </si>
  <si>
    <t>Americo Zuzunaga</t>
  </si>
  <si>
    <t>Estatus</t>
  </si>
  <si>
    <t>Terminado</t>
  </si>
  <si>
    <t>MiskiMayo_LOM</t>
  </si>
  <si>
    <t>CMP_Los Colorados Adelantamiento Planta</t>
  </si>
  <si>
    <t>En Proceso</t>
  </si>
  <si>
    <t>LasBambas_Ferrobamba_OP_UG</t>
  </si>
  <si>
    <t>CMP_Romeral Estabilización + UG PFS</t>
  </si>
  <si>
    <t>Codelco_Cluster Toki</t>
  </si>
  <si>
    <t>IvanhoeElectric_Santa-Cruz_PrePFS</t>
  </si>
  <si>
    <t>Dif. USD</t>
  </si>
  <si>
    <t>-</t>
  </si>
  <si>
    <t>Ejecución</t>
  </si>
  <si>
    <t>Gran total</t>
  </si>
  <si>
    <t>Tipo 1</t>
  </si>
  <si>
    <t>Tipo 2</t>
  </si>
  <si>
    <t>Rezagado</t>
  </si>
  <si>
    <t>Todos</t>
  </si>
  <si>
    <t>Otros</t>
  </si>
  <si>
    <t>CMP_CNN Update plan LOM</t>
  </si>
  <si>
    <t>DIC R</t>
  </si>
  <si>
    <t>Comentarios</t>
  </si>
  <si>
    <t>ENE R</t>
  </si>
  <si>
    <t>SI($B12="En Proceso";SUMAR.SI($P:$P;$B12;$I:$I);0)</t>
  </si>
  <si>
    <t>ENE P</t>
  </si>
  <si>
    <t>Gastos reembolsables y residual de tratamiento aguas</t>
  </si>
  <si>
    <t>Adelantamiento Planta Los Colorados</t>
  </si>
  <si>
    <t>PFS Los Calatos Project</t>
  </si>
  <si>
    <t>Pre PFS Santa Cruz Project</t>
  </si>
  <si>
    <t>Ferrobamba UG Scoping Study</t>
  </si>
  <si>
    <t>Modelo geomecanico de esfuerzos + FS P1 y PFS P2 - Mina Cajati</t>
  </si>
  <si>
    <t>Capacitación y construcción de modelos de preparación minera usando software DESWIK</t>
  </si>
  <si>
    <t>Mina Ambrex y Babacu Proyecto conceptual - FEL2</t>
  </si>
  <si>
    <t>Plan de largo plazo Mina Guarello</t>
  </si>
  <si>
    <t>LOM Estabilizado, gestion de plan mensual, PFS UG y link con largo plazo del Valle; Mina Romeral</t>
  </si>
  <si>
    <t>FEL2A Valle Elqui Norte</t>
  </si>
  <si>
    <t>FEL2A Valle Elqui Norte - Update de modelos</t>
  </si>
  <si>
    <t>Proyecto Algarrobo Finos</t>
  </si>
  <si>
    <t>Proyecto Estabilización y Optimización de Romeral</t>
  </si>
  <si>
    <t>Nombre fantasía</t>
  </si>
  <si>
    <t>Nombre Proyecto</t>
  </si>
  <si>
    <t>FEB R</t>
  </si>
  <si>
    <t>Minsur_Update LOM San Rafael</t>
  </si>
  <si>
    <t>Cliente</t>
  </si>
  <si>
    <t>CMP</t>
  </si>
  <si>
    <t>Codelco</t>
  </si>
  <si>
    <t>Minera Hampton</t>
  </si>
  <si>
    <t>Terminal</t>
  </si>
  <si>
    <t>Siderúrgica Huachipato</t>
  </si>
  <si>
    <t>Boston_Inmaculada Hochschild</t>
  </si>
  <si>
    <t>Claudio Hernandez</t>
  </si>
  <si>
    <t>MAR R</t>
  </si>
  <si>
    <t>Director</t>
  </si>
  <si>
    <t>Cristian Quezada</t>
  </si>
  <si>
    <t>Lundin_Candelaria_EstudiosCugep</t>
  </si>
  <si>
    <t>Seligdar_Kyuchus</t>
  </si>
  <si>
    <t>BHP_Tunel Exploratorio</t>
  </si>
  <si>
    <t>AMSA_Asesoria Centinela</t>
  </si>
  <si>
    <t>Gerson Alfaro</t>
  </si>
  <si>
    <t>Estudio de Prefactibilidad Explotación Proyecto Minero, Rusia.</t>
  </si>
  <si>
    <t>Ingeniero Principal</t>
  </si>
  <si>
    <t>Estudio FEL1 de evaluación de opciones de acceso exploratrio para el cuerpo Escondida East Deep, de BHP Minerals America.</t>
  </si>
  <si>
    <t>Asesoría Plan 2024 y quinquenio 2024-2028</t>
  </si>
  <si>
    <t>Ingeniería de valor para Robustecer el Proyecto CUGEP</t>
  </si>
  <si>
    <t>ABR R</t>
  </si>
  <si>
    <t>AMSA_Estandares Minimos</t>
  </si>
  <si>
    <t>Desarrollo de Manuales de Minimos Estandares</t>
  </si>
  <si>
    <t>Glencore_Coroccohuayco_OptimizacionLOM</t>
  </si>
  <si>
    <t>Coripuno_Metodos de Minado</t>
  </si>
  <si>
    <t>Alternativas método de minado proyecto Torremani</t>
  </si>
  <si>
    <t>Cristian Alarcón</t>
  </si>
  <si>
    <t>Estudios mineros complementarios para la PFS</t>
  </si>
  <si>
    <t>Saldo 2024 (USD)</t>
  </si>
  <si>
    <t>Saldo actual [USD]</t>
  </si>
  <si>
    <t>Código</t>
  </si>
  <si>
    <t>Saldo actual %</t>
  </si>
  <si>
    <t>Proyecto</t>
  </si>
  <si>
    <t>Estado Operativo</t>
  </si>
  <si>
    <t>Monto Contrato (USD)</t>
  </si>
  <si>
    <t>Emitido Acumulado 2023</t>
  </si>
  <si>
    <t>NOV R</t>
  </si>
  <si>
    <t>OCT R</t>
  </si>
  <si>
    <t>SEPT R</t>
  </si>
  <si>
    <t>MAY F</t>
  </si>
  <si>
    <t>MAY P</t>
  </si>
  <si>
    <t>MAY R</t>
  </si>
  <si>
    <t>ABR F</t>
  </si>
  <si>
    <t>ABR P</t>
  </si>
  <si>
    <t>MAR P</t>
  </si>
  <si>
    <t>MAR F</t>
  </si>
  <si>
    <t>FEB P</t>
  </si>
  <si>
    <t>FEB F</t>
  </si>
  <si>
    <t>ENE F</t>
  </si>
  <si>
    <t>DIC P</t>
  </si>
  <si>
    <t>DIC F</t>
  </si>
  <si>
    <t>NOV F</t>
  </si>
  <si>
    <t>OCT F</t>
  </si>
  <si>
    <t>Avance Financiero Actual %</t>
  </si>
  <si>
    <t>Acumulado Proyectado (USD)</t>
  </si>
  <si>
    <t>Avance Proyectado %</t>
  </si>
  <si>
    <t>Saldo Proyectado (USD)</t>
  </si>
  <si>
    <t>Candelaria (Estandar y Planificacion)</t>
  </si>
  <si>
    <t>Codelco_Drenaje QT</t>
  </si>
  <si>
    <t>Codelco_Capacitacion Deswik DET</t>
  </si>
  <si>
    <t>AMSA_Planificacion</t>
  </si>
  <si>
    <t>CSH_LOM Mina Guarello</t>
  </si>
  <si>
    <t>PFS Los Calatos</t>
  </si>
  <si>
    <t>Marcobre - Minajusta</t>
  </si>
  <si>
    <t>NorGold</t>
  </si>
  <si>
    <t>San Rafael Gestión Operativa</t>
  </si>
  <si>
    <t>San Rafael: Gestión del Corto Plazo</t>
  </si>
  <si>
    <t>Claudio Hernández</t>
  </si>
  <si>
    <t>Banco Santander_Yauricocha y Bolivar</t>
  </si>
  <si>
    <t>Minsur_Apoyo Planificacion San Rafael</t>
  </si>
  <si>
    <t>Capstone Copper_Estimacion confiabilidad de planes</t>
  </si>
  <si>
    <t>Minsur_Rampa de acceso San German</t>
  </si>
  <si>
    <t>McCarthy_Litigio Rio Tinto</t>
  </si>
  <si>
    <t>Update de Modelos</t>
  </si>
  <si>
    <t>País</t>
  </si>
  <si>
    <t>Estimación de confiabilidad de planes mineros</t>
  </si>
  <si>
    <t>Saldo Proy</t>
  </si>
  <si>
    <t>Gap Analisis &amp; Auditoria de Recursos - Yauricocha y Bolivar</t>
  </si>
  <si>
    <t>Apoyo a la planificación de San Rafael</t>
  </si>
  <si>
    <t>Estudio conceptual justificación rampa de acceso sector San German</t>
  </si>
  <si>
    <t>Soporte técnico experto - Proyecto Oyu Tolgoi UG</t>
  </si>
  <si>
    <t>Saldo Actual</t>
  </si>
  <si>
    <t>Var. %</t>
  </si>
  <si>
    <t>Eurochem_Himmelfarb Deposit</t>
  </si>
  <si>
    <t>JUN F</t>
  </si>
  <si>
    <t>JUL F</t>
  </si>
  <si>
    <t>AGO F</t>
  </si>
  <si>
    <t>SEP F</t>
  </si>
  <si>
    <t>Total general</t>
  </si>
  <si>
    <t>J&amp;F_Urucrum_RecuperacionPilares</t>
  </si>
  <si>
    <t>Boston_Inmaculada Hochschild II</t>
  </si>
  <si>
    <t>Spence_Confiabilidad Plan 2YB 2025</t>
  </si>
  <si>
    <t>Minsur_Apoyo MEIA Raura</t>
  </si>
  <si>
    <t>Asesoría técnica para la planificación e implementación de las oportunidades de mejora identificadas en la etapa de diagnóstico de Mina Inmaculada</t>
  </si>
  <si>
    <t>Estudio Confiabilidad Plan 2YB 2025</t>
  </si>
  <si>
    <t>Apoyo MEIA Raura</t>
  </si>
  <si>
    <t>Apoyo Planificacion Geomecanica</t>
  </si>
  <si>
    <t>Auditoría técnica y optimización de soluciones para el "Estudio exploratorio sobre la extracción y el tratamiento de recursos minerales de fosforita potencialmente recuperables en el yacimiento de Himmelfarb".</t>
  </si>
  <si>
    <t>Minsur_Mejoramiento datos geotecnicos SR</t>
  </si>
  <si>
    <t>CMP_LOM CNN 2024</t>
  </si>
  <si>
    <t>CMP_LOM MLC 2024</t>
  </si>
  <si>
    <t>CMP_Puesta en marcha SLS Romeral</t>
  </si>
  <si>
    <t>LOM CNN 2024</t>
  </si>
  <si>
    <t>LOM MLC 2024</t>
  </si>
  <si>
    <t>Puesta en marcha SLS Romeral</t>
  </si>
  <si>
    <t>J&amp;F</t>
  </si>
  <si>
    <t>Recuperación de Pilares Mina Urucrum</t>
  </si>
  <si>
    <t>JUN P</t>
  </si>
  <si>
    <t>JUN R</t>
  </si>
  <si>
    <t>EMX_Metallurgical expert for review</t>
  </si>
  <si>
    <t>MCI_Mine Plan Review Los Bronces</t>
  </si>
  <si>
    <t xml:space="preserve">Revisión y evaluación de oportunidades para el plan minero de largo plazo de Los Bronces (LB) </t>
  </si>
  <si>
    <t>Mitsubichi</t>
  </si>
  <si>
    <t>Coripuno</t>
  </si>
  <si>
    <t>Coripuno MEIA</t>
  </si>
  <si>
    <t>Jhonny Pacheco</t>
  </si>
  <si>
    <t>EMX</t>
  </si>
  <si>
    <t>Metallurgical expert for review</t>
  </si>
  <si>
    <t>Fernando Rodriguez</t>
  </si>
  <si>
    <t>JUL P</t>
  </si>
  <si>
    <t>JUL R</t>
  </si>
  <si>
    <t>Chile</t>
  </si>
  <si>
    <t>Minsur_LOM San Rafael 2025</t>
  </si>
  <si>
    <t>EMX_Due Diligence de Chapi</t>
  </si>
  <si>
    <t>IvanhoeElectric_Mine Planning Support</t>
  </si>
  <si>
    <t>J&amp;F_Autazes Due Diligence</t>
  </si>
  <si>
    <t>Revisión para evaluar posibles oportunidades de negocio de LHG Mining</t>
  </si>
  <si>
    <t>Mine Planning Support</t>
  </si>
  <si>
    <t>Revisión para oportunidades de negocio Proyecto Chapi</t>
  </si>
  <si>
    <t>SierraMetals_Update MEIA Yauricocha</t>
  </si>
  <si>
    <t>Mosaic_Actualizacion geotecnica OP</t>
  </si>
  <si>
    <t>Glencore_MineHaul y MinePlan Lomas Bayas</t>
  </si>
  <si>
    <t>BHP_Plan e Iniciativas LoA25-26</t>
  </si>
  <si>
    <t>Permiología Algarrobo</t>
  </si>
  <si>
    <t>MEIA- Actualización de los dieños de labores y envolvente</t>
  </si>
  <si>
    <t>MineHaul y MinePlan Lomas Bayas</t>
  </si>
  <si>
    <t>Actualización del LOM San Rafael</t>
  </si>
  <si>
    <t>Nuevos alcances de “Estudio de Factibilidad de la explotación de stocks de mineral marginal de Algarrobo”</t>
  </si>
  <si>
    <t xml:space="preserve">Actualización del estudio de estabilidad física del tajo abierto de Cajati </t>
  </si>
  <si>
    <t>Análisis de confiabilidad y detección de cuellos de botella del LoA 2025-26</t>
  </si>
  <si>
    <t>EDP POM</t>
  </si>
  <si>
    <t>EDP Curva S</t>
  </si>
  <si>
    <t>EDP Real</t>
  </si>
  <si>
    <t>Ing Principal</t>
  </si>
  <si>
    <t>CMP_Nuevos alcances Algarrobo</t>
  </si>
  <si>
    <t>KOM esta semana, aun no tiene inicio el estudio.</t>
  </si>
  <si>
    <t>Se generará el seungo EDP cuando el avance fisico alcance el 50%</t>
  </si>
  <si>
    <t>No se han emitido EDP</t>
  </si>
  <si>
    <t>Aun no comienza no va a tener EDO</t>
  </si>
  <si>
    <t>Carlos Morante (revisar)</t>
  </si>
  <si>
    <t>Correo enviado</t>
  </si>
  <si>
    <t>Pedro Aguiluz y con Mauricio Melendez</t>
  </si>
  <si>
    <t>Con Pedro Aguiluz - Nico y Gonzalo Diaz</t>
  </si>
  <si>
    <t>Minsur_Integracion Planeamiento Geomecanica</t>
  </si>
  <si>
    <t>AGO P</t>
  </si>
  <si>
    <t>AGO R</t>
  </si>
  <si>
    <t>AMSA_Contrato Marco</t>
  </si>
  <si>
    <t>CMP_Estrategia Crecimiento Tofo Norte</t>
  </si>
  <si>
    <t>CMP_Plan minero base MLC</t>
  </si>
  <si>
    <t>Gonzalo Díaz</t>
  </si>
  <si>
    <t>Rodrigo Cori</t>
  </si>
  <si>
    <t>Codelco_Opciones vaciado mineral via OP</t>
  </si>
  <si>
    <t>Marcobre_Ingeniería de Perfil Achupallas</t>
  </si>
  <si>
    <t>Rodrigo Baez</t>
  </si>
  <si>
    <t>Eduardo Sanchez</t>
  </si>
  <si>
    <t>Minsur_Evaluacion recursos marginales</t>
  </si>
  <si>
    <t>Matías Fuentes</t>
  </si>
  <si>
    <t>Lundin_Oportunidades mejoras Caserones</t>
  </si>
  <si>
    <t>Lundin_Gaps Planificación y Operación UG</t>
  </si>
  <si>
    <t>Mosaic_Secuencia Operaciones Cajati</t>
  </si>
  <si>
    <t>Kevin Ríos</t>
  </si>
  <si>
    <t>Nicolas Ayarza</t>
  </si>
  <si>
    <t>SEP P</t>
  </si>
  <si>
    <t>SEP R</t>
  </si>
  <si>
    <t>OCT P</t>
  </si>
  <si>
    <t>CMP_Mejoras Operacionales CNN</t>
  </si>
  <si>
    <t>AMSA_Trade Off Tecnologico NGD</t>
  </si>
  <si>
    <t>Capstone Copper_Estudio Sierra Norte</t>
  </si>
  <si>
    <t>CMC_Capacitación DBS y SIMPLAN</t>
  </si>
  <si>
    <t>Fernando Sagastegui</t>
  </si>
  <si>
    <t>NOV P</t>
  </si>
  <si>
    <t>Twin Metals_Pre PFS Birch Lake Maturi</t>
  </si>
  <si>
    <t>ThreeCrowns_Litigio Oyu Tolgoi</t>
  </si>
  <si>
    <t>Codelco_Estándar cierre topográfico</t>
  </si>
  <si>
    <t>Mosaic_Taquari Vassouras Fase II CP</t>
  </si>
  <si>
    <t>Codelco_Actualización norma NCC-31</t>
  </si>
  <si>
    <t>Codelco_Prácticas de Planificación DMH</t>
  </si>
  <si>
    <t>Mosaic_Taquari Vassouras Fase II</t>
  </si>
  <si>
    <t>BR-AUM-OU-FEL00-130-A</t>
  </si>
  <si>
    <t>AuraMinerals_Expansión Mina Paiol OP-UG</t>
  </si>
  <si>
    <t>Resolution_MinePlan Review</t>
  </si>
  <si>
    <t>Oct</t>
  </si>
  <si>
    <t>Nov</t>
  </si>
  <si>
    <t>Dic</t>
  </si>
  <si>
    <t>OT-RES-CS-OTR00-131-A</t>
  </si>
  <si>
    <t>Minsur_Raura Análisis LOM25</t>
  </si>
  <si>
    <t>BHP_Medidas de Cierre Botaderos</t>
  </si>
  <si>
    <t>PE-MSR-UG-OTR00-134-A</t>
  </si>
  <si>
    <t>CH-BHP-OP-FEL00-135-A</t>
  </si>
  <si>
    <t>PE-CSC-UG-FEL2A-133-A</t>
  </si>
  <si>
    <t>PFS Los Calatos V3</t>
  </si>
  <si>
    <t>Emitido Acumulado 2024</t>
  </si>
  <si>
    <t>Año Inicio</t>
  </si>
  <si>
    <t>LasBambas_Ferrobambas UG Escenarios</t>
  </si>
  <si>
    <t>BHP_Spence 2YB analisys</t>
  </si>
  <si>
    <t>Estrategia Cobre Panama</t>
  </si>
  <si>
    <t>AngloAmerican_Tecnología HDD</t>
  </si>
  <si>
    <t>BHP_Análisis LoA 2025 - SCUT</t>
  </si>
  <si>
    <t>OCP_Análisis Estratégico Mina Cobriza</t>
  </si>
  <si>
    <t>TwinMetals_Birch Lake Integration</t>
  </si>
  <si>
    <t>Minsur_San Rafael Estudio V MEIA</t>
  </si>
  <si>
    <t>LasBambas_Ferrobamba PFS</t>
  </si>
  <si>
    <t>AngloAmerican_Análisis Productividad MLB</t>
  </si>
  <si>
    <t>Brasil</t>
  </si>
  <si>
    <t>Perú</t>
  </si>
  <si>
    <t>Avance Financiero %</t>
  </si>
  <si>
    <t>Emitido Acumulado [USD]</t>
  </si>
  <si>
    <t>#</t>
  </si>
  <si>
    <t>Saldo [USD]</t>
  </si>
  <si>
    <t>Mosaic_Cajati Business Case</t>
  </si>
  <si>
    <t>Carolina Arcos</t>
  </si>
  <si>
    <t>Etiquetas de fila</t>
  </si>
  <si>
    <t>Resolution_UGC 68L Program</t>
  </si>
  <si>
    <t>Minsur_LOM Integrado San Rafael 2025</t>
  </si>
  <si>
    <t>EroCopper_Scoping Proyecto Furnas</t>
  </si>
  <si>
    <t>Hudbay_Actualización Riesgo Sísmico</t>
  </si>
  <si>
    <t>Lundin_Análisis Estratégico Caserones</t>
  </si>
  <si>
    <t>CMP_Actualización Casos de Negocios CNN</t>
  </si>
  <si>
    <t>Alpayana_Estudio de Sismicidad</t>
  </si>
  <si>
    <t>Alpamarca_Estudio de Estabilidad Tajo</t>
  </si>
  <si>
    <t>Taboca_Evaluación Mina Pitinga</t>
  </si>
  <si>
    <t>Capstone Copper_Production at Risk</t>
  </si>
  <si>
    <t>SPM_FS Labores Subterraneas 2da MEIA</t>
  </si>
  <si>
    <t>CH-AAM-OT-FEL03-139-A</t>
  </si>
  <si>
    <t>PE-MMG-UG-FEL2A-143-A</t>
  </si>
  <si>
    <t>PE-MSR-UG-FEL00-142-A</t>
  </si>
  <si>
    <t>BR-MOS-UG-OTR00-098-A</t>
  </si>
  <si>
    <t>BR-MOS-OU-FEL03-147-A</t>
  </si>
  <si>
    <t>CH-BHP-UG-FEL01-074-A</t>
  </si>
  <si>
    <t>OT-THC-CS-OTR00-122-A</t>
  </si>
  <si>
    <t>BR-ERC-UG-FEL00-152-A</t>
  </si>
  <si>
    <t>CH-LUN-CS-OTR00-154-A</t>
  </si>
  <si>
    <t>CH-CMP-OP-FEL00-155-A</t>
  </si>
  <si>
    <t>PE-ALP-GM-FEL00-156-A</t>
  </si>
  <si>
    <t>PE-VLC-GM-FEL00-157-A</t>
  </si>
  <si>
    <t>BR-TAB-OP-FEL00-158-A</t>
  </si>
  <si>
    <t>CH-CCO-CS-OTR00-159-A</t>
  </si>
  <si>
    <t>PE-SPM-UG-FEL03-160-A</t>
  </si>
  <si>
    <t>LHG_LOM Urucum</t>
  </si>
  <si>
    <t>CBMM_SIMPLAN Initiatives Evaluation</t>
  </si>
  <si>
    <t>AMSA_Mejoras Planificación Centinela</t>
  </si>
  <si>
    <t>Volcan_Estudio Estabilidad Desmonteras</t>
  </si>
  <si>
    <t>NEXA_Estudio Geomecánico AT y EP</t>
  </si>
  <si>
    <t>Minsur_Soporte LOM 2025 Raura</t>
  </si>
  <si>
    <t>BR-LHG-UG-OTR00-161-A</t>
  </si>
  <si>
    <t>BR-CBM-CS-OTR00-164-A</t>
  </si>
  <si>
    <t>CH-AMS-CS-OTR00-165-A</t>
  </si>
  <si>
    <t>PE-VLC-GM-FEL00-166-A</t>
  </si>
  <si>
    <t>PE-NEX-GM-FEL00-167-A</t>
  </si>
  <si>
    <t>Cumplimiento (USD real/ USD POM)</t>
  </si>
  <si>
    <t>NEXA_Peer Review Cerro Lindo</t>
  </si>
  <si>
    <t>CORFO_Valorización Boquerón Chañar</t>
  </si>
  <si>
    <t>PUCOBRE_Acompañamiento Reservas Tovaku</t>
  </si>
  <si>
    <t>Finalizado</t>
  </si>
  <si>
    <t>En cierre</t>
  </si>
  <si>
    <t>En Ejecución</t>
  </si>
  <si>
    <t>CH-CMP-OP-OTR00-096-A</t>
  </si>
  <si>
    <t>PE-MSR-UG-OTR00-162-A</t>
  </si>
  <si>
    <t>PE-NEX-CS-OTR00-168-A</t>
  </si>
  <si>
    <t>CH-CRF-CS-FEL00-169-A</t>
  </si>
  <si>
    <t>CH-PUC-CS-OTR00-170-A</t>
  </si>
  <si>
    <t>Avance Financiero%</t>
  </si>
  <si>
    <t>Nombre de Proyecto</t>
  </si>
  <si>
    <t>OC/ODS</t>
  </si>
  <si>
    <t>Gantt/Planilla</t>
  </si>
  <si>
    <t>Si</t>
  </si>
  <si>
    <t>No</t>
  </si>
  <si>
    <t>Fecha Inicio</t>
  </si>
  <si>
    <t>Fecha Fin</t>
  </si>
  <si>
    <t>Link</t>
  </si>
  <si>
    <t xml:space="preserve"> Plantilla de Control - Angloamerican Tecnologia.xlsx</t>
  </si>
  <si>
    <t xml:space="preserve"> Plantilla de Control - Estrategias y Plan.xlsx</t>
  </si>
  <si>
    <t>Dias atraso</t>
  </si>
  <si>
    <t>Empresa</t>
  </si>
  <si>
    <t>R+</t>
  </si>
  <si>
    <t>REDCO</t>
  </si>
  <si>
    <t>AtlasMining_Ley de corte optima Malomyr</t>
  </si>
  <si>
    <t>Polyus_Evaluacion talud mina Blagodatny</t>
  </si>
  <si>
    <t>Rusia</t>
  </si>
  <si>
    <t>RU-ATL-OP-FEL00-148-A</t>
  </si>
  <si>
    <t>RU-POL-OP-FEL00-149-A</t>
  </si>
  <si>
    <t>RU-SEL-UG-FEL2A-072-A</t>
  </si>
  <si>
    <t xml:space="preserve"> Plantilla de Control - Actualizacion P1 Cajati.xlsx</t>
  </si>
  <si>
    <t xml:space="preserve"> Plantilla de Control - Actualizacion CNN.xlsx</t>
  </si>
  <si>
    <t xml:space="preserve"> Plantilla de Control - Aura.xlsx</t>
  </si>
  <si>
    <t xml:space="preserve"> Plantilla de Control - BHP Botaderos.xlsx</t>
  </si>
  <si>
    <t xml:space="preserve"> Plantilla de Control - BHP Tunel Exploratorio.xlsx</t>
  </si>
  <si>
    <t xml:space="preserve"> Plantilla de Control - Ferrobamba PFS - MEIA.xlsx</t>
  </si>
  <si>
    <t xml:space="preserve"> Plantilla de Control - ERO Scoping.xlsx</t>
  </si>
  <si>
    <t xml:space="preserve"> Plantilla de Control - Alpayana Sismicidad.xlsx</t>
  </si>
  <si>
    <t xml:space="preserve"> Plantilla de Control - Alpamarca Tajo.xlsx</t>
  </si>
  <si>
    <t xml:space="preserve"> Plantilla de Control - SPM_FS Labores Subterraneas 2da MEIA.xlsx</t>
  </si>
  <si>
    <t xml:space="preserve"> Plantilla de Control - LHG_LOM Urucum.xlsx</t>
  </si>
  <si>
    <t xml:space="preserve"> Plantilla de Control - Mejora Sistema Planificación de Corto Plazo.xlsx</t>
  </si>
  <si>
    <t xml:space="preserve"> Plantilla de Control - Estudio Desmonteras Romina.xlsx</t>
  </si>
  <si>
    <t xml:space="preserve"> Plantilla de Control - NEXA - Act. Estudio Geomecánico UM Porvenir.xlsx</t>
  </si>
  <si>
    <t xml:space="preserve"> Plantilla de Control - Boquerón Chañar - CORFO.xlsx</t>
  </si>
  <si>
    <t xml:space="preserve"> Plantilla de Control - Polyus.xlsx</t>
  </si>
  <si>
    <t xml:space="preserve"> Plantilla de Control - Seligdar.xlsx</t>
  </si>
  <si>
    <t>Estado</t>
  </si>
  <si>
    <t>Planificados</t>
  </si>
  <si>
    <t>En Cierre</t>
  </si>
  <si>
    <t>Riesgo</t>
  </si>
  <si>
    <t>Inicio</t>
  </si>
  <si>
    <t>AMSA_RIINO BC - Centinela</t>
  </si>
  <si>
    <t>EQUINOX_Actualización Ing. Básica UG</t>
  </si>
  <si>
    <t>Polyus_Olimpiada Cutback 5&amp;6</t>
  </si>
  <si>
    <t>Codelco_Formulación caso de negocio TBM</t>
  </si>
  <si>
    <t>Collahuasi_PFS Perforación pozos con HDD</t>
  </si>
  <si>
    <t>REDTEC</t>
  </si>
  <si>
    <t>Días Duración</t>
  </si>
  <si>
    <t>J.F. San Martin</t>
  </si>
  <si>
    <t>Freddy Díaz</t>
  </si>
  <si>
    <t>CH-AMS-OP-FEL00-171-A</t>
  </si>
  <si>
    <t>BR-EQG-UG-FEL03-172-A</t>
  </si>
  <si>
    <t>RU-POL-OP-FEL00-173-A</t>
  </si>
  <si>
    <t>CH-COD-UG-FEL00-174-A</t>
  </si>
  <si>
    <t>CH-COL-OT-FEL2A-175-A</t>
  </si>
  <si>
    <t xml:space="preserve"> Plantilla de Control - Taquari Fase II.xlsx</t>
  </si>
  <si>
    <t>Avance Físico%</t>
  </si>
  <si>
    <t>FN_Oko West project review</t>
  </si>
  <si>
    <t>OT-FNE-CS-OTR00-176-A</t>
  </si>
  <si>
    <t>Saldo %</t>
  </si>
  <si>
    <t>Saldo Acum%</t>
  </si>
  <si>
    <t>Saldo Acum</t>
  </si>
  <si>
    <t>Saldo US$</t>
  </si>
  <si>
    <t>Contrato US$</t>
  </si>
  <si>
    <t>Emitido US$</t>
  </si>
  <si>
    <t>Suma de Saldo US$</t>
  </si>
  <si>
    <t>%</t>
  </si>
  <si>
    <t>Cuenta de Saldo US$2</t>
  </si>
  <si>
    <t>Anglo_Production at Risk Mina Rio</t>
  </si>
  <si>
    <t>Resolution_General Review</t>
  </si>
  <si>
    <t>Collahuasi_Análisis Mine Compliance</t>
  </si>
  <si>
    <t>Sin Director</t>
  </si>
  <si>
    <t>CH-AAM-CS-OTR00-179-A</t>
  </si>
  <si>
    <t>OT-RES-CS-OTR00-178-A</t>
  </si>
  <si>
    <t>CH-COL-CS-OTR00-180-A</t>
  </si>
  <si>
    <t>JF San Martin</t>
  </si>
  <si>
    <t>Suma de Contrato US$</t>
  </si>
  <si>
    <t>Cuenta de Contrato US$2</t>
  </si>
  <si>
    <t>Miskimayo_Evaluación Transporte en Mina</t>
  </si>
  <si>
    <t>Glencore_Estrategia de Propiedades CMLB</t>
  </si>
  <si>
    <t>AuraMinerals_Proyecto Paiol PFS UG</t>
  </si>
  <si>
    <t>Director / Jefe de Proyecto</t>
  </si>
  <si>
    <t>Renán Argandoña</t>
  </si>
  <si>
    <t>Collahuasi_Valor Incorporación Chx.03</t>
  </si>
  <si>
    <t>ERG_Parámetros estabilidad taludes</t>
  </si>
  <si>
    <t>Marco Lozada</t>
  </si>
  <si>
    <t>Emincar_Los Castellanos_UG</t>
  </si>
  <si>
    <t>Emilio Sanchez</t>
  </si>
  <si>
    <t>ERG_Structural Model Update</t>
  </si>
  <si>
    <t>ElBrocal_Estudio Geomecanico Estabilidad</t>
  </si>
  <si>
    <t>Hochschild_FS Metodos de Minado Tesoro</t>
  </si>
  <si>
    <t>Los Calatos_Resource Development Plan</t>
  </si>
  <si>
    <t>Codelco_Auditoria Recursos y Reservas</t>
  </si>
  <si>
    <t>Gerente</t>
  </si>
  <si>
    <t>JFSM</t>
  </si>
  <si>
    <t>MF</t>
  </si>
  <si>
    <t>CH</t>
  </si>
  <si>
    <t>Jefe de Proyecto</t>
  </si>
  <si>
    <t>Total</t>
  </si>
  <si>
    <t>Total Real</t>
  </si>
  <si>
    <t>Total POM</t>
  </si>
  <si>
    <t>Cantidad</t>
  </si>
  <si>
    <t>Promedio (USD/#)</t>
  </si>
  <si>
    <t>Contrato [USD]</t>
  </si>
  <si>
    <t>ENE A</t>
  </si>
  <si>
    <t>Código Proyecto</t>
  </si>
  <si>
    <t>Item</t>
  </si>
  <si>
    <t>N° EDP</t>
  </si>
  <si>
    <t>Fecha emisión</t>
  </si>
  <si>
    <t>Emitido a cliente</t>
  </si>
  <si>
    <t>Aprobado</t>
  </si>
  <si>
    <t>Facturado</t>
  </si>
  <si>
    <t>Var.%</t>
  </si>
  <si>
    <t>Contrato</t>
  </si>
  <si>
    <t>Comentario</t>
  </si>
  <si>
    <t>Pendiente</t>
  </si>
  <si>
    <t>En proceso</t>
  </si>
  <si>
    <t>OK</t>
  </si>
  <si>
    <t>Subtotal 1</t>
  </si>
  <si>
    <t>Subtotal 2</t>
  </si>
  <si>
    <t>Gran Total</t>
  </si>
  <si>
    <t>#Proyectos POM</t>
  </si>
  <si>
    <t>Media US$</t>
  </si>
  <si>
    <t>#Proyectos Real</t>
  </si>
  <si>
    <t>Monto POM</t>
  </si>
  <si>
    <t>Monto Real</t>
  </si>
  <si>
    <t>Cumpl.%</t>
  </si>
  <si>
    <t>Status</t>
  </si>
  <si>
    <t>#EDP Pendientes</t>
  </si>
  <si>
    <t>#EDP OK</t>
  </si>
  <si>
    <t>Ajustado US$</t>
  </si>
  <si>
    <t>Real
US$</t>
  </si>
  <si>
    <t>POM 
US$</t>
  </si>
  <si>
    <t>Dif. 
US$</t>
  </si>
  <si>
    <t>FEB A</t>
  </si>
  <si>
    <t>Total Ajustado</t>
  </si>
  <si>
    <t>POM</t>
  </si>
  <si>
    <t>Ajustado</t>
  </si>
  <si>
    <t>Collahuasi_Mine Compliance 2026</t>
  </si>
  <si>
    <t>Freeport_GBC Restart Strategy Services</t>
  </si>
  <si>
    <t>Barrick_Production at Risk Veladero</t>
  </si>
  <si>
    <t>Contrato USD</t>
  </si>
  <si>
    <t>Emitido USD</t>
  </si>
  <si>
    <t>Saldo USD</t>
  </si>
  <si>
    <t>Ene POM</t>
  </si>
  <si>
    <t>Ene Ajuste</t>
  </si>
  <si>
    <t>Ene Real</t>
  </si>
  <si>
    <t>Feb POM</t>
  </si>
  <si>
    <t>Feb Ajuste</t>
  </si>
  <si>
    <t>Feb Real</t>
  </si>
  <si>
    <t>AJUSTADO</t>
  </si>
  <si>
    <t>REAL</t>
  </si>
  <si>
    <t>Mosaic_Cajati LOM Open Pit</t>
  </si>
  <si>
    <t>Los Calatos_DD-Support</t>
  </si>
  <si>
    <t>Glencore_Mining Simulation Mara</t>
  </si>
  <si>
    <t>Minsur_LOM Integrado San Rafael 2026</t>
  </si>
  <si>
    <t>Hecla_Lucky Friday Mine</t>
  </si>
  <si>
    <t>South32_Clark Project</t>
  </si>
  <si>
    <t>MAR A</t>
  </si>
  <si>
    <t>AESA_Construccion Rampas Mina Justa</t>
  </si>
  <si>
    <t>Hochschild_LOM UG Royropata</t>
  </si>
  <si>
    <t>Miskimayo_Actualizacion R&amp;R Mina Bayovar</t>
  </si>
  <si>
    <t>Hudbay_Ampliacion Peligro Sísmico</t>
  </si>
  <si>
    <t>Mosaic_Análisis de Estabilidad</t>
  </si>
  <si>
    <t>EroCopper_Surubim OP Mine</t>
  </si>
  <si>
    <t>MineriaIman_PEA Proyecto Iman</t>
  </si>
  <si>
    <t>Stantec_I80 Archimedes UG FS</t>
  </si>
  <si>
    <t>ABR A</t>
  </si>
  <si>
    <t>Codelco_DET Rajo Sur</t>
  </si>
  <si>
    <t>Collahuasi_Mining Simulation Study</t>
  </si>
  <si>
    <t>Abr</t>
  </si>
  <si>
    <t>MAY A</t>
  </si>
  <si>
    <t>SeabridgeGold_HoV analysis for the KSM</t>
  </si>
  <si>
    <t>Codelco_Peritaje División El Teniente</t>
  </si>
  <si>
    <t>EroCopper_PEA Update Furnas Project</t>
  </si>
  <si>
    <t>Highlander_Diagnóstico Geomecánico</t>
  </si>
  <si>
    <t>GD</t>
  </si>
  <si>
    <t>AF</t>
  </si>
  <si>
    <t>FortunaMining_Sismicidad inducida Bateas</t>
  </si>
  <si>
    <t>EroCopper_Análisis Expansión Xavantina</t>
  </si>
  <si>
    <t>Canadá</t>
  </si>
  <si>
    <t>Volcan_Simulación sistema de transporte</t>
  </si>
  <si>
    <t xml:space="preserve">Minsur_Proceso adherencia Quenamari - SR </t>
  </si>
  <si>
    <t>South32_HoV and optimized cut-off grade</t>
  </si>
  <si>
    <t>May</t>
  </si>
  <si>
    <t>JUN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</si>
</sst>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64" formatCode="#,##0_ ;\-#,##0\ "/>
    <numFmt numFmtId="165" formatCode="0.0%"/>
    <numFmt numFmtId="166" formatCode="_ * #,##0.0_ ;_ * \-#,##0.0_ ;_ * &quot;-&quot;_ ;_ @_ "/>
  </numFmts>
  <fonts count="61" x14ac:knownFonts="1">
    <font>
      <sz val="11"/>
      <color theme="1"/>
      <name val="Calibri"/>
      <family val="2"/>
      <scheme val="minor"/>
    </font>
    <font>
      <sz val="11"/>
      <color theme="1"/>
      <name val="Calibri"/>
      <family val="2"/>
      <scheme val="minor"/>
    </font>
    <font>
      <b/>
      <sz val="11"/>
      <color theme="0"/>
      <name val="Calibri"/>
      <family val="2"/>
      <scheme val="minor"/>
    </font>
    <font>
      <sz val="9"/>
      <color theme="1"/>
      <name val="Calibri"/>
      <family val="2"/>
      <scheme val="minor"/>
    </font>
    <font>
      <sz val="11"/>
      <color rgb="FF006100"/>
      <name val="Calibri"/>
      <family val="2"/>
      <scheme val="minor"/>
    </font>
    <font>
      <sz val="10"/>
      <color theme="1"/>
      <name val="Calibri"/>
      <family val="2"/>
      <scheme val="minor"/>
    </font>
    <font>
      <b/>
      <sz val="10"/>
      <color theme="0"/>
      <name val="Calibri"/>
      <family val="2"/>
      <scheme val="minor"/>
    </font>
    <font>
      <sz val="10"/>
      <name val="Calibri"/>
      <family val="2"/>
      <scheme val="minor"/>
    </font>
    <font>
      <sz val="10"/>
      <color rgb="FF006100"/>
      <name val="Calibri"/>
      <family val="2"/>
      <scheme val="minor"/>
    </font>
    <font>
      <sz val="10"/>
      <color rgb="FFFF0000"/>
      <name val="Calibri"/>
      <family val="2"/>
      <scheme val="minor"/>
    </font>
    <font>
      <b/>
      <sz val="10"/>
      <name val="Calibri"/>
      <family val="2"/>
      <scheme val="minor"/>
    </font>
    <font>
      <sz val="10"/>
      <color theme="0"/>
      <name val="Calibri"/>
      <family val="2"/>
      <scheme val="minor"/>
    </font>
    <font>
      <b/>
      <sz val="11"/>
      <color theme="1"/>
      <name val="Calibri"/>
      <family val="2"/>
      <scheme val="minor"/>
    </font>
    <font>
      <strike/>
      <sz val="10"/>
      <color rgb="FFFF0000"/>
      <name val="Calibri"/>
      <family val="2"/>
      <scheme val="minor"/>
    </font>
    <font>
      <sz val="10"/>
      <color rgb="FF00B050"/>
      <name val="Calibri"/>
      <family val="2"/>
      <scheme val="minor"/>
    </font>
    <font>
      <sz val="9"/>
      <color indexed="81"/>
      <name val="Tahoma"/>
      <family val="2"/>
    </font>
    <font>
      <b/>
      <sz val="9"/>
      <color indexed="81"/>
      <name val="Tahoma"/>
      <family val="2"/>
    </font>
    <font>
      <sz val="10"/>
      <color rgb="FFEE0000"/>
      <name val="Calibri"/>
      <family val="2"/>
      <scheme val="minor"/>
    </font>
    <font>
      <u/>
      <sz val="11"/>
      <color theme="10"/>
      <name val="Calibri"/>
      <family val="2"/>
      <scheme val="minor"/>
    </font>
    <font>
      <sz val="10"/>
      <color theme="1"/>
      <name val="Century Gothic"/>
      <family val="2"/>
    </font>
    <font>
      <b/>
      <sz val="10"/>
      <color theme="1"/>
      <name val="Century Gothic"/>
      <family val="2"/>
    </font>
    <font>
      <u/>
      <sz val="10"/>
      <color theme="10"/>
      <name val="Century Gothic"/>
      <family val="2"/>
    </font>
    <font>
      <sz val="10"/>
      <color rgb="FFFF0000"/>
      <name val="Century Gothic"/>
      <family val="2"/>
    </font>
    <font>
      <sz val="10"/>
      <name val="Century Gothic"/>
      <family val="2"/>
    </font>
    <font>
      <sz val="10"/>
      <name val="Arial"/>
      <family val="2"/>
    </font>
    <font>
      <sz val="10"/>
      <color rgb="FF000000"/>
      <name val="Times New Roman"/>
      <family val="1"/>
    </font>
    <font>
      <b/>
      <u/>
      <sz val="11"/>
      <color theme="1"/>
      <name val="Calibri"/>
      <family val="2"/>
      <scheme val="minor"/>
    </font>
    <font>
      <sz val="11"/>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10"/>
      <color rgb="FFC00000"/>
      <name val="Calibri"/>
      <family val="2"/>
      <scheme val="minor"/>
    </font>
    <font>
      <b/>
      <sz val="10"/>
      <color theme="0"/>
      <name val="Aptos"/>
      <family val="2"/>
    </font>
    <font>
      <sz val="10"/>
      <color theme="1"/>
      <name val="Aptos"/>
      <family val="2"/>
    </font>
    <font>
      <sz val="10"/>
      <name val="Aptos"/>
      <family val="2"/>
    </font>
    <font>
      <b/>
      <sz val="10"/>
      <color theme="1"/>
      <name val="Aptos"/>
      <family val="2"/>
    </font>
    <font>
      <sz val="10"/>
      <color rgb="FFFF0000"/>
      <name val="Aptos"/>
      <family val="2"/>
    </font>
    <font>
      <sz val="10"/>
      <color rgb="FFEE0000"/>
      <name val="Aptos"/>
      <family val="2"/>
    </font>
    <font>
      <strike/>
      <sz val="10"/>
      <color rgb="FFFF0000"/>
      <name val="Aptos"/>
      <family val="2"/>
    </font>
    <font>
      <sz val="10"/>
      <color rgb="FFC00000"/>
      <name val="Aptos"/>
      <family val="2"/>
    </font>
    <font>
      <b/>
      <sz val="10"/>
      <name val="Aptos"/>
      <family val="2"/>
    </font>
    <font>
      <sz val="9"/>
      <color theme="1"/>
      <name val="Aptos"/>
      <family val="2"/>
    </font>
    <font>
      <b/>
      <sz val="11"/>
      <color theme="0"/>
      <name val="Aptos"/>
      <family val="2"/>
    </font>
    <font>
      <sz val="11"/>
      <color theme="1"/>
      <name val="Aptos"/>
      <family val="2"/>
    </font>
    <font>
      <b/>
      <sz val="11"/>
      <color theme="1"/>
      <name val="Aptos"/>
      <family val="2"/>
    </font>
    <font>
      <b/>
      <sz val="9"/>
      <color theme="1"/>
      <name val="Aptos"/>
      <family val="2"/>
    </font>
    <font>
      <sz val="9"/>
      <name val="Aptos"/>
      <family val="2"/>
    </font>
    <font>
      <strike/>
      <sz val="9"/>
      <color rgb="FFFF0000"/>
      <name val="Aptos"/>
      <family val="2"/>
    </font>
    <font>
      <sz val="9"/>
      <color theme="0"/>
      <name val="Aptos"/>
      <family val="2"/>
    </font>
    <font>
      <b/>
      <sz val="10"/>
      <color theme="0"/>
      <name val="Century Gothic"/>
      <family val="2"/>
    </font>
    <font>
      <sz val="11"/>
      <color rgb="FF37474F"/>
      <name val="Aptos"/>
      <family val="2"/>
    </font>
    <font>
      <sz val="10"/>
      <color theme="6" tint="0.59999389629810485"/>
      <name val="Aptos"/>
      <family val="2"/>
    </font>
  </fonts>
  <fills count="57">
    <fill>
      <patternFill patternType="none"/>
    </fill>
    <fill>
      <patternFill patternType="gray125"/>
    </fill>
    <fill>
      <patternFill patternType="solid">
        <fgColor theme="5"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3"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rgb="FFFFFF00"/>
        <bgColor indexed="64"/>
      </patternFill>
    </fill>
    <fill>
      <patternFill patternType="solid">
        <fgColor rgb="FF00B050"/>
        <bgColor indexed="64"/>
      </patternFill>
    </fill>
    <fill>
      <patternFill patternType="solid">
        <fgColor rgb="FFC6EFCE"/>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theme="7"/>
        <bgColor indexed="64"/>
      </patternFill>
    </fill>
    <fill>
      <patternFill patternType="solid">
        <fgColor theme="4" tint="-0.499984740745262"/>
        <bgColor indexed="64"/>
      </patternFill>
    </fill>
    <fill>
      <patternFill patternType="solid">
        <fgColor theme="5"/>
        <bgColor indexed="64"/>
      </patternFill>
    </fill>
    <fill>
      <patternFill patternType="solid">
        <fgColor theme="9"/>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5" tint="0.39997558519241921"/>
        <bgColor indexed="64"/>
      </patternFill>
    </fill>
  </fills>
  <borders count="32">
    <border>
      <left/>
      <right/>
      <top/>
      <bottom/>
      <diagonal/>
    </border>
    <border>
      <left/>
      <right/>
      <top/>
      <bottom style="medium">
        <color indexed="64"/>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diagonal/>
    </border>
    <border>
      <left/>
      <right/>
      <top style="thin">
        <color indexed="64"/>
      </top>
      <bottom/>
      <diagonal/>
    </border>
    <border>
      <left/>
      <right/>
      <top style="thin">
        <color theme="0"/>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5">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41" fontId="1" fillId="0" borderId="0" applyFont="0" applyFill="0" applyBorder="0" applyAlignment="0" applyProtection="0"/>
    <xf numFmtId="9" fontId="1" fillId="0" borderId="0" applyFont="0" applyFill="0" applyBorder="0" applyAlignment="0" applyProtection="0"/>
    <xf numFmtId="0" fontId="1" fillId="0" borderId="0"/>
    <xf numFmtId="41" fontId="1" fillId="0" borderId="0" applyFont="0" applyFill="0" applyBorder="0" applyAlignment="0" applyProtection="0"/>
    <xf numFmtId="9" fontId="1" fillId="0" borderId="0" applyFont="0" applyFill="0" applyBorder="0" applyAlignment="0" applyProtection="0"/>
    <xf numFmtId="0" fontId="4" fillId="12" borderId="0" applyNumberFormat="0" applyBorder="0" applyAlignment="0" applyProtection="0"/>
    <xf numFmtId="0" fontId="18" fillId="0" borderId="0" applyNumberFormat="0" applyFill="0" applyBorder="0" applyAlignment="0" applyProtection="0"/>
    <xf numFmtId="43" fontId="1" fillId="0" borderId="0" applyFont="0" applyFill="0" applyBorder="0" applyAlignment="0" applyProtection="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5" fillId="0" borderId="0"/>
    <xf numFmtId="0" fontId="28" fillId="0" borderId="0" applyNumberFormat="0" applyFill="0" applyBorder="0" applyAlignment="0" applyProtection="0"/>
    <xf numFmtId="0" fontId="29" fillId="0" borderId="7"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2" fillId="24" borderId="0" applyNumberFormat="0" applyBorder="0" applyAlignment="0" applyProtection="0"/>
    <xf numFmtId="0" fontId="33" fillId="25" borderId="0" applyNumberFormat="0" applyBorder="0" applyAlignment="0" applyProtection="0"/>
    <xf numFmtId="0" fontId="34" fillId="26" borderId="10" applyNumberFormat="0" applyAlignment="0" applyProtection="0"/>
    <xf numFmtId="0" fontId="35" fillId="27" borderId="11" applyNumberFormat="0" applyAlignment="0" applyProtection="0"/>
    <xf numFmtId="0" fontId="36" fillId="27" borderId="10" applyNumberFormat="0" applyAlignment="0" applyProtection="0"/>
    <xf numFmtId="0" fontId="37" fillId="0" borderId="12" applyNumberFormat="0" applyFill="0" applyAlignment="0" applyProtection="0"/>
    <xf numFmtId="0" fontId="2" fillId="28" borderId="13" applyNumberFormat="0" applyAlignment="0" applyProtection="0"/>
    <xf numFmtId="0" fontId="27" fillId="0" borderId="0" applyNumberFormat="0" applyFill="0" applyBorder="0" applyAlignment="0" applyProtection="0"/>
    <xf numFmtId="0" fontId="1" fillId="29" borderId="14" applyNumberFormat="0" applyFont="0" applyAlignment="0" applyProtection="0"/>
    <xf numFmtId="0" fontId="38" fillId="0" borderId="0" applyNumberFormat="0" applyFill="0" applyBorder="0" applyAlignment="0" applyProtection="0"/>
    <xf numFmtId="0" fontId="12" fillId="0" borderId="15" applyNumberFormat="0" applyFill="0" applyAlignment="0" applyProtection="0"/>
    <xf numFmtId="0" fontId="39"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9"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9"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39"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39"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39"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cellStyleXfs>
  <cellXfs count="373">
    <xf numFmtId="0" fontId="0" fillId="0" borderId="0" xfId="0"/>
    <xf numFmtId="0" fontId="3" fillId="0" borderId="0" xfId="0" applyFont="1"/>
    <xf numFmtId="0" fontId="5" fillId="0" borderId="0" xfId="0" applyFont="1"/>
    <xf numFmtId="9" fontId="5" fillId="0" borderId="0" xfId="0" applyNumberFormat="1" applyFont="1"/>
    <xf numFmtId="41" fontId="5" fillId="0" borderId="0" xfId="0" applyNumberFormat="1" applyFont="1"/>
    <xf numFmtId="0" fontId="7" fillId="6" borderId="4" xfId="0" applyFont="1" applyFill="1" applyBorder="1" applyAlignment="1">
      <alignment horizontal="left" vertical="center" wrapText="1"/>
    </xf>
    <xf numFmtId="41" fontId="5" fillId="3" borderId="4" xfId="7" applyFont="1" applyFill="1" applyBorder="1" applyAlignment="1">
      <alignment horizontal="center" vertical="center" wrapText="1"/>
    </xf>
    <xf numFmtId="41" fontId="5" fillId="3" borderId="4" xfId="2" applyNumberFormat="1" applyFont="1" applyBorder="1" applyAlignment="1">
      <alignment horizontal="center" vertical="center" wrapText="1"/>
    </xf>
    <xf numFmtId="41" fontId="5" fillId="4" borderId="4" xfId="3" applyNumberFormat="1" applyFont="1" applyBorder="1" applyAlignment="1">
      <alignment horizontal="center" vertical="center" wrapText="1"/>
    </xf>
    <xf numFmtId="41" fontId="5" fillId="7" borderId="4" xfId="3" applyNumberFormat="1" applyFont="1" applyFill="1" applyBorder="1" applyAlignment="1">
      <alignment horizontal="center" vertical="center" wrapText="1"/>
    </xf>
    <xf numFmtId="9" fontId="5" fillId="0" borderId="4" xfId="0" applyNumberFormat="1" applyFont="1" applyBorder="1"/>
    <xf numFmtId="9" fontId="5" fillId="6" borderId="4" xfId="0" applyNumberFormat="1" applyFont="1" applyFill="1" applyBorder="1"/>
    <xf numFmtId="9" fontId="5" fillId="10" borderId="4" xfId="0" applyNumberFormat="1" applyFont="1" applyFill="1" applyBorder="1"/>
    <xf numFmtId="41" fontId="5" fillId="0" borderId="0" xfId="7" applyFont="1" applyAlignment="1">
      <alignment horizontal="center"/>
    </xf>
    <xf numFmtId="0" fontId="8" fillId="12" borderId="4" xfId="9" applyFont="1" applyBorder="1" applyAlignment="1">
      <alignment horizontal="left" vertical="center" wrapText="1"/>
    </xf>
    <xf numFmtId="9" fontId="5" fillId="0" borderId="4" xfId="5" applyFont="1" applyBorder="1"/>
    <xf numFmtId="9" fontId="5" fillId="6" borderId="4" xfId="5" applyFont="1" applyFill="1" applyBorder="1"/>
    <xf numFmtId="0" fontId="9" fillId="6" borderId="4" xfId="0" applyFont="1" applyFill="1" applyBorder="1" applyAlignment="1">
      <alignment horizontal="left" vertical="center" wrapText="1"/>
    </xf>
    <xf numFmtId="9" fontId="5" fillId="10" borderId="4" xfId="5" applyFont="1" applyFill="1" applyBorder="1"/>
    <xf numFmtId="9" fontId="5" fillId="0" borderId="4" xfId="6" applyNumberFormat="1" applyFont="1" applyBorder="1"/>
    <xf numFmtId="9" fontId="5" fillId="6" borderId="4" xfId="6" applyNumberFormat="1" applyFont="1" applyFill="1" applyBorder="1"/>
    <xf numFmtId="41" fontId="10" fillId="8" borderId="4" xfId="4" applyFont="1" applyFill="1" applyBorder="1" applyAlignment="1">
      <alignment horizontal="center" vertical="center" wrapText="1"/>
    </xf>
    <xf numFmtId="0" fontId="5" fillId="0" borderId="4" xfId="0" applyFont="1" applyBorder="1"/>
    <xf numFmtId="9" fontId="5" fillId="0" borderId="4" xfId="8" applyFont="1" applyBorder="1"/>
    <xf numFmtId="0" fontId="10" fillId="8" borderId="4" xfId="0" applyFont="1" applyFill="1" applyBorder="1" applyAlignment="1">
      <alignment horizontal="left" vertical="center" wrapText="1"/>
    </xf>
    <xf numFmtId="41" fontId="10" fillId="8" borderId="4" xfId="7" applyFont="1" applyFill="1" applyBorder="1" applyAlignment="1">
      <alignment horizontal="center" vertical="center" wrapText="1"/>
    </xf>
    <xf numFmtId="41" fontId="5" fillId="14" borderId="4" xfId="3" applyNumberFormat="1" applyFont="1" applyFill="1" applyBorder="1" applyAlignment="1">
      <alignment horizontal="center" vertical="center" wrapText="1"/>
    </xf>
    <xf numFmtId="41" fontId="7" fillId="7" borderId="4" xfId="3" applyNumberFormat="1" applyFont="1" applyFill="1" applyBorder="1" applyAlignment="1">
      <alignment horizontal="center" vertical="center" wrapText="1"/>
    </xf>
    <xf numFmtId="9" fontId="5" fillId="10" borderId="4" xfId="8" applyFont="1" applyFill="1" applyBorder="1"/>
    <xf numFmtId="9" fontId="5" fillId="0" borderId="4" xfId="8" applyFont="1" applyFill="1" applyBorder="1"/>
    <xf numFmtId="41" fontId="5" fillId="0" borderId="0" xfId="7" applyFont="1"/>
    <xf numFmtId="41" fontId="13" fillId="14" borderId="4" xfId="3" applyNumberFormat="1" applyFont="1" applyFill="1" applyBorder="1" applyAlignment="1">
      <alignment horizontal="center" vertical="center" wrapText="1"/>
    </xf>
    <xf numFmtId="0" fontId="5" fillId="17" borderId="4" xfId="0" applyFont="1" applyFill="1" applyBorder="1"/>
    <xf numFmtId="10" fontId="5" fillId="17" borderId="4" xfId="0" applyNumberFormat="1" applyFont="1" applyFill="1" applyBorder="1"/>
    <xf numFmtId="165" fontId="5" fillId="0" borderId="0" xfId="8" applyNumberFormat="1" applyFont="1"/>
    <xf numFmtId="9" fontId="5" fillId="17" borderId="4" xfId="8" applyFont="1" applyFill="1" applyBorder="1"/>
    <xf numFmtId="9" fontId="5" fillId="17" borderId="4" xfId="0" applyNumberFormat="1" applyFont="1" applyFill="1" applyBorder="1"/>
    <xf numFmtId="0" fontId="14" fillId="6" borderId="4" xfId="0" applyFont="1" applyFill="1" applyBorder="1" applyAlignment="1">
      <alignment horizontal="left" vertical="center" wrapText="1"/>
    </xf>
    <xf numFmtId="41" fontId="11" fillId="14" borderId="4" xfId="3" applyNumberFormat="1" applyFont="1" applyFill="1" applyBorder="1" applyAlignment="1">
      <alignment horizontal="center" vertical="center" wrapText="1"/>
    </xf>
    <xf numFmtId="41" fontId="7" fillId="14" borderId="4" xfId="3" applyNumberFormat="1" applyFont="1" applyFill="1" applyBorder="1" applyAlignment="1">
      <alignment horizontal="center" vertical="center" wrapText="1"/>
    </xf>
    <xf numFmtId="0" fontId="6" fillId="5" borderId="2" xfId="0" applyFont="1" applyFill="1" applyBorder="1" applyAlignment="1">
      <alignment vertical="center"/>
    </xf>
    <xf numFmtId="9" fontId="5" fillId="17" borderId="4" xfId="5" applyFont="1" applyFill="1" applyBorder="1"/>
    <xf numFmtId="9" fontId="5" fillId="17" borderId="4" xfId="6" applyNumberFormat="1" applyFont="1" applyFill="1" applyBorder="1"/>
    <xf numFmtId="15" fontId="6" fillId="5" borderId="3" xfId="0" applyNumberFormat="1" applyFont="1" applyFill="1" applyBorder="1" applyAlignment="1">
      <alignment vertical="center" wrapText="1"/>
    </xf>
    <xf numFmtId="0" fontId="0" fillId="0" borderId="4" xfId="0" applyBorder="1"/>
    <xf numFmtId="0" fontId="0" fillId="17" borderId="4" xfId="0" applyFill="1" applyBorder="1"/>
    <xf numFmtId="9" fontId="10" fillId="8" borderId="4" xfId="8" applyFont="1" applyFill="1" applyBorder="1" applyAlignment="1">
      <alignment horizontal="center" vertical="center" wrapText="1"/>
    </xf>
    <xf numFmtId="9" fontId="5" fillId="0" borderId="4" xfId="8" applyFont="1" applyFill="1" applyBorder="1" applyAlignment="1">
      <alignment horizontal="center" vertical="center" wrapText="1"/>
    </xf>
    <xf numFmtId="41" fontId="7" fillId="15" borderId="4" xfId="4" applyFont="1" applyFill="1" applyBorder="1" applyAlignment="1">
      <alignment horizontal="center" vertical="center" wrapText="1"/>
    </xf>
    <xf numFmtId="0" fontId="7" fillId="6" borderId="6" xfId="0" applyFont="1" applyFill="1" applyBorder="1" applyAlignment="1">
      <alignment horizontal="left" vertical="center" wrapText="1"/>
    </xf>
    <xf numFmtId="41" fontId="5" fillId="3" borderId="6" xfId="7" applyFont="1" applyFill="1" applyBorder="1" applyAlignment="1">
      <alignment horizontal="center" vertical="center" wrapText="1"/>
    </xf>
    <xf numFmtId="41" fontId="5" fillId="0" borderId="6" xfId="2" applyNumberFormat="1" applyFont="1" applyFill="1" applyBorder="1" applyAlignment="1">
      <alignment horizontal="center" vertical="center" wrapText="1"/>
    </xf>
    <xf numFmtId="9" fontId="5" fillId="0" borderId="6" xfId="8" applyFont="1" applyFill="1" applyBorder="1" applyAlignment="1">
      <alignment horizontal="center" vertical="center" wrapText="1"/>
    </xf>
    <xf numFmtId="41" fontId="5" fillId="3" borderId="6" xfId="2" applyNumberFormat="1" applyFont="1" applyBorder="1" applyAlignment="1">
      <alignment horizontal="center" vertical="center" wrapText="1"/>
    </xf>
    <xf numFmtId="41" fontId="7" fillId="15" borderId="6" xfId="4" applyFont="1" applyFill="1" applyBorder="1" applyAlignment="1">
      <alignment horizontal="center" vertical="center" wrapText="1"/>
    </xf>
    <xf numFmtId="41" fontId="5" fillId="4" borderId="6" xfId="3" applyNumberFormat="1" applyFont="1" applyBorder="1" applyAlignment="1">
      <alignment horizontal="center" vertical="center" wrapText="1"/>
    </xf>
    <xf numFmtId="41" fontId="5" fillId="7" borderId="6" xfId="3" applyNumberFormat="1" applyFont="1" applyFill="1" applyBorder="1" applyAlignment="1">
      <alignment horizontal="center" vertical="center" wrapText="1"/>
    </xf>
    <xf numFmtId="41" fontId="7" fillId="7" borderId="6" xfId="3" applyNumberFormat="1" applyFont="1" applyFill="1" applyBorder="1" applyAlignment="1">
      <alignment horizontal="center" vertical="center" wrapText="1"/>
    </xf>
    <xf numFmtId="41" fontId="5" fillId="14" borderId="6" xfId="3" applyNumberFormat="1" applyFont="1" applyFill="1" applyBorder="1" applyAlignment="1">
      <alignment horizontal="center" vertical="center" wrapText="1"/>
    </xf>
    <xf numFmtId="0" fontId="6" fillId="5" borderId="0" xfId="0" applyFont="1" applyFill="1" applyAlignment="1">
      <alignment horizontal="center" vertical="center" wrapText="1"/>
    </xf>
    <xf numFmtId="0" fontId="6" fillId="5" borderId="0" xfId="0" applyFont="1" applyFill="1" applyAlignment="1">
      <alignment vertical="center"/>
    </xf>
    <xf numFmtId="0" fontId="6" fillId="5" borderId="0" xfId="0" applyFont="1" applyFill="1" applyAlignment="1">
      <alignment vertical="center" wrapText="1"/>
    </xf>
    <xf numFmtId="0" fontId="6" fillId="11" borderId="0" xfId="0" applyFont="1" applyFill="1" applyAlignment="1">
      <alignment horizontal="center" vertical="center" wrapText="1"/>
    </xf>
    <xf numFmtId="9" fontId="5" fillId="0" borderId="4" xfId="5" applyFont="1" applyFill="1" applyBorder="1"/>
    <xf numFmtId="9" fontId="0" fillId="0" borderId="4" xfId="0" applyNumberFormat="1" applyBorder="1"/>
    <xf numFmtId="41" fontId="5" fillId="0" borderId="6" xfId="8" applyNumberFormat="1" applyFont="1" applyFill="1" applyBorder="1" applyAlignment="1">
      <alignment horizontal="center" vertical="center" wrapText="1"/>
    </xf>
    <xf numFmtId="9" fontId="0" fillId="18" borderId="4" xfId="0" applyNumberFormat="1" applyFill="1" applyBorder="1"/>
    <xf numFmtId="41" fontId="5" fillId="0" borderId="6" xfId="3" applyNumberFormat="1" applyFont="1" applyFill="1" applyBorder="1" applyAlignment="1">
      <alignment horizontal="center" vertical="center" wrapText="1"/>
    </xf>
    <xf numFmtId="41" fontId="5" fillId="0" borderId="4" xfId="3" applyNumberFormat="1" applyFont="1" applyFill="1" applyBorder="1" applyAlignment="1">
      <alignment horizontal="center" vertical="center" wrapText="1"/>
    </xf>
    <xf numFmtId="41" fontId="13" fillId="0" borderId="4" xfId="3" applyNumberFormat="1" applyFont="1" applyFill="1" applyBorder="1" applyAlignment="1">
      <alignment horizontal="center" vertical="center" wrapText="1"/>
    </xf>
    <xf numFmtId="41" fontId="7" fillId="19" borderId="6" xfId="3" applyNumberFormat="1" applyFont="1" applyFill="1" applyBorder="1" applyAlignment="1">
      <alignment horizontal="center" vertical="center" wrapText="1"/>
    </xf>
    <xf numFmtId="41" fontId="7" fillId="19" borderId="4" xfId="3" applyNumberFormat="1" applyFont="1" applyFill="1" applyBorder="1" applyAlignment="1">
      <alignment horizontal="center" vertical="center" wrapText="1"/>
    </xf>
    <xf numFmtId="41" fontId="5" fillId="19" borderId="4" xfId="3" applyNumberFormat="1" applyFont="1" applyFill="1" applyBorder="1" applyAlignment="1">
      <alignment horizontal="center" vertical="center" wrapText="1"/>
    </xf>
    <xf numFmtId="16" fontId="0" fillId="0" borderId="0" xfId="0" applyNumberFormat="1"/>
    <xf numFmtId="9" fontId="0" fillId="0" borderId="0" xfId="8" applyFont="1"/>
    <xf numFmtId="0" fontId="0" fillId="0" borderId="0" xfId="0" pivotButton="1"/>
    <xf numFmtId="0" fontId="0" fillId="0" borderId="0" xfId="0" applyAlignment="1">
      <alignment horizontal="left"/>
    </xf>
    <xf numFmtId="9" fontId="5" fillId="0" borderId="6" xfId="8" applyFont="1" applyBorder="1" applyAlignment="1">
      <alignment horizontal="center" vertical="center" wrapText="1"/>
    </xf>
    <xf numFmtId="9" fontId="5" fillId="0" borderId="4" xfId="8" applyFont="1" applyBorder="1" applyAlignment="1">
      <alignment horizontal="center" vertical="center" wrapText="1"/>
    </xf>
    <xf numFmtId="0" fontId="5" fillId="0" borderId="0" xfId="0" applyFont="1" applyAlignment="1">
      <alignment vertical="center"/>
    </xf>
    <xf numFmtId="0" fontId="7" fillId="6" borderId="4" xfId="0" applyFont="1" applyFill="1" applyBorder="1" applyAlignment="1">
      <alignment horizontal="left" vertical="center"/>
    </xf>
    <xf numFmtId="0" fontId="8" fillId="12" borderId="4" xfId="9" applyFont="1" applyBorder="1" applyAlignment="1">
      <alignment horizontal="left" vertical="center"/>
    </xf>
    <xf numFmtId="41" fontId="5" fillId="3" borderId="4" xfId="7" applyFont="1" applyFill="1" applyBorder="1" applyAlignment="1">
      <alignment horizontal="center" vertical="center"/>
    </xf>
    <xf numFmtId="9" fontId="5" fillId="0" borderId="4" xfId="8" applyFont="1" applyFill="1" applyBorder="1" applyAlignment="1">
      <alignment horizontal="center" vertical="center"/>
    </xf>
    <xf numFmtId="41" fontId="5" fillId="3" borderId="4" xfId="2" applyNumberFormat="1" applyFont="1" applyBorder="1" applyAlignment="1">
      <alignment horizontal="center" vertical="center"/>
    </xf>
    <xf numFmtId="9" fontId="5" fillId="0" borderId="6" xfId="8" applyFont="1" applyFill="1" applyBorder="1" applyAlignment="1">
      <alignment horizontal="center" vertical="center"/>
    </xf>
    <xf numFmtId="41" fontId="5" fillId="0" borderId="6" xfId="8" applyNumberFormat="1" applyFont="1" applyFill="1" applyBorder="1" applyAlignment="1">
      <alignment horizontal="center" vertical="center"/>
    </xf>
    <xf numFmtId="41" fontId="7" fillId="15" borderId="4" xfId="4" applyFont="1" applyFill="1" applyBorder="1" applyAlignment="1">
      <alignment horizontal="center" vertical="center"/>
    </xf>
    <xf numFmtId="41" fontId="5" fillId="4" borderId="4" xfId="3" applyNumberFormat="1" applyFont="1" applyBorder="1" applyAlignment="1">
      <alignment horizontal="center" vertical="center"/>
    </xf>
    <xf numFmtId="41" fontId="5" fillId="7" borderId="4" xfId="3" applyNumberFormat="1" applyFont="1" applyFill="1" applyBorder="1" applyAlignment="1">
      <alignment horizontal="center" vertical="center"/>
    </xf>
    <xf numFmtId="41" fontId="7" fillId="7" borderId="4" xfId="3" applyNumberFormat="1" applyFont="1" applyFill="1" applyBorder="1" applyAlignment="1">
      <alignment horizontal="center" vertical="center"/>
    </xf>
    <xf numFmtId="41" fontId="5" fillId="14" borderId="4" xfId="3" applyNumberFormat="1" applyFont="1" applyFill="1" applyBorder="1" applyAlignment="1">
      <alignment horizontal="center" vertical="center"/>
    </xf>
    <xf numFmtId="41" fontId="11" fillId="14" borderId="4" xfId="3" applyNumberFormat="1" applyFont="1" applyFill="1" applyBorder="1" applyAlignment="1">
      <alignment horizontal="center" vertical="center"/>
    </xf>
    <xf numFmtId="41" fontId="5" fillId="4" borderId="6" xfId="3" applyNumberFormat="1" applyFont="1" applyBorder="1" applyAlignment="1">
      <alignment horizontal="center" vertical="center"/>
    </xf>
    <xf numFmtId="41" fontId="5" fillId="0" borderId="4" xfId="3" applyNumberFormat="1" applyFont="1" applyFill="1" applyBorder="1" applyAlignment="1">
      <alignment horizontal="center" vertical="center"/>
    </xf>
    <xf numFmtId="41" fontId="7" fillId="19" borderId="4" xfId="3" applyNumberFormat="1" applyFont="1" applyFill="1" applyBorder="1" applyAlignment="1">
      <alignment horizontal="center" vertical="center"/>
    </xf>
    <xf numFmtId="41" fontId="7" fillId="14" borderId="4" xfId="3" applyNumberFormat="1" applyFont="1" applyFill="1" applyBorder="1" applyAlignment="1">
      <alignment horizontal="center" vertical="center"/>
    </xf>
    <xf numFmtId="41" fontId="7" fillId="20" borderId="4" xfId="4" applyFont="1" applyFill="1" applyBorder="1" applyAlignment="1">
      <alignment horizontal="center" vertical="center" wrapText="1"/>
    </xf>
    <xf numFmtId="41" fontId="13" fillId="20" borderId="4" xfId="2" applyNumberFormat="1" applyFont="1" applyFill="1" applyBorder="1" applyAlignment="1">
      <alignment horizontal="center" vertical="center" wrapText="1"/>
    </xf>
    <xf numFmtId="41" fontId="5" fillId="17" borderId="4" xfId="3" applyNumberFormat="1" applyFont="1" applyFill="1" applyBorder="1" applyAlignment="1">
      <alignment horizontal="center" vertical="center" wrapText="1"/>
    </xf>
    <xf numFmtId="41" fontId="7" fillId="18" borderId="6" xfId="3" applyNumberFormat="1" applyFont="1" applyFill="1" applyBorder="1" applyAlignment="1">
      <alignment horizontal="center" vertical="center" wrapText="1"/>
    </xf>
    <xf numFmtId="41" fontId="9" fillId="19" borderId="4" xfId="3" applyNumberFormat="1" applyFont="1" applyFill="1" applyBorder="1" applyAlignment="1">
      <alignment horizontal="center" vertical="center" wrapText="1"/>
    </xf>
    <xf numFmtId="41" fontId="9" fillId="10" borderId="4" xfId="3" applyNumberFormat="1" applyFont="1" applyFill="1" applyBorder="1" applyAlignment="1">
      <alignment horizontal="center" vertical="center" wrapText="1"/>
    </xf>
    <xf numFmtId="9" fontId="5" fillId="0" borderId="0" xfId="8" applyFont="1"/>
    <xf numFmtId="41" fontId="5" fillId="0" borderId="6" xfId="8" applyNumberFormat="1" applyFont="1" applyBorder="1" applyAlignment="1">
      <alignment horizontal="center" vertical="center" wrapText="1"/>
    </xf>
    <xf numFmtId="41" fontId="5" fillId="0" borderId="0" xfId="8" applyNumberFormat="1" applyFont="1"/>
    <xf numFmtId="0" fontId="7" fillId="0" borderId="4" xfId="0" applyFont="1" applyBorder="1" applyAlignment="1">
      <alignment horizontal="left" vertical="center" wrapText="1"/>
    </xf>
    <xf numFmtId="3" fontId="0" fillId="0" borderId="0" xfId="0" applyNumberFormat="1"/>
    <xf numFmtId="41" fontId="7" fillId="10" borderId="4" xfId="3" applyNumberFormat="1" applyFont="1" applyFill="1" applyBorder="1" applyAlignment="1">
      <alignment horizontal="center" vertical="center" wrapText="1"/>
    </xf>
    <xf numFmtId="0" fontId="7" fillId="22" borderId="4" xfId="0" applyFont="1" applyFill="1" applyBorder="1" applyAlignment="1">
      <alignment horizontal="left" vertical="center" wrapText="1"/>
    </xf>
    <xf numFmtId="41" fontId="9" fillId="8" borderId="4" xfId="3" applyNumberFormat="1" applyFont="1" applyFill="1" applyBorder="1" applyAlignment="1">
      <alignment horizontal="center" vertical="center" wrapText="1"/>
    </xf>
    <xf numFmtId="3" fontId="12" fillId="0" borderId="0" xfId="0" applyNumberFormat="1" applyFont="1"/>
    <xf numFmtId="3" fontId="5" fillId="0" borderId="0" xfId="0" applyNumberFormat="1" applyFont="1"/>
    <xf numFmtId="41" fontId="13" fillId="0" borderId="6" xfId="8" applyNumberFormat="1" applyFont="1" applyFill="1" applyBorder="1" applyAlignment="1">
      <alignment horizontal="center" vertical="center" wrapText="1"/>
    </xf>
    <xf numFmtId="1" fontId="5" fillId="0" borderId="0" xfId="8" applyNumberFormat="1" applyFont="1"/>
    <xf numFmtId="1" fontId="5" fillId="0" borderId="0" xfId="0" applyNumberFormat="1" applyFont="1"/>
    <xf numFmtId="41" fontId="7" fillId="18" borderId="4" xfId="3" applyNumberFormat="1" applyFont="1" applyFill="1" applyBorder="1" applyAlignment="1">
      <alignment horizontal="center" vertical="center" wrapText="1"/>
    </xf>
    <xf numFmtId="41" fontId="17" fillId="19" borderId="4" xfId="3" applyNumberFormat="1" applyFont="1" applyFill="1" applyBorder="1" applyAlignment="1">
      <alignment horizontal="center" vertical="center" wrapText="1"/>
    </xf>
    <xf numFmtId="0" fontId="9" fillId="0" borderId="4" xfId="0" applyFont="1" applyBorder="1" applyAlignment="1">
      <alignment horizontal="left" vertical="center" wrapText="1"/>
    </xf>
    <xf numFmtId="0" fontId="0" fillId="0" borderId="0" xfId="0"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9" fontId="19" fillId="0" borderId="0" xfId="8" applyFont="1" applyAlignment="1">
      <alignment horizontal="center" vertical="center"/>
    </xf>
    <xf numFmtId="14" fontId="19" fillId="0" borderId="0" xfId="0" applyNumberFormat="1" applyFont="1" applyAlignment="1">
      <alignment horizontal="center" vertical="center"/>
    </xf>
    <xf numFmtId="3" fontId="19" fillId="0" borderId="0" xfId="0" applyNumberFormat="1" applyFont="1" applyAlignment="1">
      <alignment horizontal="center" vertical="center"/>
    </xf>
    <xf numFmtId="41" fontId="19" fillId="0" borderId="0" xfId="7" applyFont="1" applyAlignment="1">
      <alignment horizontal="center" vertical="center"/>
    </xf>
    <xf numFmtId="9" fontId="20" fillId="0" borderId="0" xfId="8" applyFont="1" applyAlignment="1">
      <alignment horizontal="center" vertical="center" wrapText="1"/>
    </xf>
    <xf numFmtId="9" fontId="19" fillId="0" borderId="0" xfId="0" applyNumberFormat="1" applyFont="1" applyAlignment="1">
      <alignment horizontal="center" vertical="center"/>
    </xf>
    <xf numFmtId="0" fontId="21" fillId="0" borderId="0" xfId="10" applyFont="1" applyAlignment="1">
      <alignment horizontal="center" vertical="center"/>
    </xf>
    <xf numFmtId="15" fontId="19" fillId="0" borderId="0" xfId="0" applyNumberFormat="1" applyFont="1" applyAlignment="1">
      <alignment horizontal="center" vertical="center"/>
    </xf>
    <xf numFmtId="1" fontId="19" fillId="0" borderId="0" xfId="0" applyNumberFormat="1" applyFont="1" applyAlignment="1">
      <alignment horizontal="center" vertical="center"/>
    </xf>
    <xf numFmtId="0" fontId="23" fillId="0" borderId="0" xfId="0" applyFont="1" applyAlignment="1">
      <alignment horizontal="center" vertical="center"/>
    </xf>
    <xf numFmtId="0" fontId="22" fillId="0" borderId="0" xfId="0" applyFont="1" applyAlignment="1">
      <alignment horizontal="center" vertical="center"/>
    </xf>
    <xf numFmtId="0" fontId="18" fillId="0" borderId="0" xfId="10" applyAlignment="1">
      <alignment horizontal="center" vertical="center"/>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41" fontId="7" fillId="23" borderId="4" xfId="3" applyNumberFormat="1" applyFont="1" applyFill="1" applyBorder="1" applyAlignment="1">
      <alignment horizontal="center" vertical="center" wrapText="1"/>
    </xf>
    <xf numFmtId="9" fontId="12" fillId="0" borderId="0" xfId="8" applyFont="1"/>
    <xf numFmtId="0" fontId="12" fillId="0" borderId="0" xfId="0" applyFont="1"/>
    <xf numFmtId="0" fontId="26" fillId="0" borderId="0" xfId="0" applyFont="1"/>
    <xf numFmtId="0" fontId="0" fillId="10" borderId="0" xfId="0" applyFill="1"/>
    <xf numFmtId="3" fontId="0" fillId="10" borderId="0" xfId="0" applyNumberFormat="1" applyFill="1"/>
    <xf numFmtId="9" fontId="0" fillId="10" borderId="0" xfId="8" applyFont="1" applyFill="1"/>
    <xf numFmtId="164" fontId="0" fillId="0" borderId="0" xfId="7" applyNumberFormat="1" applyFont="1"/>
    <xf numFmtId="164" fontId="0" fillId="0" borderId="0" xfId="0" applyNumberFormat="1"/>
    <xf numFmtId="0" fontId="27" fillId="0" borderId="0" xfId="0" applyFont="1"/>
    <xf numFmtId="3" fontId="27" fillId="0" borderId="0" xfId="0" applyNumberFormat="1" applyFont="1"/>
    <xf numFmtId="9" fontId="27" fillId="0" borderId="0" xfId="8" applyFont="1"/>
    <xf numFmtId="9" fontId="1" fillId="0" borderId="0" xfId="8" applyFont="1"/>
    <xf numFmtId="9" fontId="1" fillId="10" borderId="0" xfId="8" applyFont="1" applyFill="1"/>
    <xf numFmtId="41" fontId="7" fillId="23" borderId="6" xfId="3" applyNumberFormat="1" applyFont="1" applyFill="1" applyBorder="1" applyAlignment="1">
      <alignment horizontal="center" vertical="center" wrapText="1"/>
    </xf>
    <xf numFmtId="41" fontId="40" fillId="23" borderId="4" xfId="3" applyNumberFormat="1" applyFont="1" applyFill="1" applyBorder="1" applyAlignment="1">
      <alignment horizontal="center" vertical="center" wrapText="1"/>
    </xf>
    <xf numFmtId="41" fontId="7" fillId="0" borderId="4" xfId="3" applyNumberFormat="1" applyFont="1" applyFill="1" applyBorder="1" applyAlignment="1">
      <alignment horizontal="center" vertical="center" wrapText="1"/>
    </xf>
    <xf numFmtId="0" fontId="42" fillId="0" borderId="0" xfId="0" applyFont="1"/>
    <xf numFmtId="0" fontId="43" fillId="0" borderId="4" xfId="0" applyFont="1" applyBorder="1" applyAlignment="1">
      <alignment horizontal="left" vertical="center" wrapText="1"/>
    </xf>
    <xf numFmtId="0" fontId="43" fillId="6" borderId="4" xfId="0" applyFont="1" applyFill="1" applyBorder="1" applyAlignment="1">
      <alignment horizontal="left" vertical="center" wrapText="1"/>
    </xf>
    <xf numFmtId="41" fontId="42" fillId="0" borderId="6" xfId="2" applyNumberFormat="1" applyFont="1" applyFill="1" applyBorder="1" applyAlignment="1">
      <alignment horizontal="center" vertical="center" wrapText="1"/>
    </xf>
    <xf numFmtId="9" fontId="42" fillId="0" borderId="4" xfId="8" applyFont="1" applyFill="1" applyBorder="1" applyAlignment="1">
      <alignment horizontal="center" vertical="center" wrapText="1"/>
    </xf>
    <xf numFmtId="41" fontId="42" fillId="3" borderId="4" xfId="2" applyNumberFormat="1" applyFont="1" applyBorder="1" applyAlignment="1">
      <alignment horizontal="center" vertical="center" wrapText="1"/>
    </xf>
    <xf numFmtId="9" fontId="42" fillId="0" borderId="6" xfId="8" applyFont="1" applyFill="1" applyBorder="1" applyAlignment="1">
      <alignment horizontal="center" vertical="center" wrapText="1"/>
    </xf>
    <xf numFmtId="41" fontId="42" fillId="0" borderId="6" xfId="8" applyNumberFormat="1" applyFont="1" applyFill="1" applyBorder="1" applyAlignment="1">
      <alignment horizontal="center" vertical="center" wrapText="1"/>
    </xf>
    <xf numFmtId="3" fontId="42" fillId="0" borderId="4" xfId="0" applyNumberFormat="1" applyFont="1" applyBorder="1"/>
    <xf numFmtId="0" fontId="41" fillId="51" borderId="16" xfId="0" applyFont="1" applyFill="1" applyBorder="1" applyAlignment="1">
      <alignment horizontal="center" vertical="center" wrapText="1"/>
    </xf>
    <xf numFmtId="0" fontId="41" fillId="11" borderId="16" xfId="0" applyFont="1" applyFill="1" applyBorder="1" applyAlignment="1">
      <alignment horizontal="center" vertical="center" wrapText="1"/>
    </xf>
    <xf numFmtId="0" fontId="41" fillId="16" borderId="16" xfId="0" applyFont="1" applyFill="1" applyBorder="1" applyAlignment="1">
      <alignment horizontal="center" vertical="center" wrapText="1"/>
    </xf>
    <xf numFmtId="0" fontId="41" fillId="8" borderId="16" xfId="0" applyFont="1" applyFill="1" applyBorder="1" applyAlignment="1">
      <alignment horizontal="center" vertical="center" wrapText="1"/>
    </xf>
    <xf numFmtId="3" fontId="42" fillId="0" borderId="0" xfId="0" applyNumberFormat="1" applyFont="1"/>
    <xf numFmtId="0" fontId="45" fillId="0" borderId="4" xfId="0" applyFont="1" applyBorder="1" applyAlignment="1">
      <alignment horizontal="left" vertical="center" wrapText="1"/>
    </xf>
    <xf numFmtId="9" fontId="42" fillId="0" borderId="4" xfId="8" applyFont="1" applyBorder="1" applyAlignment="1">
      <alignment horizontal="center" vertical="center" wrapText="1"/>
    </xf>
    <xf numFmtId="9" fontId="42" fillId="0" borderId="6" xfId="8" applyFont="1" applyBorder="1" applyAlignment="1">
      <alignment horizontal="center" vertical="center" wrapText="1"/>
    </xf>
    <xf numFmtId="41" fontId="42" fillId="0" borderId="6" xfId="8" applyNumberFormat="1" applyFont="1" applyBorder="1" applyAlignment="1">
      <alignment horizontal="center" vertical="center" wrapText="1"/>
    </xf>
    <xf numFmtId="41" fontId="43" fillId="15" borderId="4" xfId="4" applyFont="1" applyFill="1" applyBorder="1" applyAlignment="1">
      <alignment horizontal="center" vertical="center" wrapText="1"/>
    </xf>
    <xf numFmtId="41" fontId="42" fillId="0" borderId="6" xfId="3" applyNumberFormat="1" applyFont="1" applyFill="1" applyBorder="1" applyAlignment="1">
      <alignment horizontal="center" vertical="center" wrapText="1"/>
    </xf>
    <xf numFmtId="41" fontId="43" fillId="19" borderId="6" xfId="3" applyNumberFormat="1" applyFont="1" applyFill="1" applyBorder="1" applyAlignment="1">
      <alignment horizontal="center" vertical="center" wrapText="1"/>
    </xf>
    <xf numFmtId="41" fontId="45" fillId="8" borderId="6" xfId="3" applyNumberFormat="1" applyFont="1" applyFill="1" applyBorder="1" applyAlignment="1">
      <alignment horizontal="center" vertical="center" wrapText="1"/>
    </xf>
    <xf numFmtId="41" fontId="43" fillId="18" borderId="6" xfId="3" applyNumberFormat="1" applyFont="1" applyFill="1" applyBorder="1" applyAlignment="1">
      <alignment horizontal="center" vertical="center" wrapText="1"/>
    </xf>
    <xf numFmtId="41" fontId="43" fillId="23" borderId="6" xfId="3" applyNumberFormat="1" applyFont="1" applyFill="1" applyBorder="1" applyAlignment="1">
      <alignment horizontal="center" vertical="center" wrapText="1"/>
    </xf>
    <xf numFmtId="41" fontId="43" fillId="0" borderId="0" xfId="3" applyNumberFormat="1" applyFont="1" applyFill="1" applyBorder="1" applyAlignment="1">
      <alignment horizontal="center" vertical="center" wrapText="1"/>
    </xf>
    <xf numFmtId="9" fontId="42" fillId="0" borderId="0" xfId="8" applyFont="1"/>
    <xf numFmtId="41" fontId="42" fillId="0" borderId="4" xfId="3" applyNumberFormat="1" applyFont="1" applyFill="1" applyBorder="1" applyAlignment="1">
      <alignment horizontal="center" vertical="center" wrapText="1"/>
    </xf>
    <xf numFmtId="41" fontId="43" fillId="19" borderId="4" xfId="3" applyNumberFormat="1" applyFont="1" applyFill="1" applyBorder="1" applyAlignment="1">
      <alignment horizontal="center" vertical="center" wrapText="1"/>
    </xf>
    <xf numFmtId="41" fontId="45" fillId="8" borderId="4" xfId="3" applyNumberFormat="1" applyFont="1" applyFill="1" applyBorder="1" applyAlignment="1">
      <alignment horizontal="center" vertical="center" wrapText="1"/>
    </xf>
    <xf numFmtId="41" fontId="43" fillId="23" borderId="4" xfId="3" applyNumberFormat="1" applyFont="1" applyFill="1" applyBorder="1" applyAlignment="1">
      <alignment horizontal="center" vertical="center" wrapText="1"/>
    </xf>
    <xf numFmtId="41" fontId="46" fillId="19" borderId="4" xfId="3" applyNumberFormat="1" applyFont="1" applyFill="1" applyBorder="1" applyAlignment="1">
      <alignment horizontal="center" vertical="center" wrapText="1"/>
    </xf>
    <xf numFmtId="41" fontId="43" fillId="18" borderId="4" xfId="3" applyNumberFormat="1" applyFont="1" applyFill="1" applyBorder="1" applyAlignment="1">
      <alignment horizontal="center" vertical="center" wrapText="1"/>
    </xf>
    <xf numFmtId="41" fontId="45" fillId="19" borderId="4" xfId="3" applyNumberFormat="1" applyFont="1" applyFill="1" applyBorder="1" applyAlignment="1">
      <alignment horizontal="center" vertical="center" wrapText="1"/>
    </xf>
    <xf numFmtId="41" fontId="47" fillId="0" borderId="6" xfId="8" applyNumberFormat="1" applyFont="1" applyFill="1" applyBorder="1" applyAlignment="1">
      <alignment horizontal="center" vertical="center" wrapText="1"/>
    </xf>
    <xf numFmtId="41" fontId="43" fillId="10" borderId="4" xfId="3" applyNumberFormat="1" applyFont="1" applyFill="1" applyBorder="1" applyAlignment="1">
      <alignment horizontal="center" vertical="center" wrapText="1"/>
    </xf>
    <xf numFmtId="41" fontId="42" fillId="0" borderId="0" xfId="7" applyFont="1"/>
    <xf numFmtId="41" fontId="48" fillId="23" borderId="4" xfId="3" applyNumberFormat="1" applyFont="1" applyFill="1" applyBorder="1" applyAlignment="1">
      <alignment horizontal="center" vertical="center" wrapText="1"/>
    </xf>
    <xf numFmtId="41" fontId="43" fillId="0" borderId="4" xfId="3" applyNumberFormat="1" applyFont="1" applyFill="1" applyBorder="1" applyAlignment="1">
      <alignment horizontal="center" vertical="center" wrapText="1"/>
    </xf>
    <xf numFmtId="41" fontId="42" fillId="0" borderId="0" xfId="0" applyNumberFormat="1" applyFont="1"/>
    <xf numFmtId="1" fontId="42" fillId="0" borderId="0" xfId="0" applyNumberFormat="1" applyFont="1"/>
    <xf numFmtId="0" fontId="44" fillId="52" borderId="0" xfId="0" applyFont="1" applyFill="1"/>
    <xf numFmtId="3" fontId="44" fillId="52" borderId="0" xfId="0" applyNumberFormat="1" applyFont="1" applyFill="1"/>
    <xf numFmtId="0" fontId="41" fillId="0" borderId="0" xfId="0" applyFont="1" applyAlignment="1">
      <alignment horizontal="center" vertical="center" wrapText="1"/>
    </xf>
    <xf numFmtId="3" fontId="44" fillId="0" borderId="0" xfId="0" applyNumberFormat="1" applyFont="1"/>
    <xf numFmtId="0" fontId="41" fillId="0" borderId="18" xfId="0" applyFont="1" applyBorder="1" applyAlignment="1">
      <alignment horizontal="center"/>
    </xf>
    <xf numFmtId="0" fontId="41" fillId="0" borderId="16" xfId="0" applyFont="1" applyBorder="1" applyAlignment="1">
      <alignment horizontal="center" vertical="center" wrapText="1"/>
    </xf>
    <xf numFmtId="41" fontId="43" fillId="15" borderId="5" xfId="4" applyFont="1" applyFill="1" applyBorder="1" applyAlignment="1">
      <alignment horizontal="center" vertical="center" wrapText="1"/>
    </xf>
    <xf numFmtId="0" fontId="41" fillId="51" borderId="18" xfId="0" applyFont="1" applyFill="1" applyBorder="1" applyAlignment="1">
      <alignment horizontal="center" vertical="center" wrapText="1"/>
    </xf>
    <xf numFmtId="41" fontId="42" fillId="0" borderId="19" xfId="3" applyNumberFormat="1" applyFont="1" applyFill="1" applyBorder="1" applyAlignment="1">
      <alignment horizontal="center" vertical="center" wrapText="1"/>
    </xf>
    <xf numFmtId="41" fontId="42" fillId="0" borderId="20" xfId="3" applyNumberFormat="1" applyFont="1" applyFill="1" applyBorder="1" applyAlignment="1">
      <alignment horizontal="center" vertical="center" wrapText="1"/>
    </xf>
    <xf numFmtId="0" fontId="41" fillId="0" borderId="0" xfId="0" applyFont="1" applyAlignment="1">
      <alignment vertical="center" wrapText="1"/>
    </xf>
    <xf numFmtId="41" fontId="43" fillId="0" borderId="0" xfId="4" applyFont="1" applyFill="1" applyBorder="1" applyAlignment="1">
      <alignment horizontal="center" vertical="center" wrapText="1"/>
    </xf>
    <xf numFmtId="0" fontId="41" fillId="51" borderId="0" xfId="0" applyFont="1" applyFill="1" applyAlignment="1">
      <alignment vertical="center"/>
    </xf>
    <xf numFmtId="0" fontId="41" fillId="51" borderId="0" xfId="0" applyFont="1" applyFill="1" applyAlignment="1">
      <alignment vertical="center" wrapText="1"/>
    </xf>
    <xf numFmtId="0" fontId="43" fillId="0" borderId="4" xfId="9" applyFont="1" applyFill="1" applyBorder="1" applyAlignment="1">
      <alignment horizontal="left" vertical="center" wrapText="1"/>
    </xf>
    <xf numFmtId="0" fontId="41" fillId="16" borderId="21" xfId="0" applyFont="1" applyFill="1" applyBorder="1" applyAlignment="1">
      <alignment horizontal="center" vertical="center" wrapText="1"/>
    </xf>
    <xf numFmtId="0" fontId="41" fillId="8" borderId="21" xfId="0" applyFont="1" applyFill="1" applyBorder="1" applyAlignment="1">
      <alignment horizontal="center" vertical="center" wrapText="1"/>
    </xf>
    <xf numFmtId="0" fontId="41" fillId="51" borderId="21" xfId="0" applyFont="1" applyFill="1" applyBorder="1" applyAlignment="1">
      <alignment horizontal="center" vertical="center" wrapText="1"/>
    </xf>
    <xf numFmtId="0" fontId="41" fillId="11" borderId="21" xfId="0" applyFont="1" applyFill="1" applyBorder="1" applyAlignment="1">
      <alignment horizontal="center" vertical="center" wrapText="1"/>
    </xf>
    <xf numFmtId="3" fontId="43" fillId="0" borderId="0" xfId="0" applyNumberFormat="1" applyFont="1"/>
    <xf numFmtId="9" fontId="44" fillId="52" borderId="0" xfId="8" applyFont="1" applyFill="1"/>
    <xf numFmtId="41" fontId="49" fillId="19" borderId="4" xfId="3" applyNumberFormat="1" applyFont="1" applyFill="1" applyBorder="1" applyAlignment="1">
      <alignment horizontal="center" vertical="center" wrapText="1"/>
    </xf>
    <xf numFmtId="41" fontId="49" fillId="0" borderId="4" xfId="3" applyNumberFormat="1" applyFont="1" applyFill="1" applyBorder="1" applyAlignment="1">
      <alignment horizontal="center" vertical="center" wrapText="1"/>
    </xf>
    <xf numFmtId="3" fontId="44" fillId="0" borderId="4" xfId="0" applyNumberFormat="1" applyFont="1" applyBorder="1"/>
    <xf numFmtId="41" fontId="43" fillId="17" borderId="4" xfId="3" applyNumberFormat="1" applyFont="1" applyFill="1" applyBorder="1" applyAlignment="1">
      <alignment horizontal="center" vertical="center" wrapText="1"/>
    </xf>
    <xf numFmtId="3" fontId="42" fillId="0" borderId="4" xfId="8" applyNumberFormat="1" applyFont="1" applyBorder="1"/>
    <xf numFmtId="3" fontId="42" fillId="0" borderId="4" xfId="7" applyNumberFormat="1" applyFont="1" applyBorder="1"/>
    <xf numFmtId="0" fontId="50" fillId="0" borderId="0" xfId="0" applyFont="1" applyAlignment="1">
      <alignment vertical="center"/>
    </xf>
    <xf numFmtId="41" fontId="50" fillId="0" borderId="0" xfId="0" applyNumberFormat="1" applyFont="1" applyAlignment="1">
      <alignment vertical="center"/>
    </xf>
    <xf numFmtId="0" fontId="51" fillId="9" borderId="1" xfId="0" applyFont="1" applyFill="1" applyBorder="1" applyAlignment="1">
      <alignment horizontal="center" vertical="center"/>
    </xf>
    <xf numFmtId="0" fontId="51" fillId="9" borderId="1" xfId="0" applyFont="1" applyFill="1" applyBorder="1" applyAlignment="1">
      <alignment horizontal="center" vertical="center" wrapText="1"/>
    </xf>
    <xf numFmtId="0" fontId="52" fillId="0" borderId="0" xfId="0" applyFont="1" applyAlignment="1">
      <alignment vertical="center"/>
    </xf>
    <xf numFmtId="0" fontId="53" fillId="0" borderId="1" xfId="0" applyFont="1" applyBorder="1" applyAlignment="1">
      <alignment vertical="center"/>
    </xf>
    <xf numFmtId="41" fontId="53" fillId="13" borderId="1" xfId="7" applyFont="1" applyFill="1" applyBorder="1" applyAlignment="1">
      <alignment vertical="center"/>
    </xf>
    <xf numFmtId="41" fontId="53" fillId="16" borderId="1" xfId="7" applyFont="1" applyFill="1" applyBorder="1" applyAlignment="1">
      <alignment vertical="center"/>
    </xf>
    <xf numFmtId="41" fontId="53" fillId="0" borderId="1" xfId="7" applyFont="1" applyBorder="1" applyAlignment="1">
      <alignment vertical="center"/>
    </xf>
    <xf numFmtId="41" fontId="53" fillId="15" borderId="1" xfId="7" applyFont="1" applyFill="1" applyBorder="1" applyAlignment="1">
      <alignment vertical="center"/>
    </xf>
    <xf numFmtId="165" fontId="53" fillId="0" borderId="1" xfId="8" applyNumberFormat="1" applyFont="1" applyBorder="1" applyAlignment="1">
      <alignment vertical="center"/>
    </xf>
    <xf numFmtId="0" fontId="54" fillId="0" borderId="1" xfId="0" applyFont="1" applyBorder="1" applyAlignment="1">
      <alignment vertical="center"/>
    </xf>
    <xf numFmtId="41" fontId="50" fillId="13" borderId="0" xfId="7" applyFont="1" applyFill="1" applyBorder="1" applyAlignment="1">
      <alignment vertical="center"/>
    </xf>
    <xf numFmtId="41" fontId="50" fillId="16" borderId="0" xfId="7" applyFont="1" applyFill="1" applyBorder="1" applyAlignment="1">
      <alignment vertical="center"/>
    </xf>
    <xf numFmtId="41" fontId="50" fillId="0" borderId="0" xfId="7" applyFont="1" applyBorder="1" applyAlignment="1">
      <alignment vertical="center"/>
    </xf>
    <xf numFmtId="41" fontId="50" fillId="15" borderId="0" xfId="7" applyFont="1" applyFill="1" applyBorder="1" applyAlignment="1">
      <alignment vertical="center"/>
    </xf>
    <xf numFmtId="165" fontId="50" fillId="0" borderId="0" xfId="8" applyNumberFormat="1" applyFont="1" applyBorder="1" applyAlignment="1">
      <alignment vertical="center"/>
    </xf>
    <xf numFmtId="0" fontId="50" fillId="0" borderId="1" xfId="0" applyFont="1" applyBorder="1" applyAlignment="1">
      <alignment vertical="center"/>
    </xf>
    <xf numFmtId="41" fontId="50" fillId="13" borderId="1" xfId="7" applyFont="1" applyFill="1" applyBorder="1" applyAlignment="1">
      <alignment vertical="center"/>
    </xf>
    <xf numFmtId="41" fontId="50" fillId="16" borderId="1" xfId="7" applyFont="1" applyFill="1" applyBorder="1" applyAlignment="1">
      <alignment vertical="center"/>
    </xf>
    <xf numFmtId="41" fontId="50" fillId="0" borderId="1" xfId="7" applyFont="1" applyBorder="1" applyAlignment="1">
      <alignment vertical="center"/>
    </xf>
    <xf numFmtId="41" fontId="50" fillId="15" borderId="1" xfId="7" applyFont="1" applyFill="1" applyBorder="1" applyAlignment="1">
      <alignment vertical="center"/>
    </xf>
    <xf numFmtId="165" fontId="50" fillId="0" borderId="1" xfId="8" applyNumberFormat="1" applyFont="1" applyBorder="1" applyAlignment="1">
      <alignment vertical="center"/>
    </xf>
    <xf numFmtId="41" fontId="50" fillId="13" borderId="0" xfId="7" applyFont="1" applyFill="1" applyAlignment="1">
      <alignment vertical="center"/>
    </xf>
    <xf numFmtId="41" fontId="50" fillId="16" borderId="0" xfId="7" applyFont="1" applyFill="1" applyAlignment="1">
      <alignment vertical="center"/>
    </xf>
    <xf numFmtId="41" fontId="50" fillId="0" borderId="0" xfId="7" applyFont="1" applyAlignment="1">
      <alignment vertical="center"/>
    </xf>
    <xf numFmtId="41" fontId="50" fillId="15" borderId="0" xfId="7" applyFont="1" applyFill="1" applyAlignment="1">
      <alignment vertical="center"/>
    </xf>
    <xf numFmtId="165" fontId="50" fillId="0" borderId="0" xfId="8" applyNumberFormat="1" applyFont="1" applyAlignment="1">
      <alignment vertical="center"/>
    </xf>
    <xf numFmtId="0" fontId="50" fillId="0" borderId="0" xfId="0" applyFont="1" applyAlignment="1">
      <alignment vertical="center" wrapText="1"/>
    </xf>
    <xf numFmtId="41" fontId="50" fillId="16" borderId="0" xfId="4" applyFont="1" applyFill="1" applyAlignment="1">
      <alignment vertical="center"/>
    </xf>
    <xf numFmtId="41" fontId="50" fillId="0" borderId="0" xfId="4" applyFont="1" applyFill="1" applyAlignment="1">
      <alignment vertical="center"/>
    </xf>
    <xf numFmtId="41" fontId="50" fillId="15" borderId="0" xfId="4" applyFont="1" applyFill="1" applyAlignment="1">
      <alignment vertical="center"/>
    </xf>
    <xf numFmtId="41" fontId="50" fillId="0" borderId="0" xfId="4" applyFont="1" applyAlignment="1">
      <alignment vertical="center"/>
    </xf>
    <xf numFmtId="9" fontId="50" fillId="0" borderId="0" xfId="8" applyFont="1" applyAlignment="1">
      <alignment vertical="center"/>
    </xf>
    <xf numFmtId="41" fontId="55" fillId="0" borderId="0" xfId="4" applyFont="1" applyFill="1" applyAlignment="1">
      <alignment vertical="center"/>
    </xf>
    <xf numFmtId="0" fontId="56" fillId="0" borderId="0" xfId="0" applyFont="1" applyAlignment="1">
      <alignment vertical="center"/>
    </xf>
    <xf numFmtId="41" fontId="56" fillId="13" borderId="0" xfId="7" applyFont="1" applyFill="1" applyAlignment="1">
      <alignment vertical="center"/>
    </xf>
    <xf numFmtId="41" fontId="56" fillId="16" borderId="0" xfId="4" applyFont="1" applyFill="1" applyAlignment="1">
      <alignment vertical="center"/>
    </xf>
    <xf numFmtId="41" fontId="56" fillId="15" borderId="0" xfId="4" applyFont="1" applyFill="1" applyAlignment="1">
      <alignment vertical="center"/>
    </xf>
    <xf numFmtId="41" fontId="56" fillId="0" borderId="0" xfId="4" applyFont="1" applyAlignment="1">
      <alignment vertical="center"/>
    </xf>
    <xf numFmtId="165" fontId="56" fillId="0" borderId="0" xfId="8" applyNumberFormat="1" applyFont="1" applyAlignment="1">
      <alignment vertical="center"/>
    </xf>
    <xf numFmtId="41" fontId="56" fillId="10" borderId="0" xfId="7" applyFont="1" applyFill="1" applyAlignment="1">
      <alignment vertical="center"/>
    </xf>
    <xf numFmtId="41" fontId="56" fillId="0" borderId="0" xfId="7" applyFont="1" applyAlignment="1">
      <alignment vertical="center"/>
    </xf>
    <xf numFmtId="9" fontId="56" fillId="0" borderId="0" xfId="8" applyFont="1" applyAlignment="1">
      <alignment vertical="center"/>
    </xf>
    <xf numFmtId="41" fontId="56" fillId="0" borderId="0" xfId="4" applyFont="1" applyFill="1" applyAlignment="1">
      <alignment vertical="center"/>
    </xf>
    <xf numFmtId="0" fontId="57" fillId="21" borderId="0" xfId="0" applyFont="1" applyFill="1" applyAlignment="1">
      <alignment vertical="center"/>
    </xf>
    <xf numFmtId="0" fontId="55" fillId="0" borderId="0" xfId="0" applyFont="1" applyAlignment="1">
      <alignment vertical="center"/>
    </xf>
    <xf numFmtId="41" fontId="55" fillId="13" borderId="0" xfId="7" applyFont="1" applyFill="1" applyAlignment="1">
      <alignment vertical="center"/>
    </xf>
    <xf numFmtId="41" fontId="55" fillId="16" borderId="0" xfId="4" applyFont="1" applyFill="1" applyAlignment="1">
      <alignment vertical="center"/>
    </xf>
    <xf numFmtId="41" fontId="55" fillId="15" borderId="0" xfId="4" applyFont="1" applyFill="1" applyAlignment="1">
      <alignment vertical="center"/>
    </xf>
    <xf numFmtId="165" fontId="55" fillId="0" borderId="0" xfId="8" applyNumberFormat="1" applyFont="1" applyAlignment="1">
      <alignment vertical="center"/>
    </xf>
    <xf numFmtId="41" fontId="55" fillId="0" borderId="0" xfId="7" applyFont="1" applyFill="1" applyAlignment="1">
      <alignment vertical="center"/>
    </xf>
    <xf numFmtId="41" fontId="55" fillId="0" borderId="0" xfId="7" applyFont="1" applyAlignment="1">
      <alignment vertical="center"/>
    </xf>
    <xf numFmtId="9" fontId="55" fillId="0" borderId="0" xfId="8" applyFont="1" applyAlignment="1">
      <alignment vertical="center"/>
    </xf>
    <xf numFmtId="41" fontId="55" fillId="0" borderId="0" xfId="4" applyFont="1" applyAlignment="1">
      <alignment vertical="center"/>
    </xf>
    <xf numFmtId="0" fontId="50" fillId="21" borderId="0" xfId="0" applyFont="1" applyFill="1" applyAlignment="1">
      <alignment vertical="center"/>
    </xf>
    <xf numFmtId="0" fontId="51" fillId="9" borderId="0" xfId="0" applyFont="1" applyFill="1" applyAlignment="1">
      <alignment vertical="center"/>
    </xf>
    <xf numFmtId="41" fontId="51" fillId="9" borderId="0" xfId="4" applyFont="1" applyFill="1" applyAlignment="1">
      <alignment vertical="center"/>
    </xf>
    <xf numFmtId="165" fontId="51" fillId="9" borderId="0" xfId="8" applyNumberFormat="1" applyFont="1" applyFill="1" applyAlignment="1">
      <alignment vertical="center"/>
    </xf>
    <xf numFmtId="41" fontId="51" fillId="9" borderId="0" xfId="7" applyFont="1" applyFill="1" applyAlignment="1">
      <alignment vertical="center"/>
    </xf>
    <xf numFmtId="9" fontId="51" fillId="9" borderId="0" xfId="8" applyFont="1" applyFill="1" applyAlignment="1">
      <alignment vertical="center"/>
    </xf>
    <xf numFmtId="0" fontId="53" fillId="0" borderId="0" xfId="0" applyFont="1" applyAlignment="1">
      <alignment vertical="center"/>
    </xf>
    <xf numFmtId="166" fontId="50" fillId="0" borderId="0" xfId="7" applyNumberFormat="1" applyFont="1" applyAlignment="1">
      <alignment vertical="center"/>
    </xf>
    <xf numFmtId="41" fontId="55" fillId="0" borderId="0" xfId="4" applyFont="1" applyBorder="1" applyAlignment="1">
      <alignment vertical="center"/>
    </xf>
    <xf numFmtId="0" fontId="51" fillId="9" borderId="0" xfId="0" applyFont="1" applyFill="1" applyAlignment="1">
      <alignment horizontal="center" vertical="center"/>
    </xf>
    <xf numFmtId="41" fontId="44" fillId="3" borderId="4" xfId="7" applyFont="1" applyFill="1" applyBorder="1" applyAlignment="1">
      <alignment horizontal="center" vertical="center" wrapText="1"/>
    </xf>
    <xf numFmtId="0" fontId="41" fillId="20" borderId="21" xfId="0" applyFont="1" applyFill="1" applyBorder="1" applyAlignment="1">
      <alignment horizontal="center" vertical="center" wrapText="1"/>
    </xf>
    <xf numFmtId="3" fontId="42" fillId="53" borderId="4" xfId="8" applyNumberFormat="1" applyFont="1" applyFill="1" applyBorder="1"/>
    <xf numFmtId="3" fontId="42" fillId="53" borderId="4" xfId="0" applyNumberFormat="1" applyFont="1" applyFill="1" applyBorder="1"/>
    <xf numFmtId="0" fontId="42" fillId="0" borderId="0" xfId="0" applyFont="1" applyAlignment="1">
      <alignment horizontal="center" vertical="center"/>
    </xf>
    <xf numFmtId="0" fontId="41" fillId="51" borderId="0" xfId="0" applyFont="1" applyFill="1" applyAlignment="1">
      <alignment horizontal="center" vertical="center" wrapText="1"/>
    </xf>
    <xf numFmtId="0" fontId="41" fillId="51" borderId="0" xfId="0" applyFont="1" applyFill="1" applyAlignment="1">
      <alignment horizontal="center" vertical="center"/>
    </xf>
    <xf numFmtId="0" fontId="42" fillId="0" borderId="0" xfId="0" applyFont="1" applyAlignment="1">
      <alignment vertical="center"/>
    </xf>
    <xf numFmtId="0" fontId="42" fillId="0" borderId="4" xfId="0" applyFont="1" applyBorder="1" applyAlignment="1">
      <alignment horizontal="center" vertical="center" wrapText="1"/>
    </xf>
    <xf numFmtId="0" fontId="43" fillId="0" borderId="4" xfId="0" applyFont="1" applyBorder="1" applyAlignment="1">
      <alignment horizontal="center" vertical="center"/>
    </xf>
    <xf numFmtId="0" fontId="42" fillId="0" borderId="4" xfId="0" applyFont="1" applyBorder="1" applyAlignment="1">
      <alignment horizontal="center" vertical="center"/>
    </xf>
    <xf numFmtId="16" fontId="42" fillId="0" borderId="4" xfId="0" applyNumberFormat="1" applyFont="1" applyBorder="1" applyAlignment="1">
      <alignment horizontal="center" vertical="center" wrapText="1"/>
    </xf>
    <xf numFmtId="3" fontId="43" fillId="0" borderId="4" xfId="0" applyNumberFormat="1" applyFont="1" applyBorder="1" applyAlignment="1">
      <alignment horizontal="center" vertical="center" wrapText="1"/>
    </xf>
    <xf numFmtId="3" fontId="42" fillId="0" borderId="4" xfId="0" applyNumberFormat="1" applyFont="1" applyBorder="1" applyAlignment="1">
      <alignment horizontal="center" vertical="center" wrapText="1"/>
    </xf>
    <xf numFmtId="164" fontId="43" fillId="0" borderId="4" xfId="7" applyNumberFormat="1" applyFont="1" applyFill="1" applyBorder="1" applyAlignment="1">
      <alignment horizontal="center" vertical="center" wrapText="1"/>
    </xf>
    <xf numFmtId="9" fontId="42" fillId="0" borderId="0" xfId="8" applyFont="1" applyAlignment="1">
      <alignment vertical="center"/>
    </xf>
    <xf numFmtId="0" fontId="43" fillId="0" borderId="4" xfId="0" applyFont="1" applyBorder="1" applyAlignment="1">
      <alignment horizontal="center" vertical="center" wrapText="1"/>
    </xf>
    <xf numFmtId="0" fontId="44" fillId="0" borderId="0" xfId="0" applyFont="1" applyAlignment="1">
      <alignment vertical="center"/>
    </xf>
    <xf numFmtId="164" fontId="41" fillId="51" borderId="0" xfId="7" applyNumberFormat="1" applyFont="1" applyFill="1" applyAlignment="1">
      <alignment horizontal="center" vertical="center" wrapText="1"/>
    </xf>
    <xf numFmtId="9" fontId="41" fillId="51" borderId="0" xfId="8" applyFont="1" applyFill="1" applyAlignment="1">
      <alignment horizontal="center" vertical="center" wrapText="1"/>
    </xf>
    <xf numFmtId="9" fontId="44" fillId="0" borderId="0" xfId="0" applyNumberFormat="1" applyFont="1" applyAlignment="1">
      <alignment vertical="center"/>
    </xf>
    <xf numFmtId="0" fontId="42" fillId="0" borderId="0" xfId="0" applyFont="1" applyAlignment="1">
      <alignment vertical="center" wrapText="1"/>
    </xf>
    <xf numFmtId="0" fontId="42" fillId="0" borderId="0" xfId="0" applyFont="1" applyAlignment="1">
      <alignment horizontal="center" vertical="center" wrapText="1"/>
    </xf>
    <xf numFmtId="0" fontId="42" fillId="0" borderId="22" xfId="0" applyFont="1" applyBorder="1" applyAlignment="1">
      <alignment horizontal="center" vertical="center" wrapText="1"/>
    </xf>
    <xf numFmtId="0" fontId="43" fillId="0" borderId="22" xfId="0" applyFont="1" applyBorder="1" applyAlignment="1">
      <alignment horizontal="center" vertical="center" wrapText="1"/>
    </xf>
    <xf numFmtId="16" fontId="42" fillId="0" borderId="22" xfId="0" applyNumberFormat="1" applyFont="1" applyBorder="1" applyAlignment="1">
      <alignment horizontal="center" vertical="center" wrapText="1"/>
    </xf>
    <xf numFmtId="3" fontId="42" fillId="0" borderId="0" xfId="0" applyNumberFormat="1" applyFont="1" applyAlignment="1">
      <alignment horizontal="center" vertical="center" wrapText="1"/>
    </xf>
    <xf numFmtId="9" fontId="42" fillId="0" borderId="0" xfId="8" applyFont="1" applyBorder="1" applyAlignment="1">
      <alignment horizontal="center" vertical="center" wrapText="1"/>
    </xf>
    <xf numFmtId="164" fontId="43" fillId="0" borderId="0" xfId="7" applyNumberFormat="1" applyFont="1" applyFill="1" applyBorder="1" applyAlignment="1">
      <alignment horizontal="center" vertical="center" wrapText="1"/>
    </xf>
    <xf numFmtId="0" fontId="41" fillId="54" borderId="0" xfId="0" applyFont="1" applyFill="1" applyAlignment="1">
      <alignment horizontal="center" vertical="center" wrapText="1"/>
    </xf>
    <xf numFmtId="164" fontId="41" fillId="54" borderId="0" xfId="7" applyNumberFormat="1" applyFont="1" applyFill="1" applyAlignment="1">
      <alignment horizontal="center" vertical="center" wrapText="1"/>
    </xf>
    <xf numFmtId="9" fontId="41" fillId="54" borderId="0" xfId="8" applyFont="1" applyFill="1" applyAlignment="1">
      <alignment horizontal="center" vertical="center" wrapText="1"/>
    </xf>
    <xf numFmtId="3" fontId="42" fillId="0" borderId="4" xfId="0" applyNumberFormat="1" applyFont="1" applyBorder="1" applyAlignment="1">
      <alignment horizontal="center" vertical="center"/>
    </xf>
    <xf numFmtId="0" fontId="41" fillId="9" borderId="0" xfId="0" applyFont="1" applyFill="1" applyAlignment="1">
      <alignment horizontal="center" vertical="center" wrapText="1"/>
    </xf>
    <xf numFmtId="9" fontId="42" fillId="0" borderId="4" xfId="8" applyFont="1" applyBorder="1" applyAlignment="1">
      <alignment horizontal="center" vertical="center"/>
    </xf>
    <xf numFmtId="3" fontId="42" fillId="0" borderId="0" xfId="0" applyNumberFormat="1" applyFont="1" applyAlignment="1">
      <alignment horizontal="center" vertical="center"/>
    </xf>
    <xf numFmtId="0" fontId="59" fillId="0" borderId="0" xfId="0" applyFont="1" applyAlignment="1">
      <alignment vertical="center" wrapText="1"/>
    </xf>
    <xf numFmtId="0" fontId="41" fillId="9" borderId="4" xfId="0" applyFont="1" applyFill="1" applyBorder="1" applyAlignment="1">
      <alignment horizontal="center" vertical="center"/>
    </xf>
    <xf numFmtId="3" fontId="41" fillId="51" borderId="4" xfId="0" applyNumberFormat="1" applyFont="1" applyFill="1" applyBorder="1" applyAlignment="1">
      <alignment horizontal="center" vertical="center"/>
    </xf>
    <xf numFmtId="9" fontId="41" fillId="51" borderId="4" xfId="8" applyFont="1" applyFill="1" applyBorder="1" applyAlignment="1">
      <alignment horizontal="center" vertical="center"/>
    </xf>
    <xf numFmtId="41" fontId="42" fillId="0" borderId="0" xfId="7" applyFont="1" applyAlignment="1">
      <alignment horizontal="center" vertical="center"/>
    </xf>
    <xf numFmtId="164" fontId="42" fillId="0" borderId="0" xfId="0" applyNumberFormat="1" applyFont="1" applyAlignment="1">
      <alignment horizontal="center" vertical="center"/>
    </xf>
    <xf numFmtId="164" fontId="42" fillId="0" borderId="4" xfId="0" applyNumberFormat="1" applyFont="1" applyBorder="1" applyAlignment="1">
      <alignment horizontal="center" vertical="center"/>
    </xf>
    <xf numFmtId="9" fontId="42" fillId="0" borderId="0" xfId="8" applyFont="1" applyAlignment="1">
      <alignment horizontal="center" vertical="center"/>
    </xf>
    <xf numFmtId="41" fontId="45" fillId="3" borderId="4" xfId="2" applyNumberFormat="1" applyFont="1" applyBorder="1" applyAlignment="1">
      <alignment horizontal="center" vertical="center" wrapText="1"/>
    </xf>
    <xf numFmtId="3" fontId="42" fillId="15" borderId="4" xfId="0" applyNumberFormat="1" applyFont="1" applyFill="1" applyBorder="1"/>
    <xf numFmtId="0" fontId="58" fillId="51" borderId="4" xfId="0" applyFont="1" applyFill="1" applyBorder="1" applyAlignment="1">
      <alignment horizontal="center" vertical="center"/>
    </xf>
    <xf numFmtId="3" fontId="19" fillId="0" borderId="4" xfId="0" applyNumberFormat="1" applyFont="1" applyBorder="1" applyAlignment="1">
      <alignment horizontal="center" vertical="center"/>
    </xf>
    <xf numFmtId="0" fontId="19" fillId="0" borderId="4" xfId="0" applyFont="1" applyBorder="1" applyAlignment="1">
      <alignment horizontal="center" vertical="center"/>
    </xf>
    <xf numFmtId="3" fontId="19" fillId="19" borderId="4" xfId="0" applyNumberFormat="1" applyFont="1" applyFill="1" applyBorder="1" applyAlignment="1">
      <alignment horizontal="center" vertical="center"/>
    </xf>
    <xf numFmtId="0" fontId="19" fillId="19" borderId="4" xfId="0" applyFont="1" applyFill="1" applyBorder="1" applyAlignment="1">
      <alignment horizontal="center" vertical="center"/>
    </xf>
    <xf numFmtId="0" fontId="58" fillId="51" borderId="24" xfId="0" applyFont="1" applyFill="1" applyBorder="1" applyAlignment="1">
      <alignment horizontal="center" vertical="center"/>
    </xf>
    <xf numFmtId="0" fontId="58" fillId="51" borderId="25" xfId="0" applyFont="1" applyFill="1" applyBorder="1" applyAlignment="1">
      <alignment horizontal="center" vertical="center"/>
    </xf>
    <xf numFmtId="0" fontId="58" fillId="51" borderId="26" xfId="0" applyFont="1" applyFill="1" applyBorder="1" applyAlignment="1">
      <alignment horizontal="center" vertical="center"/>
    </xf>
    <xf numFmtId="3" fontId="19" fillId="0" borderId="27" xfId="0" applyNumberFormat="1" applyFont="1" applyBorder="1" applyAlignment="1">
      <alignment horizontal="center" vertical="center"/>
    </xf>
    <xf numFmtId="3" fontId="19" fillId="7" borderId="28" xfId="0" applyNumberFormat="1" applyFont="1" applyFill="1" applyBorder="1" applyAlignment="1">
      <alignment horizontal="center" vertical="center"/>
    </xf>
    <xf numFmtId="3" fontId="19" fillId="0" borderId="29" xfId="0" applyNumberFormat="1" applyFont="1" applyBorder="1" applyAlignment="1">
      <alignment horizontal="center" vertical="center"/>
    </xf>
    <xf numFmtId="3" fontId="19" fillId="0" borderId="30" xfId="0" applyNumberFormat="1" applyFont="1" applyBorder="1" applyAlignment="1">
      <alignment horizontal="center" vertical="center"/>
    </xf>
    <xf numFmtId="3" fontId="19" fillId="7" borderId="31" xfId="0" applyNumberFormat="1" applyFont="1" applyFill="1" applyBorder="1" applyAlignment="1">
      <alignment horizontal="center" vertical="center"/>
    </xf>
    <xf numFmtId="0" fontId="19" fillId="0" borderId="27" xfId="0" applyFont="1" applyBorder="1" applyAlignment="1">
      <alignment horizontal="center" vertical="center"/>
    </xf>
    <xf numFmtId="3" fontId="19" fillId="0" borderId="28" xfId="0" applyNumberFormat="1" applyFont="1" applyBorder="1" applyAlignment="1">
      <alignment horizontal="center" vertical="center"/>
    </xf>
    <xf numFmtId="0" fontId="19" fillId="0" borderId="29" xfId="0" applyFont="1" applyBorder="1" applyAlignment="1">
      <alignment horizontal="center" vertical="center"/>
    </xf>
    <xf numFmtId="0" fontId="19" fillId="19" borderId="30" xfId="0" applyFont="1" applyFill="1" applyBorder="1" applyAlignment="1">
      <alignment horizontal="center" vertical="center"/>
    </xf>
    <xf numFmtId="0" fontId="19" fillId="0" borderId="30" xfId="0" applyFont="1" applyBorder="1" applyAlignment="1">
      <alignment horizontal="center" vertical="center"/>
    </xf>
    <xf numFmtId="3" fontId="19" fillId="19" borderId="30" xfId="0" applyNumberFormat="1" applyFont="1" applyFill="1" applyBorder="1" applyAlignment="1">
      <alignment horizontal="center" vertical="center"/>
    </xf>
    <xf numFmtId="3" fontId="19" fillId="0" borderId="31" xfId="0" applyNumberFormat="1" applyFont="1" applyBorder="1" applyAlignment="1">
      <alignment horizontal="center" vertical="center"/>
    </xf>
    <xf numFmtId="0" fontId="58" fillId="51" borderId="27" xfId="0" applyFont="1" applyFill="1" applyBorder="1" applyAlignment="1">
      <alignment horizontal="center" vertical="center"/>
    </xf>
    <xf numFmtId="0" fontId="58" fillId="51" borderId="28" xfId="0" applyFont="1" applyFill="1" applyBorder="1" applyAlignment="1">
      <alignment horizontal="center" vertical="center"/>
    </xf>
    <xf numFmtId="3" fontId="20" fillId="7" borderId="31" xfId="0" applyNumberFormat="1" applyFont="1" applyFill="1" applyBorder="1" applyAlignment="1">
      <alignment horizontal="center" vertical="center"/>
    </xf>
    <xf numFmtId="3" fontId="19" fillId="55" borderId="4" xfId="0" applyNumberFormat="1" applyFont="1" applyFill="1" applyBorder="1" applyAlignment="1">
      <alignment horizontal="center" vertical="center"/>
    </xf>
    <xf numFmtId="3" fontId="19" fillId="55" borderId="30" xfId="0" applyNumberFormat="1" applyFont="1" applyFill="1" applyBorder="1" applyAlignment="1">
      <alignment horizontal="center" vertical="center"/>
    </xf>
    <xf numFmtId="3" fontId="42" fillId="0" borderId="4" xfId="8" applyNumberFormat="1" applyFont="1" applyFill="1" applyBorder="1"/>
    <xf numFmtId="17" fontId="42" fillId="0" borderId="0" xfId="0" applyNumberFormat="1" applyFont="1"/>
    <xf numFmtId="3" fontId="42" fillId="56" borderId="4" xfId="0" applyNumberFormat="1" applyFont="1" applyFill="1" applyBorder="1"/>
    <xf numFmtId="3" fontId="45" fillId="53" borderId="4" xfId="8" applyNumberFormat="1" applyFont="1" applyFill="1" applyBorder="1"/>
    <xf numFmtId="3" fontId="42" fillId="10" borderId="4" xfId="0" applyNumberFormat="1" applyFont="1" applyFill="1" applyBorder="1"/>
    <xf numFmtId="0" fontId="60" fillId="0" borderId="0" xfId="0" applyFont="1"/>
    <xf numFmtId="3" fontId="42" fillId="10" borderId="0" xfId="0" applyNumberFormat="1" applyFont="1" applyFill="1"/>
    <xf numFmtId="3" fontId="42" fillId="20" borderId="4" xfId="0" applyNumberFormat="1" applyFont="1" applyFill="1" applyBorder="1"/>
    <xf numFmtId="0" fontId="41" fillId="51" borderId="16" xfId="0" applyFont="1" applyFill="1" applyBorder="1" applyAlignment="1">
      <alignment horizontal="center"/>
    </xf>
    <xf numFmtId="0" fontId="41" fillId="51" borderId="17" xfId="0" applyFont="1" applyFill="1" applyBorder="1" applyAlignment="1">
      <alignment horizontal="center"/>
    </xf>
    <xf numFmtId="0" fontId="41" fillId="51" borderId="18" xfId="0" applyFont="1" applyFill="1" applyBorder="1" applyAlignment="1">
      <alignment horizontal="center"/>
    </xf>
    <xf numFmtId="0" fontId="41" fillId="51" borderId="23" xfId="0" applyFont="1" applyFill="1" applyBorder="1" applyAlignment="1">
      <alignment horizontal="center"/>
    </xf>
    <xf numFmtId="0" fontId="41" fillId="51" borderId="22" xfId="0" applyFont="1" applyFill="1" applyBorder="1" applyAlignment="1">
      <alignment horizontal="center" vertical="center" wrapText="1"/>
    </xf>
    <xf numFmtId="0" fontId="41" fillId="54" borderId="22" xfId="0" applyFont="1" applyFill="1" applyBorder="1" applyAlignment="1">
      <alignment horizontal="center" vertical="center" wrapText="1"/>
    </xf>
    <xf numFmtId="17" fontId="58" fillId="51" borderId="24" xfId="0" applyNumberFormat="1" applyFont="1" applyFill="1" applyBorder="1" applyAlignment="1">
      <alignment horizontal="center" vertical="center"/>
    </xf>
    <xf numFmtId="0" fontId="58" fillId="51" borderId="25" xfId="0" applyFont="1" applyFill="1" applyBorder="1" applyAlignment="1">
      <alignment horizontal="center" vertical="center"/>
    </xf>
    <xf numFmtId="0" fontId="58" fillId="51" borderId="26" xfId="0" applyFont="1" applyFill="1" applyBorder="1" applyAlignment="1">
      <alignment horizontal="center" vertical="center"/>
    </xf>
  </cellXfs>
  <cellStyles count="65">
    <cellStyle name="20% - Énfasis1" xfId="35" builtinId="30" customBuiltin="1"/>
    <cellStyle name="20% - Énfasis2" xfId="1" builtinId="34" customBuiltin="1"/>
    <cellStyle name="20% - Énfasis3" xfId="42" builtinId="38" customBuiltin="1"/>
    <cellStyle name="20% - Énfasis4" xfId="3" builtinId="42" customBuiltin="1"/>
    <cellStyle name="20% - Énfasis5" xfId="48" builtinId="46" customBuiltin="1"/>
    <cellStyle name="20% - Énfasis6" xfId="52" builtinId="50" customBuiltin="1"/>
    <cellStyle name="40% - Énfasis1" xfId="36" builtinId="31" customBuiltin="1"/>
    <cellStyle name="40% - Énfasis2" xfId="39" builtinId="35" customBuiltin="1"/>
    <cellStyle name="40% - Énfasis3" xfId="2" builtinId="39" customBuiltin="1"/>
    <cellStyle name="40% - Énfasis4" xfId="45" builtinId="43" customBuiltin="1"/>
    <cellStyle name="40% - Énfasis5" xfId="49" builtinId="47" customBuiltin="1"/>
    <cellStyle name="40% - Énfasis6" xfId="53" builtinId="51" customBuiltin="1"/>
    <cellStyle name="60% - Énfasis1" xfId="37" builtinId="32" customBuiltin="1"/>
    <cellStyle name="60% - Énfasis2" xfId="40" builtinId="36" customBuiltin="1"/>
    <cellStyle name="60% - Énfasis3" xfId="43" builtinId="40" customBuiltin="1"/>
    <cellStyle name="60% - Énfasis4" xfId="46" builtinId="44" customBuiltin="1"/>
    <cellStyle name="60% - Énfasis5" xfId="50" builtinId="48" customBuiltin="1"/>
    <cellStyle name="60% - Énfasis6" xfId="54" builtinId="52" customBuiltin="1"/>
    <cellStyle name="Bueno" xfId="9" builtinId="26" customBuiltin="1"/>
    <cellStyle name="Cálculo" xfId="27" builtinId="22" customBuiltin="1"/>
    <cellStyle name="Celda de comprobación" xfId="29" builtinId="23" customBuiltin="1"/>
    <cellStyle name="Celda vinculada" xfId="28" builtinId="24" customBuiltin="1"/>
    <cellStyle name="Encabezado 1" xfId="19" builtinId="16" customBuiltin="1"/>
    <cellStyle name="Encabezado 4" xfId="22" builtinId="19" customBuiltin="1"/>
    <cellStyle name="Énfasis1" xfId="34" builtinId="29" customBuiltin="1"/>
    <cellStyle name="Énfasis2" xfId="38" builtinId="33" customBuiltin="1"/>
    <cellStyle name="Énfasis3" xfId="41" builtinId="37" customBuiltin="1"/>
    <cellStyle name="Énfasis4" xfId="44" builtinId="41" customBuiltin="1"/>
    <cellStyle name="Énfasis5" xfId="47" builtinId="45" customBuiltin="1"/>
    <cellStyle name="Énfasis6" xfId="51" builtinId="49" customBuiltin="1"/>
    <cellStyle name="Entrada" xfId="25" builtinId="20" customBuiltin="1"/>
    <cellStyle name="Hipervínculo" xfId="10" builtinId="8"/>
    <cellStyle name="Incorrecto" xfId="23" builtinId="27" customBuiltin="1"/>
    <cellStyle name="Millares [0]" xfId="7" builtinId="6"/>
    <cellStyle name="Millares [0] 2" xfId="4" xr:uid="{75ED9FF1-0867-4D78-977B-148B98A6416F}"/>
    <cellStyle name="Millares [0] 2 2" xfId="56" xr:uid="{B89EBD66-43E7-4AC2-B8EE-731F13ACCA5E}"/>
    <cellStyle name="Millares [0] 2 2 2" xfId="58" xr:uid="{8BAE0FE0-A481-451D-A1FA-C707C476D7D9}"/>
    <cellStyle name="Millares [0] 2 3" xfId="59" xr:uid="{83C3151D-ECA0-4AFD-A42D-5038A51FF3CD}"/>
    <cellStyle name="Millares [0] 2 4" xfId="63" xr:uid="{3C7E5035-C97A-48B8-9D10-35E3466EC21E}"/>
    <cellStyle name="Millares [0] 2 5" xfId="55" xr:uid="{88916850-DAA4-4579-B446-000ACBB5CF50}"/>
    <cellStyle name="Millares [0] 3" xfId="60" xr:uid="{AB81201F-0A14-4F4F-9015-3D2CD222BF27}"/>
    <cellStyle name="Millares [0] 4" xfId="64" xr:uid="{238877CA-73BC-413B-8FB6-3DAFC12A2E7A}"/>
    <cellStyle name="Millares [0] 5" xfId="57" xr:uid="{29D7C4E9-CE94-4883-9549-EB0F9F415484}"/>
    <cellStyle name="Millares 2" xfId="11" xr:uid="{5C85A4F7-6953-4749-9511-3397800FD495}"/>
    <cellStyle name="Moneda [0] 2" xfId="62" xr:uid="{20FA00EC-F99A-41D0-9693-34AC8059E2E5}"/>
    <cellStyle name="Moneda 2" xfId="61" xr:uid="{AC739170-D407-4380-879A-77FD3B19D605}"/>
    <cellStyle name="Neutral" xfId="24" builtinId="28" customBuiltin="1"/>
    <cellStyle name="Normal" xfId="0" builtinId="0"/>
    <cellStyle name="Normal 2" xfId="6" xr:uid="{72CBFDAD-7ECC-4DCC-BFFA-1BE6280C212A}"/>
    <cellStyle name="Normal 2 2" xfId="12" xr:uid="{DE6E9E2E-FDCA-40BF-833E-F5FE0F564111}"/>
    <cellStyle name="Normal 3" xfId="13" xr:uid="{9D4A3546-5263-4CCA-9F4B-0880BEA94734}"/>
    <cellStyle name="Normal 3 2" xfId="14" xr:uid="{0BD5BCF5-35F7-4428-9E5E-A28C051A4240}"/>
    <cellStyle name="Normal 4" xfId="17" xr:uid="{560001EF-7F9B-4EFF-8FFD-ED58530E4C0B}"/>
    <cellStyle name="Normal 7" xfId="15" xr:uid="{C9C37005-9075-4ADA-8571-16FC4C34FA9E}"/>
    <cellStyle name="Notas" xfId="31" builtinId="10" customBuiltin="1"/>
    <cellStyle name="Porcentaje" xfId="8" builtinId="5"/>
    <cellStyle name="Porcentaje 2" xfId="5" xr:uid="{14E464F7-0FEF-4096-A96D-D5DDE702C89E}"/>
    <cellStyle name="Porcentual 3" xfId="16" xr:uid="{8106ABB9-F71A-4AE3-BA07-74CB70803A9D}"/>
    <cellStyle name="Salida" xfId="26" builtinId="21" customBuiltin="1"/>
    <cellStyle name="Texto de advertencia" xfId="30" builtinId="11" customBuiltin="1"/>
    <cellStyle name="Texto explicativo" xfId="32" builtinId="53" customBuiltin="1"/>
    <cellStyle name="Título" xfId="18" builtinId="15" customBuiltin="1"/>
    <cellStyle name="Título 2" xfId="20" builtinId="17" customBuiltin="1"/>
    <cellStyle name="Título 3" xfId="21" builtinId="18" customBuiltin="1"/>
    <cellStyle name="Total" xfId="33" builtinId="25" customBuiltin="1"/>
  </cellStyles>
  <dxfs count="93">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FC000"/>
        </patternFill>
      </fill>
    </dxf>
    <dxf>
      <font>
        <color theme="0"/>
      </font>
      <fill>
        <patternFill>
          <bgColor theme="6"/>
        </patternFill>
      </fill>
    </dxf>
    <dxf>
      <font>
        <color theme="0"/>
      </font>
      <fill>
        <patternFill>
          <bgColor rgb="FFFF0000"/>
        </patternFill>
      </fill>
    </dxf>
    <dxf>
      <font>
        <color theme="1"/>
      </font>
      <fill>
        <patternFill>
          <bgColor rgb="FFFFC000"/>
        </patternFill>
      </fill>
    </dxf>
    <dxf>
      <font>
        <color theme="0"/>
      </font>
      <fill>
        <patternFill>
          <bgColor theme="6"/>
        </patternFill>
      </fill>
    </dxf>
    <dxf>
      <font>
        <color theme="0"/>
      </font>
      <fill>
        <patternFill>
          <bgColor rgb="FFFF0000"/>
        </patternFill>
      </fill>
    </dxf>
    <dxf>
      <font>
        <color theme="0"/>
      </font>
      <fill>
        <patternFill>
          <bgColor rgb="FFFF0000"/>
        </patternFill>
      </fill>
    </dxf>
    <dxf>
      <font>
        <color theme="0"/>
      </font>
      <fill>
        <patternFill>
          <bgColor theme="6"/>
        </patternFill>
      </fill>
    </dxf>
    <dxf>
      <font>
        <color theme="1"/>
      </font>
      <fill>
        <patternFill>
          <bgColor rgb="FFFFC000"/>
        </patternFill>
      </fill>
    </dxf>
    <dxf>
      <font>
        <b/>
        <i val="0"/>
        <color auto="1"/>
      </font>
      <fill>
        <patternFill>
          <bgColor rgb="FFFFC000"/>
        </patternFill>
      </fill>
    </dxf>
    <dxf>
      <font>
        <b/>
        <i val="0"/>
        <color theme="0"/>
      </font>
      <fill>
        <patternFill>
          <bgColor theme="6"/>
        </patternFill>
      </fill>
    </dxf>
    <dxf>
      <font>
        <b/>
        <i val="0"/>
      </font>
      <fill>
        <patternFill>
          <bgColor theme="5"/>
        </patternFill>
      </fill>
    </dxf>
    <dxf>
      <font>
        <color rgb="FF9C0006"/>
      </font>
      <fill>
        <patternFill>
          <bgColor rgb="FFFFC7CE"/>
        </patternFill>
      </fill>
    </dxf>
    <dxf>
      <font>
        <color rgb="FF9C0006"/>
      </font>
      <fill>
        <patternFill>
          <bgColor rgb="FFFFC7CE"/>
        </patternFill>
      </fill>
    </dxf>
    <dxf>
      <font>
        <b/>
        <i val="0"/>
      </font>
      <fill>
        <patternFill>
          <bgColor theme="5"/>
        </patternFill>
      </fill>
    </dxf>
    <dxf>
      <font>
        <b/>
        <i val="0"/>
        <color theme="0"/>
      </font>
      <fill>
        <patternFill>
          <bgColor theme="6"/>
        </patternFill>
      </fill>
    </dxf>
    <dxf>
      <font>
        <b/>
        <i val="0"/>
        <color auto="1"/>
      </font>
      <fill>
        <patternFill>
          <bgColor rgb="FFFFC000"/>
        </patternFill>
      </fill>
    </dxf>
    <dxf>
      <font>
        <b/>
        <i val="0"/>
        <color auto="1"/>
      </font>
      <fill>
        <patternFill>
          <bgColor rgb="FFFFC000"/>
        </patternFill>
      </fill>
    </dxf>
    <dxf>
      <font>
        <b/>
        <i val="0"/>
      </font>
      <fill>
        <patternFill>
          <bgColor theme="5"/>
        </patternFill>
      </fill>
    </dxf>
    <dxf>
      <font>
        <b/>
        <i val="0"/>
        <color theme="0"/>
      </font>
      <fill>
        <patternFill>
          <bgColor theme="6"/>
        </patternFill>
      </fill>
    </dxf>
    <dxf>
      <font>
        <b/>
        <i val="0"/>
        <color auto="1"/>
      </font>
      <fill>
        <patternFill>
          <bgColor rgb="FFFFC000"/>
        </patternFill>
      </fill>
    </dxf>
    <dxf>
      <font>
        <b/>
        <i val="0"/>
        <color theme="0"/>
      </font>
      <fill>
        <patternFill>
          <bgColor theme="6"/>
        </patternFill>
      </fill>
    </dxf>
    <dxf>
      <font>
        <b/>
        <i val="0"/>
      </font>
      <fill>
        <patternFill>
          <bgColor theme="5"/>
        </patternFill>
      </fill>
    </dxf>
    <dxf>
      <font>
        <b/>
        <i val="0"/>
      </font>
      <fill>
        <patternFill>
          <bgColor theme="5"/>
        </patternFill>
      </fill>
    </dxf>
    <dxf>
      <font>
        <b/>
        <i val="0"/>
        <color theme="0"/>
      </font>
      <fill>
        <patternFill>
          <bgColor theme="6"/>
        </patternFill>
      </fill>
    </dxf>
    <dxf>
      <font>
        <b/>
        <i val="0"/>
        <color auto="1"/>
      </font>
      <fill>
        <patternFill>
          <bgColor rgb="FFFFC000"/>
        </patternFill>
      </fill>
    </dxf>
    <dxf>
      <font>
        <b/>
        <i val="0"/>
      </font>
      <fill>
        <patternFill>
          <bgColor theme="5"/>
        </patternFill>
      </fill>
    </dxf>
    <dxf>
      <font>
        <b/>
        <i val="0"/>
        <color auto="1"/>
      </font>
      <fill>
        <patternFill>
          <bgColor rgb="FFFFC000"/>
        </patternFill>
      </fill>
    </dxf>
    <dxf>
      <font>
        <b/>
        <i val="0"/>
        <color theme="0"/>
      </font>
      <fill>
        <patternFill>
          <bgColor theme="6"/>
        </patternFill>
      </fill>
    </dxf>
    <dxf>
      <font>
        <b/>
        <i val="0"/>
        <color auto="1"/>
      </font>
      <fill>
        <patternFill>
          <bgColor rgb="FFFFC000"/>
        </patternFill>
      </fill>
    </dxf>
    <dxf>
      <font>
        <b/>
        <i val="0"/>
        <color theme="0"/>
      </font>
      <fill>
        <patternFill>
          <bgColor theme="6"/>
        </patternFill>
      </fill>
    </dxf>
    <dxf>
      <font>
        <b/>
        <i val="0"/>
      </font>
      <fill>
        <patternFill>
          <bgColor theme="5"/>
        </patternFill>
      </fill>
    </dxf>
    <dxf>
      <font>
        <b/>
        <i val="0"/>
        <color auto="1"/>
      </font>
      <fill>
        <patternFill>
          <bgColor rgb="FFFFC000"/>
        </patternFill>
      </fill>
    </dxf>
    <dxf>
      <font>
        <b/>
        <i val="0"/>
        <color theme="0"/>
      </font>
      <fill>
        <patternFill>
          <bgColor theme="6"/>
        </patternFill>
      </fill>
    </dxf>
    <dxf>
      <font>
        <b/>
        <i val="0"/>
      </font>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00B050"/>
        </patternFill>
      </fill>
    </dxf>
    <dxf>
      <font>
        <b/>
        <i val="0"/>
        <color theme="1"/>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00B050"/>
        </patternFill>
      </fill>
    </dxf>
    <dxf>
      <font>
        <b/>
        <i val="0"/>
        <color theme="1"/>
      </font>
      <fill>
        <patternFill>
          <bgColor rgb="FFFFC000"/>
        </patternFill>
      </fill>
    </dxf>
    <dxf>
      <font>
        <color rgb="FF9C0006"/>
      </font>
      <fill>
        <patternFill>
          <bgColor rgb="FFFFC7CE"/>
        </patternFill>
      </fill>
    </dxf>
    <dxf>
      <font>
        <color theme="0"/>
      </font>
      <fill>
        <patternFill>
          <bgColor rgb="FF00B050"/>
        </patternFill>
      </fill>
    </dxf>
    <dxf>
      <font>
        <b/>
        <i val="0"/>
        <color theme="1"/>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vertAlign val="baseline"/>
        <sz val="10"/>
        <name val="Century Gothic"/>
        <family val="2"/>
        <scheme val="none"/>
      </font>
      <alignment horizontal="center" vertical="center" textRotation="0" indent="0" justifyLastLine="0" shrinkToFit="0" readingOrder="0"/>
    </dxf>
    <dxf>
      <font>
        <strike val="0"/>
        <outline val="0"/>
        <shadow val="0"/>
        <vertAlign val="baseline"/>
        <sz val="10"/>
        <name val="Century Gothic"/>
        <family val="2"/>
        <scheme val="none"/>
      </font>
      <numFmt numFmtId="1" formatCode="0"/>
      <alignment horizontal="center" vertical="center" textRotation="0" indent="0" justifyLastLine="0" shrinkToFit="0" readingOrder="0"/>
    </dxf>
    <dxf>
      <font>
        <strike val="0"/>
        <outline val="0"/>
        <shadow val="0"/>
        <vertAlign val="baseline"/>
        <sz val="10"/>
        <name val="Century Gothic"/>
        <family val="2"/>
        <scheme val="none"/>
      </font>
      <numFmt numFmtId="1" formatCode="0"/>
      <alignment horizontal="center" vertical="center" textRotation="0" indent="0" justifyLastLine="0" shrinkToFit="0" readingOrder="0"/>
    </dxf>
    <dxf>
      <font>
        <strike val="0"/>
        <outline val="0"/>
        <shadow val="0"/>
        <vertAlign val="baseline"/>
        <sz val="10"/>
        <name val="Century Gothic"/>
        <family val="2"/>
        <scheme val="none"/>
      </font>
      <numFmt numFmtId="20" formatCode="dd/mmm/yy"/>
      <fill>
        <patternFill patternType="none">
          <fgColor indexed="64"/>
          <bgColor auto="1"/>
        </patternFill>
      </fill>
      <alignment horizontal="center" vertical="center" textRotation="0" indent="0" justifyLastLine="0" shrinkToFit="0" readingOrder="0"/>
    </dxf>
    <dxf>
      <font>
        <strike val="0"/>
        <outline val="0"/>
        <shadow val="0"/>
        <vertAlign val="baseline"/>
        <sz val="10"/>
        <name val="Century Gothic"/>
        <family val="2"/>
        <scheme val="none"/>
      </font>
      <numFmt numFmtId="20" formatCode="dd/mmm/yy"/>
      <alignment horizontal="center" vertical="center" textRotation="0" indent="0" justifyLastLine="0" shrinkToFit="0" readingOrder="0"/>
    </dxf>
    <dxf>
      <font>
        <strike val="0"/>
        <outline val="0"/>
        <shadow val="0"/>
        <vertAlign val="baseline"/>
        <sz val="10"/>
        <name val="Century Gothic"/>
        <family val="2"/>
        <scheme val="none"/>
      </font>
      <alignment horizontal="center" vertical="center" textRotation="0" wrapText="0" indent="0" justifyLastLine="0" shrinkToFit="0" readingOrder="0"/>
    </dxf>
    <dxf>
      <font>
        <strike val="0"/>
        <outline val="0"/>
        <shadow val="0"/>
        <vertAlign val="baseline"/>
        <sz val="10"/>
        <name val="Century Gothic"/>
        <family val="2"/>
        <scheme val="none"/>
      </font>
      <alignment horizontal="center" vertical="center" textRotation="0" indent="0" justifyLastLine="0" shrinkToFit="0" readingOrder="0"/>
    </dxf>
    <dxf>
      <font>
        <b val="0"/>
        <i val="0"/>
        <strike val="0"/>
        <condense val="0"/>
        <extend val="0"/>
        <outline val="0"/>
        <shadow val="0"/>
        <u val="none"/>
        <vertAlign val="baseline"/>
        <sz val="10"/>
        <color theme="1"/>
        <name val="Century Gothic"/>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entury Gothic"/>
        <family val="2"/>
        <scheme val="none"/>
      </font>
      <alignment horizontal="center" vertical="center" textRotation="0" indent="0" justifyLastLine="0" shrinkToFit="0" readingOrder="0"/>
    </dxf>
    <dxf>
      <font>
        <strike val="0"/>
        <outline val="0"/>
        <shadow val="0"/>
        <vertAlign val="baseline"/>
        <sz val="10"/>
        <name val="Century Gothic"/>
        <family val="2"/>
        <scheme val="none"/>
      </font>
      <numFmt numFmtId="3" formatCode="#,##0"/>
      <alignment horizontal="center" vertical="center" textRotation="0" indent="0" justifyLastLine="0" shrinkToFit="0" readingOrder="0"/>
    </dxf>
    <dxf>
      <font>
        <strike val="0"/>
        <outline val="0"/>
        <shadow val="0"/>
        <vertAlign val="baseline"/>
        <sz val="10"/>
        <name val="Century Gothic"/>
        <family val="2"/>
        <scheme val="none"/>
      </font>
      <alignment horizontal="center" vertical="center" textRotation="0" indent="0" justifyLastLine="0" shrinkToFit="0" readingOrder="0"/>
    </dxf>
    <dxf>
      <font>
        <strike val="0"/>
        <outline val="0"/>
        <shadow val="0"/>
        <vertAlign val="baseline"/>
        <sz val="10"/>
        <name val="Century Gothic"/>
        <family val="2"/>
        <scheme val="none"/>
      </font>
      <alignment horizontal="center" vertical="center" textRotation="0" indent="0" justifyLastLine="0" shrinkToFit="0" readingOrder="0"/>
    </dxf>
    <dxf>
      <font>
        <strike val="0"/>
        <outline val="0"/>
        <shadow val="0"/>
        <vertAlign val="baseline"/>
        <sz val="10"/>
        <name val="Century Gothic"/>
        <family val="2"/>
        <scheme val="none"/>
      </font>
      <alignment horizontal="center" vertical="center" textRotation="0" indent="0" justifyLastLine="0" shrinkToFit="0" readingOrder="0"/>
    </dxf>
    <dxf>
      <font>
        <strike val="0"/>
        <outline val="0"/>
        <shadow val="0"/>
        <vertAlign val="baseline"/>
        <sz val="10"/>
        <name val="Century Gothic"/>
        <family val="2"/>
        <scheme val="none"/>
      </font>
      <alignment horizontal="center" vertical="center" textRotation="0" indent="0" justifyLastLine="0" shrinkToFit="0" readingOrder="0"/>
    </dxf>
    <dxf>
      <font>
        <strike val="0"/>
        <outline val="0"/>
        <shadow val="0"/>
        <vertAlign val="baseline"/>
        <sz val="10"/>
        <name val="Century Gothic"/>
        <family val="2"/>
        <scheme val="none"/>
      </font>
      <numFmt numFmtId="13" formatCode="0%"/>
      <alignment horizontal="center" vertical="center" textRotation="0" indent="0" justifyLastLine="0" shrinkToFit="0" readingOrder="0"/>
    </dxf>
    <dxf>
      <font>
        <strike val="0"/>
        <outline val="0"/>
        <shadow val="0"/>
        <vertAlign val="baseline"/>
        <sz val="10"/>
        <name val="Century Gothic"/>
        <family val="2"/>
        <scheme val="none"/>
      </font>
      <alignment horizontal="center" vertical="center" textRotation="0" indent="0" justifyLastLine="0" shrinkToFit="0" readingOrder="0"/>
    </dxf>
    <dxf>
      <font>
        <strike val="0"/>
        <outline val="0"/>
        <shadow val="0"/>
        <vertAlign val="baseline"/>
        <sz val="10"/>
        <name val="Century Gothic"/>
        <family val="2"/>
        <scheme val="none"/>
      </font>
      <alignment horizontal="center" vertical="center" textRotation="0" indent="0" justifyLastLine="0" shrinkToFit="0" readingOrder="0"/>
    </dxf>
    <dxf>
      <font>
        <strike val="0"/>
        <outline val="0"/>
        <shadow val="0"/>
        <vertAlign val="baseline"/>
        <sz val="10"/>
        <name val="Century Gothic"/>
        <family val="2"/>
        <scheme val="none"/>
      </font>
      <alignment horizontal="center" vertical="center" textRotation="0" indent="0" justifyLastLine="0" shrinkToFit="0" readingOrder="0"/>
    </dxf>
    <dxf>
      <font>
        <strike val="0"/>
        <outline val="0"/>
        <shadow val="0"/>
        <vertAlign val="baseline"/>
        <sz val="10"/>
        <name val="Century Gothic"/>
        <family val="2"/>
        <scheme val="none"/>
      </font>
      <alignment horizontal="center" vertical="center" textRotation="0" indent="0" justifyLastLine="0" shrinkToFit="0" readingOrder="0"/>
    </dxf>
    <dxf>
      <font>
        <strike val="0"/>
        <outline val="0"/>
        <shadow val="0"/>
        <vertAlign val="baseline"/>
        <sz val="10"/>
        <name val="Century Gothic"/>
        <family val="2"/>
        <scheme val="none"/>
      </font>
      <alignment horizontal="center" vertical="center" textRotation="0" indent="0" justifyLastLine="0" shrinkToFit="0" readingOrder="0"/>
    </dxf>
    <dxf>
      <font>
        <b/>
        <i val="0"/>
        <strike val="0"/>
        <condense val="0"/>
        <extend val="0"/>
        <outline val="0"/>
        <shadow val="0"/>
        <u val="none"/>
        <vertAlign val="baseline"/>
        <sz val="10"/>
        <color theme="1"/>
        <name val="Century Gothic"/>
        <family val="2"/>
        <scheme val="none"/>
      </font>
      <alignment horizontal="center" vertical="center" textRotation="0" wrapText="1" indent="0" justifyLastLine="0" shrinkToFit="0" readingOrder="0"/>
    </dxf>
  </dxfs>
  <tableStyles count="0" defaultTableStyle="TableStyleMedium2" defaultPivotStyle="PivotStyleLight16"/>
  <colors>
    <mruColors>
      <color rgb="FFFF0101"/>
      <color rgb="FFFF6699"/>
      <color rgb="FF112D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r>
              <a:rPr lang="es-CL" sz="800"/>
              <a:t>Análisis</a:t>
            </a:r>
            <a:r>
              <a:rPr lang="es-CL" sz="800" baseline="0"/>
              <a:t> Pareto remanentes de contrato</a:t>
            </a:r>
            <a:endParaRPr lang="es-CL" sz="800"/>
          </a:p>
        </c:rich>
      </c:tx>
      <c:layout>
        <c:manualLayout>
          <c:xMode val="edge"/>
          <c:yMode val="edge"/>
          <c:x val="1.4078035784909008E-2"/>
          <c:y val="1.9199445742884652E-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endParaRPr lang="es-CL"/>
        </a:p>
      </c:txPr>
    </c:title>
    <c:autoTitleDeleted val="0"/>
    <c:plotArea>
      <c:layout>
        <c:manualLayout>
          <c:layoutTarget val="inner"/>
          <c:xMode val="edge"/>
          <c:yMode val="edge"/>
          <c:x val="0.14834053519383086"/>
          <c:y val="9.2420791786576861E-2"/>
          <c:w val="0.79707463933875622"/>
          <c:h val="0.49743539462095887"/>
        </c:manualLayout>
      </c:layout>
      <c:barChart>
        <c:barDir val="col"/>
        <c:grouping val="clustered"/>
        <c:varyColors val="0"/>
        <c:ser>
          <c:idx val="0"/>
          <c:order val="0"/>
          <c:tx>
            <c:strRef>
              <c:f>'Formato Backlog_Sept25'!$I$3</c:f>
              <c:strCache>
                <c:ptCount val="1"/>
                <c:pt idx="0">
                  <c:v>Saldo US$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'Formato Backlog_Sept25'!$B$4:$B$24</c:f>
              <c:strCache>
                <c:ptCount val="21"/>
                <c:pt idx="0">
                  <c:v>EQUINOX_Actualización Ing. Básica UG</c:v>
                </c:pt>
                <c:pt idx="1">
                  <c:v>EroCopper_Scoping Proyecto Furnas</c:v>
                </c:pt>
                <c:pt idx="2">
                  <c:v>LasBambas_Ferrobamba PFS</c:v>
                </c:pt>
                <c:pt idx="3">
                  <c:v>Resolution_General Review</c:v>
                </c:pt>
                <c:pt idx="4">
                  <c:v>Alpayana_Estudio de Sismicidad</c:v>
                </c:pt>
                <c:pt idx="5">
                  <c:v>AMSA_RIINO BC - Centinela</c:v>
                </c:pt>
                <c:pt idx="6">
                  <c:v>CORFO_Valorización Boquerón Chañar</c:v>
                </c:pt>
                <c:pt idx="7">
                  <c:v>SPM_FS Labores Subterraneas 2da MEIA</c:v>
                </c:pt>
                <c:pt idx="8">
                  <c:v>Mosaic_Taquari Vassouras Fase II</c:v>
                </c:pt>
                <c:pt idx="9">
                  <c:v>NEXA_Estudio Geomecánico AT y EP</c:v>
                </c:pt>
                <c:pt idx="10">
                  <c:v>AMSA_Mejoras Planificación Centinela</c:v>
                </c:pt>
                <c:pt idx="11">
                  <c:v>Capstone Copper_Production at Risk</c:v>
                </c:pt>
                <c:pt idx="12">
                  <c:v>Anglo_Production at Risk Mina Rio</c:v>
                </c:pt>
                <c:pt idx="13">
                  <c:v>Codelco_Formulación caso de negocio TBM</c:v>
                </c:pt>
                <c:pt idx="14">
                  <c:v>Collahuasi_Análisis Mine Compliance</c:v>
                </c:pt>
                <c:pt idx="15">
                  <c:v>FN_Oko West project review</c:v>
                </c:pt>
                <c:pt idx="16">
                  <c:v>Lundin_Análisis Estratégico Caserones</c:v>
                </c:pt>
                <c:pt idx="17">
                  <c:v>CBMM_SIMPLAN Initiatives Evaluation</c:v>
                </c:pt>
                <c:pt idx="18">
                  <c:v>LHG_LOM Urucum</c:v>
                </c:pt>
                <c:pt idx="19">
                  <c:v>NEXA_Peer Review Cerro Lindo</c:v>
                </c:pt>
                <c:pt idx="20">
                  <c:v>Minsur_San Rafael Estudio V MEIA</c:v>
                </c:pt>
              </c:strCache>
            </c:strRef>
          </c:cat>
          <c:val>
            <c:numRef>
              <c:f>'Formato Backlog_Sept25'!$I$4:$I$24</c:f>
              <c:numCache>
                <c:formatCode>#,##0</c:formatCode>
                <c:ptCount val="21"/>
                <c:pt idx="0">
                  <c:v>317822.61</c:v>
                </c:pt>
                <c:pt idx="1">
                  <c:v>260356</c:v>
                </c:pt>
                <c:pt idx="2">
                  <c:v>254939.40999999992</c:v>
                </c:pt>
                <c:pt idx="3">
                  <c:v>185615</c:v>
                </c:pt>
                <c:pt idx="4">
                  <c:v>153706</c:v>
                </c:pt>
                <c:pt idx="5">
                  <c:v>141656.26</c:v>
                </c:pt>
                <c:pt idx="6">
                  <c:v>123838.96</c:v>
                </c:pt>
                <c:pt idx="7">
                  <c:v>99244</c:v>
                </c:pt>
                <c:pt idx="8">
                  <c:v>88263.91</c:v>
                </c:pt>
                <c:pt idx="9">
                  <c:v>80283</c:v>
                </c:pt>
                <c:pt idx="10">
                  <c:v>80125</c:v>
                </c:pt>
                <c:pt idx="11">
                  <c:v>59943</c:v>
                </c:pt>
                <c:pt idx="12">
                  <c:v>57897</c:v>
                </c:pt>
                <c:pt idx="13">
                  <c:v>54493</c:v>
                </c:pt>
                <c:pt idx="14">
                  <c:v>52492</c:v>
                </c:pt>
                <c:pt idx="15">
                  <c:v>52400</c:v>
                </c:pt>
                <c:pt idx="16">
                  <c:v>50644</c:v>
                </c:pt>
                <c:pt idx="17">
                  <c:v>49058.649999999994</c:v>
                </c:pt>
                <c:pt idx="18">
                  <c:v>31621</c:v>
                </c:pt>
                <c:pt idx="19">
                  <c:v>29716</c:v>
                </c:pt>
                <c:pt idx="20">
                  <c:v>8396</c:v>
                </c:pt>
              </c:numCache>
            </c:numRef>
          </c:val>
          <c:extLst>
            <c:ext xmlns:c16="http://schemas.microsoft.com/office/drawing/2014/chart" uri="{C3380CC4-5D6E-409C-BE32-E72D297353CC}">
              <c16:uniqueId val="{00000000-21FD-48F8-8244-ECF425CB019B}"/>
            </c:ext>
          </c:extLst>
        </c:ser>
        <c:dLbls>
          <c:showLegendKey val="0"/>
          <c:showVal val="0"/>
          <c:showCatName val="0"/>
          <c:showSerName val="0"/>
          <c:showPercent val="0"/>
          <c:showBubbleSize val="0"/>
        </c:dLbls>
        <c:gapWidth val="50"/>
        <c:overlap val="-27"/>
        <c:axId val="779809039"/>
        <c:axId val="779795599"/>
      </c:barChart>
      <c:lineChart>
        <c:grouping val="standard"/>
        <c:varyColors val="0"/>
        <c:ser>
          <c:idx val="1"/>
          <c:order val="1"/>
          <c:tx>
            <c:strRef>
              <c:f>'Formato Backlog_Sept25'!$K$3</c:f>
              <c:strCache>
                <c:ptCount val="1"/>
                <c:pt idx="0">
                  <c:v>Saldo Acum%</c:v>
                </c:pt>
              </c:strCache>
            </c:strRef>
          </c:tx>
          <c:spPr>
            <a:ln w="19050" cap="rnd">
              <a:solidFill>
                <a:schemeClr val="accent2"/>
              </a:solid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9050">
                <a:solidFill>
                  <a:schemeClr val="accent2"/>
                </a:solidFill>
                <a:round/>
              </a:ln>
              <a:effectLst/>
            </c:spPr>
          </c:marker>
          <c:cat>
            <c:strRef>
              <c:f>'Formato Backlog_Sept25'!$B$22:$B$25</c:f>
              <c:strCache>
                <c:ptCount val="3"/>
                <c:pt idx="0">
                  <c:v>LHG_LOM Urucum</c:v>
                </c:pt>
                <c:pt idx="1">
                  <c:v>NEXA_Peer Review Cerro Lindo</c:v>
                </c:pt>
                <c:pt idx="2">
                  <c:v>Minsur_San Rafael Estudio V MEIA</c:v>
                </c:pt>
              </c:strCache>
            </c:strRef>
          </c:cat>
          <c:val>
            <c:numRef>
              <c:f>'Formato Backlog_Sept25'!$K$4:$K$24</c:f>
              <c:numCache>
                <c:formatCode>0%</c:formatCode>
                <c:ptCount val="21"/>
                <c:pt idx="0">
                  <c:v>0.14236106271020055</c:v>
                </c:pt>
                <c:pt idx="1">
                  <c:v>0.25898132721239242</c:v>
                </c:pt>
                <c:pt idx="2">
                  <c:v>0.37317535933084844</c:v>
                </c:pt>
                <c:pt idx="3">
                  <c:v>0.4563171743670848</c:v>
                </c:pt>
                <c:pt idx="4">
                  <c:v>0.52516611341813002</c:v>
                </c:pt>
                <c:pt idx="5">
                  <c:v>0.58861765864693694</c:v>
                </c:pt>
                <c:pt idx="6">
                  <c:v>0.64408836902379152</c:v>
                </c:pt>
                <c:pt idx="7">
                  <c:v>0.68854235330014979</c:v>
                </c:pt>
                <c:pt idx="8">
                  <c:v>0.72807806797619978</c:v>
                </c:pt>
                <c:pt idx="9">
                  <c:v>0.76403892424618958</c:v>
                </c:pt>
                <c:pt idx="10">
                  <c:v>0.79992900818217771</c:v>
                </c:pt>
                <c:pt idx="11">
                  <c:v>0.82677904626486021</c:v>
                </c:pt>
                <c:pt idx="12">
                  <c:v>0.85271262741483722</c:v>
                </c:pt>
                <c:pt idx="13">
                  <c:v>0.87712146790062562</c:v>
                </c:pt>
                <c:pt idx="14">
                  <c:v>0.90063400813111416</c:v>
                </c:pt>
                <c:pt idx="15">
                  <c:v>0.92410533915446236</c:v>
                </c:pt>
                <c:pt idx="16">
                  <c:v>0.94679011183282968</c:v>
                </c:pt>
                <c:pt idx="17">
                  <c:v>0.96876476476619955</c:v>
                </c:pt>
                <c:pt idx="18">
                  <c:v>0.98292863801599528</c:v>
                </c:pt>
                <c:pt idx="19">
                  <c:v>0.99623921192228948</c:v>
                </c:pt>
                <c:pt idx="20">
                  <c:v>1</c:v>
                </c:pt>
              </c:numCache>
            </c:numRef>
          </c:val>
          <c:smooth val="0"/>
          <c:extLst>
            <c:ext xmlns:c16="http://schemas.microsoft.com/office/drawing/2014/chart" uri="{C3380CC4-5D6E-409C-BE32-E72D297353CC}">
              <c16:uniqueId val="{00000001-21FD-48F8-8244-ECF425CB019B}"/>
            </c:ext>
          </c:extLst>
        </c:ser>
        <c:dLbls>
          <c:showLegendKey val="0"/>
          <c:showVal val="0"/>
          <c:showCatName val="0"/>
          <c:showSerName val="0"/>
          <c:showPercent val="0"/>
          <c:showBubbleSize val="0"/>
        </c:dLbls>
        <c:marker val="1"/>
        <c:smooth val="0"/>
        <c:axId val="779805679"/>
        <c:axId val="779805199"/>
      </c:lineChart>
      <c:catAx>
        <c:axId val="7798090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2"/>
                </a:solidFill>
                <a:latin typeface="Raleway" pitchFamily="2" charset="0"/>
                <a:ea typeface="+mn-ea"/>
                <a:cs typeface="+mn-cs"/>
              </a:defRPr>
            </a:pPr>
            <a:endParaRPr lang="es-CL"/>
          </a:p>
        </c:txPr>
        <c:crossAx val="779795599"/>
        <c:crosses val="autoZero"/>
        <c:auto val="1"/>
        <c:lblAlgn val="ctr"/>
        <c:lblOffset val="100"/>
        <c:noMultiLvlLbl val="0"/>
      </c:catAx>
      <c:valAx>
        <c:axId val="7797955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2"/>
                </a:solidFill>
                <a:latin typeface="Raleway" pitchFamily="2" charset="0"/>
                <a:ea typeface="+mn-ea"/>
                <a:cs typeface="+mn-cs"/>
              </a:defRPr>
            </a:pPr>
            <a:endParaRPr lang="es-CL"/>
          </a:p>
        </c:txPr>
        <c:crossAx val="779809039"/>
        <c:crosses val="autoZero"/>
        <c:crossBetween val="between"/>
        <c:dispUnits>
          <c:builtInUnit val="thousands"/>
        </c:dispUnits>
      </c:valAx>
      <c:valAx>
        <c:axId val="779805199"/>
        <c:scaling>
          <c:orientation val="minMax"/>
          <c:max val="1"/>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2"/>
                </a:solidFill>
                <a:latin typeface="Raleway" pitchFamily="2" charset="0"/>
                <a:ea typeface="+mn-ea"/>
                <a:cs typeface="+mn-cs"/>
              </a:defRPr>
            </a:pPr>
            <a:endParaRPr lang="es-CL"/>
          </a:p>
        </c:txPr>
        <c:crossAx val="779805679"/>
        <c:crosses val="max"/>
        <c:crossBetween val="between"/>
      </c:valAx>
      <c:catAx>
        <c:axId val="779805679"/>
        <c:scaling>
          <c:orientation val="minMax"/>
        </c:scaling>
        <c:delete val="1"/>
        <c:axPos val="b"/>
        <c:numFmt formatCode="General" sourceLinked="1"/>
        <c:majorTickMark val="none"/>
        <c:minorTickMark val="none"/>
        <c:tickLblPos val="nextTo"/>
        <c:crossAx val="7798051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Raleway" pitchFamily="2" charset="0"/>
              <a:ea typeface="+mn-ea"/>
              <a:cs typeface="+mn-cs"/>
            </a:defRPr>
          </a:pPr>
          <a:endParaRPr lang="es-CL"/>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sz="800">
          <a:latin typeface="Raleway" pitchFamily="2" charset="0"/>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r>
              <a:rPr lang="es-CL" sz="800"/>
              <a:t>Remanentes</a:t>
            </a:r>
            <a:r>
              <a:rPr lang="es-CL" sz="800" baseline="0"/>
              <a:t> de contrato por director de proyecto</a:t>
            </a:r>
            <a:endParaRPr lang="es-CL" sz="800"/>
          </a:p>
        </c:rich>
      </c:tx>
      <c:layout>
        <c:manualLayout>
          <c:xMode val="edge"/>
          <c:yMode val="edge"/>
          <c:x val="9.6009937549206871E-3"/>
          <c:y val="1.5276161730047368E-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endParaRPr lang="es-CL"/>
        </a:p>
      </c:txPr>
    </c:title>
    <c:autoTitleDeleted val="0"/>
    <c:plotArea>
      <c:layout/>
      <c:bubbleChart>
        <c:varyColors val="0"/>
        <c:ser>
          <c:idx val="0"/>
          <c:order val="0"/>
          <c:tx>
            <c:strRef>
              <c:f>'Formato Backlog_Sept25'!$A$52</c:f>
              <c:strCache>
                <c:ptCount val="1"/>
                <c:pt idx="0">
                  <c:v>Alex Figueroa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Raleway" pitchFamily="2" charset="0"/>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Backlog_Sept25'!$C$52</c:f>
              <c:numCache>
                <c:formatCode>General</c:formatCode>
                <c:ptCount val="1"/>
                <c:pt idx="0">
                  <c:v>3</c:v>
                </c:pt>
              </c:numCache>
            </c:numRef>
          </c:xVal>
          <c:yVal>
            <c:numRef>
              <c:f>'Formato Backlog_Sept25'!$B$52</c:f>
              <c:numCache>
                <c:formatCode>#,##0_ ;\-#,##0\ </c:formatCode>
                <c:ptCount val="1"/>
                <c:pt idx="0">
                  <c:v>627237.26</c:v>
                </c:pt>
              </c:numCache>
            </c:numRef>
          </c:yVal>
          <c:bubbleSize>
            <c:numRef>
              <c:f>'Formato Backlog_Sept25'!$D$52</c:f>
              <c:numCache>
                <c:formatCode>0%</c:formatCode>
                <c:ptCount val="1"/>
                <c:pt idx="0">
                  <c:v>0.28095598014576234</c:v>
                </c:pt>
              </c:numCache>
            </c:numRef>
          </c:bubbleSize>
          <c:bubble3D val="0"/>
          <c:extLst>
            <c:ext xmlns:c16="http://schemas.microsoft.com/office/drawing/2014/chart" uri="{C3380CC4-5D6E-409C-BE32-E72D297353CC}">
              <c16:uniqueId val="{00000000-FDDB-4CF2-ADCC-D5C844455930}"/>
            </c:ext>
          </c:extLst>
        </c:ser>
        <c:ser>
          <c:idx val="1"/>
          <c:order val="1"/>
          <c:tx>
            <c:strRef>
              <c:f>'Formato Backlog_Sept25'!$A$53</c:f>
              <c:strCache>
                <c:ptCount val="1"/>
                <c:pt idx="0">
                  <c:v>Claudio Hernández</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Raleway" pitchFamily="2"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Backlog_Sept25'!$C$53</c:f>
              <c:numCache>
                <c:formatCode>General</c:formatCode>
                <c:ptCount val="1"/>
                <c:pt idx="0">
                  <c:v>4</c:v>
                </c:pt>
              </c:numCache>
            </c:numRef>
          </c:xVal>
          <c:yVal>
            <c:numRef>
              <c:f>'Formato Backlog_Sept25'!$B$53</c:f>
              <c:numCache>
                <c:formatCode>#,##0_ ;\-#,##0\ </c:formatCode>
                <c:ptCount val="1"/>
                <c:pt idx="0">
                  <c:v>351968.91000000003</c:v>
                </c:pt>
              </c:numCache>
            </c:numRef>
          </c:yVal>
          <c:bubbleSize>
            <c:numRef>
              <c:f>'Formato Backlog_Sept25'!$D$53</c:f>
              <c:numCache>
                <c:formatCode>0%</c:formatCode>
                <c:ptCount val="1"/>
                <c:pt idx="0">
                  <c:v>0.15765608390337912</c:v>
                </c:pt>
              </c:numCache>
            </c:numRef>
          </c:bubbleSize>
          <c:bubble3D val="0"/>
          <c:extLst>
            <c:ext xmlns:c16="http://schemas.microsoft.com/office/drawing/2014/chart" uri="{C3380CC4-5D6E-409C-BE32-E72D297353CC}">
              <c16:uniqueId val="{00000001-FDDB-4CF2-ADCC-D5C844455930}"/>
            </c:ext>
          </c:extLst>
        </c:ser>
        <c:ser>
          <c:idx val="2"/>
          <c:order val="2"/>
          <c:tx>
            <c:strRef>
              <c:f>'Formato Backlog_Sept25'!$A$54</c:f>
              <c:strCache>
                <c:ptCount val="1"/>
                <c:pt idx="0">
                  <c:v>Carolina Arcos</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Raleway" pitchFamily="2" charset="0"/>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Backlog_Sept25'!$C$54</c:f>
              <c:numCache>
                <c:formatCode>General</c:formatCode>
                <c:ptCount val="1"/>
                <c:pt idx="0">
                  <c:v>3</c:v>
                </c:pt>
              </c:numCache>
            </c:numRef>
          </c:xVal>
          <c:yVal>
            <c:numRef>
              <c:f>'Formato Backlog_Sept25'!$B$54</c:f>
              <c:numCache>
                <c:formatCode>#,##0_ ;\-#,##0\ </c:formatCode>
                <c:ptCount val="1"/>
                <c:pt idx="0">
                  <c:v>341074.96</c:v>
                </c:pt>
              </c:numCache>
            </c:numRef>
          </c:yVal>
          <c:bubbleSize>
            <c:numRef>
              <c:f>'Formato Backlog_Sept25'!$D$54</c:f>
              <c:numCache>
                <c:formatCode>0%</c:formatCode>
                <c:ptCount val="1"/>
                <c:pt idx="0">
                  <c:v>0.15277639866288667</c:v>
                </c:pt>
              </c:numCache>
            </c:numRef>
          </c:bubbleSize>
          <c:bubble3D val="0"/>
          <c:extLst>
            <c:ext xmlns:c16="http://schemas.microsoft.com/office/drawing/2014/chart" uri="{C3380CC4-5D6E-409C-BE32-E72D297353CC}">
              <c16:uniqueId val="{00000002-FDDB-4CF2-ADCC-D5C844455930}"/>
            </c:ext>
          </c:extLst>
        </c:ser>
        <c:ser>
          <c:idx val="3"/>
          <c:order val="3"/>
          <c:tx>
            <c:strRef>
              <c:f>'Formato Backlog_Sept25'!$A$55</c:f>
              <c:strCache>
                <c:ptCount val="1"/>
                <c:pt idx="0">
                  <c:v>Felipe Rojas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Raleway" pitchFamily="2" charset="0"/>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Backlog_Sept25'!$C$55</c:f>
              <c:numCache>
                <c:formatCode>General</c:formatCode>
                <c:ptCount val="1"/>
                <c:pt idx="0">
                  <c:v>4</c:v>
                </c:pt>
              </c:numCache>
            </c:numRef>
          </c:xVal>
          <c:yVal>
            <c:numRef>
              <c:f>'Formato Backlog_Sept25'!$B$55</c:f>
              <c:numCache>
                <c:formatCode>#,##0_ ;\-#,##0\ </c:formatCode>
                <c:ptCount val="1"/>
                <c:pt idx="0">
                  <c:v>324917.26</c:v>
                </c:pt>
              </c:numCache>
            </c:numRef>
          </c:yVal>
          <c:bubbleSize>
            <c:numRef>
              <c:f>'Formato Backlog_Sept25'!$D$55</c:f>
              <c:numCache>
                <c:formatCode>0%</c:formatCode>
                <c:ptCount val="1"/>
                <c:pt idx="0">
                  <c:v>0.1455389420736509</c:v>
                </c:pt>
              </c:numCache>
            </c:numRef>
          </c:bubbleSize>
          <c:bubble3D val="0"/>
          <c:extLst>
            <c:ext xmlns:c16="http://schemas.microsoft.com/office/drawing/2014/chart" uri="{C3380CC4-5D6E-409C-BE32-E72D297353CC}">
              <c16:uniqueId val="{00000004-FDDB-4CF2-ADCC-D5C844455930}"/>
            </c:ext>
          </c:extLst>
        </c:ser>
        <c:ser>
          <c:idx val="4"/>
          <c:order val="4"/>
          <c:tx>
            <c:strRef>
              <c:f>'Formato Backlog_Sept25'!$A$56</c:f>
              <c:strCache>
                <c:ptCount val="1"/>
                <c:pt idx="0">
                  <c:v>JF San Martin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Raleway" pitchFamily="2" charset="0"/>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Backlog_Sept25'!$C$56</c:f>
              <c:numCache>
                <c:formatCode>General</c:formatCode>
                <c:ptCount val="1"/>
                <c:pt idx="0">
                  <c:v>2</c:v>
                </c:pt>
              </c:numCache>
            </c:numRef>
          </c:xVal>
          <c:yVal>
            <c:numRef>
              <c:f>'Formato Backlog_Sept25'!$B$56</c:f>
              <c:numCache>
                <c:formatCode>#,##0_ ;\-#,##0\ </c:formatCode>
                <c:ptCount val="1"/>
                <c:pt idx="0">
                  <c:v>263335.40999999992</c:v>
                </c:pt>
              </c:numCache>
            </c:numRef>
          </c:yVal>
          <c:bubbleSize>
            <c:numRef>
              <c:f>'Formato Backlog_Sept25'!$D$56</c:f>
              <c:numCache>
                <c:formatCode>0%</c:formatCode>
                <c:ptCount val="1"/>
                <c:pt idx="0">
                  <c:v>0.11795482019616654</c:v>
                </c:pt>
              </c:numCache>
            </c:numRef>
          </c:bubbleSize>
          <c:bubble3D val="0"/>
          <c:extLst>
            <c:ext xmlns:c16="http://schemas.microsoft.com/office/drawing/2014/chart" uri="{C3380CC4-5D6E-409C-BE32-E72D297353CC}">
              <c16:uniqueId val="{00000005-FDDB-4CF2-ADCC-D5C844455930}"/>
            </c:ext>
          </c:extLst>
        </c:ser>
        <c:ser>
          <c:idx val="5"/>
          <c:order val="5"/>
          <c:tx>
            <c:strRef>
              <c:f>'Formato Backlog_Sept25'!$A$57</c:f>
              <c:strCache>
                <c:ptCount val="1"/>
                <c:pt idx="0">
                  <c:v>Sin Director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Raleway" pitchFamily="2" charset="0"/>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Backlog_Sept25'!$C$57</c:f>
              <c:numCache>
                <c:formatCode>General</c:formatCode>
                <c:ptCount val="1"/>
                <c:pt idx="0">
                  <c:v>3</c:v>
                </c:pt>
              </c:numCache>
            </c:numRef>
          </c:xVal>
          <c:yVal>
            <c:numRef>
              <c:f>'Formato Backlog_Sept25'!$B$57</c:f>
              <c:numCache>
                <c:formatCode>#,##0_ ;\-#,##0\ </c:formatCode>
                <c:ptCount val="1"/>
                <c:pt idx="0">
                  <c:v>206137</c:v>
                </c:pt>
              </c:numCache>
            </c:numRef>
          </c:yVal>
          <c:bubbleSize>
            <c:numRef>
              <c:f>'Formato Backlog_Sept25'!$D$57</c:f>
              <c:numCache>
                <c:formatCode>0%</c:formatCode>
                <c:ptCount val="1"/>
                <c:pt idx="0">
                  <c:v>9.2334155785494976E-2</c:v>
                </c:pt>
              </c:numCache>
            </c:numRef>
          </c:bubbleSize>
          <c:bubble3D val="0"/>
          <c:extLst>
            <c:ext xmlns:c16="http://schemas.microsoft.com/office/drawing/2014/chart" uri="{C3380CC4-5D6E-409C-BE32-E72D297353CC}">
              <c16:uniqueId val="{00000006-FDDB-4CF2-ADCC-D5C844455930}"/>
            </c:ext>
          </c:extLst>
        </c:ser>
        <c:ser>
          <c:idx val="6"/>
          <c:order val="6"/>
          <c:tx>
            <c:strRef>
              <c:f>'Formato Backlog_Sept25'!$A$58</c:f>
              <c:strCache>
                <c:ptCount val="1"/>
                <c:pt idx="0">
                  <c:v>Gonzalo Díaz</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Raleway" pitchFamily="2" charset="0"/>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Backlog_Sept25'!$C$58</c:f>
              <c:numCache>
                <c:formatCode>General</c:formatCode>
                <c:ptCount val="1"/>
                <c:pt idx="0">
                  <c:v>2</c:v>
                </c:pt>
              </c:numCache>
            </c:numRef>
          </c:xVal>
          <c:yVal>
            <c:numRef>
              <c:f>'Formato Backlog_Sept25'!$B$58</c:f>
              <c:numCache>
                <c:formatCode>#,##0_ ;\-#,##0\ </c:formatCode>
                <c:ptCount val="1"/>
                <c:pt idx="0">
                  <c:v>117840</c:v>
                </c:pt>
              </c:numCache>
            </c:numRef>
          </c:yVal>
          <c:bubbleSize>
            <c:numRef>
              <c:f>'Formato Backlog_Sept25'!$D$58</c:f>
              <c:numCache>
                <c:formatCode>0%</c:formatCode>
                <c:ptCount val="1"/>
                <c:pt idx="0">
                  <c:v>5.2783619232659486E-2</c:v>
                </c:pt>
              </c:numCache>
            </c:numRef>
          </c:bubbleSize>
          <c:bubble3D val="0"/>
          <c:extLst>
            <c:ext xmlns:c16="http://schemas.microsoft.com/office/drawing/2014/chart" uri="{C3380CC4-5D6E-409C-BE32-E72D297353CC}">
              <c16:uniqueId val="{00000007-FDDB-4CF2-ADCC-D5C844455930}"/>
            </c:ext>
          </c:extLst>
        </c:ser>
        <c:dLbls>
          <c:showLegendKey val="0"/>
          <c:showVal val="0"/>
          <c:showCatName val="0"/>
          <c:showSerName val="0"/>
          <c:showPercent val="0"/>
          <c:showBubbleSize val="0"/>
        </c:dLbls>
        <c:bubbleScale val="100"/>
        <c:showNegBubbles val="0"/>
        <c:axId val="491250080"/>
        <c:axId val="491241440"/>
      </c:bubbleChart>
      <c:valAx>
        <c:axId val="491250080"/>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r>
                  <a:rPr lang="en-US"/>
                  <a:t>Cantidad de proyectos</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endParaRPr lang="es-CL"/>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2"/>
                </a:solidFill>
                <a:latin typeface="Raleway" pitchFamily="2" charset="0"/>
                <a:ea typeface="+mn-ea"/>
                <a:cs typeface="+mn-cs"/>
              </a:defRPr>
            </a:pPr>
            <a:endParaRPr lang="es-CL"/>
          </a:p>
        </c:txPr>
        <c:crossAx val="491241440"/>
        <c:crosses val="autoZero"/>
        <c:crossBetween val="midCat"/>
      </c:valAx>
      <c:valAx>
        <c:axId val="491241440"/>
        <c:scaling>
          <c:orientation val="minMax"/>
          <c:min val="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r>
                  <a:rPr lang="en-US"/>
                  <a:t>kUS$</a:t>
                </a:r>
              </a:p>
            </c:rich>
          </c:tx>
          <c:overlay val="0"/>
          <c:spPr>
            <a:noFill/>
            <a:ln>
              <a:noFill/>
            </a:ln>
            <a:effectLst/>
          </c:spPr>
          <c:txPr>
            <a:bodyPr rot="-540000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endParaRPr lang="es-CL"/>
            </a:p>
          </c:txPr>
        </c:title>
        <c:numFmt formatCode="#,##0_ ;\-#,##0\ "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800" b="0" i="0" u="none" strike="noStrike" kern="1200" baseline="0">
                <a:solidFill>
                  <a:schemeClr val="tx2"/>
                </a:solidFill>
                <a:latin typeface="Raleway" pitchFamily="2" charset="0"/>
                <a:ea typeface="+mn-ea"/>
                <a:cs typeface="+mn-cs"/>
              </a:defRPr>
            </a:pPr>
            <a:endParaRPr lang="es-CL"/>
          </a:p>
        </c:txPr>
        <c:crossAx val="491250080"/>
        <c:crosses val="autoZero"/>
        <c:crossBetween val="midCat"/>
        <c:dispUnits>
          <c:builtInUnit val="thousands"/>
        </c:dispUnits>
      </c:valAx>
      <c:spPr>
        <a:noFill/>
        <a:ln>
          <a:noFill/>
        </a:ln>
        <a:effectLst/>
      </c:spPr>
    </c:plotArea>
    <c:legend>
      <c:legendPos val="l"/>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Raleway" pitchFamily="2" charset="0"/>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800">
          <a:latin typeface="Raleway" pitchFamily="2" charset="0"/>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[02_POM 2024.xlsx]Formato Backlog_Sept25!TablaDinámica19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aleway" pitchFamily="2" charset="0"/>
              <a:ea typeface="+mn-ea"/>
              <a:cs typeface="+mn-cs"/>
            </a:defRPr>
          </a:pPr>
          <a:endParaRPr lang="es-CL"/>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aleway" pitchFamily="2" charset="0"/>
                  <a:ea typeface="+mn-ea"/>
                  <a:cs typeface="+mn-cs"/>
                </a:defRPr>
              </a:pPr>
              <a:endParaRPr lang="es-CL"/>
            </a:p>
          </c:txPr>
          <c:dLblPos val="out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aleway" pitchFamily="2" charset="0"/>
                  <a:ea typeface="+mn-ea"/>
                  <a:cs typeface="+mn-cs"/>
                </a:defRPr>
              </a:pPr>
              <a:endParaRPr lang="es-CL"/>
            </a:p>
          </c:txPr>
          <c:dLblPos val="out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373107544436319E-2"/>
          <c:y val="0.14052364575317389"/>
          <c:w val="0.79222315109444008"/>
          <c:h val="0.75339013030967228"/>
        </c:manualLayout>
      </c:layout>
      <c:pie3DChart>
        <c:varyColors val="1"/>
        <c:ser>
          <c:idx val="0"/>
          <c:order val="0"/>
          <c:tx>
            <c:strRef>
              <c:f>'Formato Backlog_Sept25'!$B$29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ED3-48A0-BC94-ED0DFDD6375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ED3-48A0-BC94-ED0DFDD6375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ED3-48A0-BC94-ED0DFDD6375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ED3-48A0-BC94-ED0DFDD6375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aleway" pitchFamily="2" charset="0"/>
                    <a:ea typeface="+mn-ea"/>
                    <a:cs typeface="+mn-cs"/>
                  </a:defRPr>
                </a:pPr>
                <a:endParaRPr lang="es-CL"/>
              </a:p>
            </c:txPr>
            <c:dLblPos val="outEnd"/>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'Formato Backlog_Sept25'!$A$30:$A$34</c:f>
              <c:strCache>
                <c:ptCount val="4"/>
                <c:pt idx="0">
                  <c:v>Brasil</c:v>
                </c:pt>
                <c:pt idx="1">
                  <c:v>Perú</c:v>
                </c:pt>
                <c:pt idx="2">
                  <c:v>Chile</c:v>
                </c:pt>
                <c:pt idx="3">
                  <c:v>Otros</c:v>
                </c:pt>
              </c:strCache>
            </c:strRef>
          </c:cat>
          <c:val>
            <c:numRef>
              <c:f>'Formato Backlog_Sept25'!$B$30:$B$34</c:f>
              <c:numCache>
                <c:formatCode>#,##0</c:formatCode>
                <c:ptCount val="4"/>
                <c:pt idx="0">
                  <c:v>747122.17</c:v>
                </c:pt>
                <c:pt idx="1">
                  <c:v>626284.40999999992</c:v>
                </c:pt>
                <c:pt idx="2">
                  <c:v>621089.22</c:v>
                </c:pt>
                <c:pt idx="3">
                  <c:v>238015</c:v>
                </c:pt>
              </c:numCache>
            </c:numRef>
          </c:val>
          <c:extLst>
            <c:ext xmlns:c16="http://schemas.microsoft.com/office/drawing/2014/chart" uri="{C3380CC4-5D6E-409C-BE32-E72D297353CC}">
              <c16:uniqueId val="{00000008-DED3-48A0-BC94-ED0DFDD6375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aleway" pitchFamily="2" charset="0"/>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Raleway" pitchFamily="2" charset="0"/>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r>
              <a:rPr lang="es-CL" sz="800"/>
              <a:t>Montos de contratos</a:t>
            </a:r>
            <a:r>
              <a:rPr lang="es-CL" sz="800" baseline="0"/>
              <a:t> vigentes por director de proyecto</a:t>
            </a:r>
            <a:endParaRPr lang="es-CL" sz="800"/>
          </a:p>
        </c:rich>
      </c:tx>
      <c:layout>
        <c:manualLayout>
          <c:xMode val="edge"/>
          <c:yMode val="edge"/>
          <c:x val="9.6009937549206871E-3"/>
          <c:y val="1.5276161730047368E-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endParaRPr lang="es-CL"/>
        </a:p>
      </c:txPr>
    </c:title>
    <c:autoTitleDeleted val="0"/>
    <c:plotArea>
      <c:layout/>
      <c:bubbleChart>
        <c:varyColors val="0"/>
        <c:ser>
          <c:idx val="0"/>
          <c:order val="0"/>
          <c:tx>
            <c:strRef>
              <c:f>'Formato Backlog_Sept25'!$A$73</c:f>
              <c:strCache>
                <c:ptCount val="1"/>
                <c:pt idx="0">
                  <c:v>JF San Martin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solidFill>
                    <a:latin typeface="Raleway" pitchFamily="2"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Backlog_Sept25'!$C$73</c:f>
              <c:numCache>
                <c:formatCode>General</c:formatCode>
                <c:ptCount val="1"/>
                <c:pt idx="0">
                  <c:v>2</c:v>
                </c:pt>
              </c:numCache>
            </c:numRef>
          </c:xVal>
          <c:yVal>
            <c:numRef>
              <c:f>'Formato Backlog_Sept25'!$B$73</c:f>
              <c:numCache>
                <c:formatCode>#,##0</c:formatCode>
                <c:ptCount val="1"/>
                <c:pt idx="0">
                  <c:v>1151021</c:v>
                </c:pt>
              </c:numCache>
            </c:numRef>
          </c:yVal>
          <c:bubbleSize>
            <c:numRef>
              <c:f>'Formato Backlog_Sept25'!$D$73</c:f>
              <c:numCache>
                <c:formatCode>0%</c:formatCode>
                <c:ptCount val="1"/>
                <c:pt idx="0">
                  <c:v>0.27850064030266564</c:v>
                </c:pt>
              </c:numCache>
            </c:numRef>
          </c:bubbleSize>
          <c:bubble3D val="0"/>
          <c:extLst>
            <c:ext xmlns:c16="http://schemas.microsoft.com/office/drawing/2014/chart" uri="{C3380CC4-5D6E-409C-BE32-E72D297353CC}">
              <c16:uniqueId val="{00000000-8924-4307-A48C-3B1668C64421}"/>
            </c:ext>
          </c:extLst>
        </c:ser>
        <c:ser>
          <c:idx val="1"/>
          <c:order val="1"/>
          <c:tx>
            <c:strRef>
              <c:f>'Formato Backlog_Sept25'!$A$74</c:f>
              <c:strCache>
                <c:ptCount val="1"/>
                <c:pt idx="0">
                  <c:v>Alex Figueroa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2"/>
                    </a:solidFill>
                    <a:latin typeface="Raleway" pitchFamily="2"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Backlog_Sept25'!$C$74</c:f>
              <c:numCache>
                <c:formatCode>General</c:formatCode>
                <c:ptCount val="1"/>
                <c:pt idx="0">
                  <c:v>3</c:v>
                </c:pt>
              </c:numCache>
            </c:numRef>
          </c:xVal>
          <c:yVal>
            <c:numRef>
              <c:f>'Formato Backlog_Sept25'!$B$74</c:f>
              <c:numCache>
                <c:formatCode>#,##0</c:formatCode>
                <c:ptCount val="1"/>
                <c:pt idx="0">
                  <c:v>892245.26</c:v>
                </c:pt>
              </c:numCache>
            </c:numRef>
          </c:yVal>
          <c:bubbleSize>
            <c:numRef>
              <c:f>'Formato Backlog_Sept25'!$D$74</c:f>
              <c:numCache>
                <c:formatCode>0%</c:formatCode>
                <c:ptCount val="1"/>
                <c:pt idx="0">
                  <c:v>0.21588735237412554</c:v>
                </c:pt>
              </c:numCache>
            </c:numRef>
          </c:bubbleSize>
          <c:bubble3D val="0"/>
          <c:extLst>
            <c:ext xmlns:c16="http://schemas.microsoft.com/office/drawing/2014/chart" uri="{C3380CC4-5D6E-409C-BE32-E72D297353CC}">
              <c16:uniqueId val="{00000001-8924-4307-A48C-3B1668C64421}"/>
            </c:ext>
          </c:extLst>
        </c:ser>
        <c:ser>
          <c:idx val="2"/>
          <c:order val="2"/>
          <c:tx>
            <c:strRef>
              <c:f>'Formato Backlog_Sept25'!$A$75</c:f>
              <c:strCache>
                <c:ptCount val="1"/>
                <c:pt idx="0">
                  <c:v>Claudio Hernández</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2"/>
                    </a:solidFill>
                    <a:latin typeface="Raleway" pitchFamily="2"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Backlog_Sept25'!$C$75</c:f>
              <c:numCache>
                <c:formatCode>General</c:formatCode>
                <c:ptCount val="1"/>
                <c:pt idx="0">
                  <c:v>4</c:v>
                </c:pt>
              </c:numCache>
            </c:numRef>
          </c:xVal>
          <c:yVal>
            <c:numRef>
              <c:f>'Formato Backlog_Sept25'!$B$75</c:f>
              <c:numCache>
                <c:formatCode>#,##0</c:formatCode>
                <c:ptCount val="1"/>
                <c:pt idx="0">
                  <c:v>637903</c:v>
                </c:pt>
              </c:numCache>
            </c:numRef>
          </c:yVal>
          <c:bubbleSize>
            <c:numRef>
              <c:f>'Formato Backlog_Sept25'!$D$75</c:f>
              <c:numCache>
                <c:formatCode>0%</c:formatCode>
                <c:ptCount val="1"/>
                <c:pt idx="0">
                  <c:v>0.15434678772237109</c:v>
                </c:pt>
              </c:numCache>
            </c:numRef>
          </c:bubbleSize>
          <c:bubble3D val="0"/>
          <c:extLst>
            <c:ext xmlns:c16="http://schemas.microsoft.com/office/drawing/2014/chart" uri="{C3380CC4-5D6E-409C-BE32-E72D297353CC}">
              <c16:uniqueId val="{00000002-8924-4307-A48C-3B1668C64421}"/>
            </c:ext>
          </c:extLst>
        </c:ser>
        <c:ser>
          <c:idx val="3"/>
          <c:order val="3"/>
          <c:tx>
            <c:strRef>
              <c:f>'Formato Backlog_Sept25'!$A$76</c:f>
              <c:strCache>
                <c:ptCount val="1"/>
                <c:pt idx="0">
                  <c:v>Felipe Rojas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2"/>
                    </a:solidFill>
                    <a:latin typeface="Raleway" pitchFamily="2"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Backlog_Sept25'!$C$76</c:f>
              <c:numCache>
                <c:formatCode>General</c:formatCode>
                <c:ptCount val="1"/>
                <c:pt idx="0">
                  <c:v>4</c:v>
                </c:pt>
              </c:numCache>
            </c:numRef>
          </c:xVal>
          <c:yVal>
            <c:numRef>
              <c:f>'Formato Backlog_Sept25'!$B$76</c:f>
              <c:numCache>
                <c:formatCode>#,##0</c:formatCode>
                <c:ptCount val="1"/>
                <c:pt idx="0">
                  <c:v>573543.26</c:v>
                </c:pt>
              </c:numCache>
            </c:numRef>
          </c:yVal>
          <c:bubbleSize>
            <c:numRef>
              <c:f>'Formato Backlog_Sept25'!$D$76</c:f>
              <c:numCache>
                <c:formatCode>0%</c:formatCode>
                <c:ptCount val="1"/>
                <c:pt idx="0">
                  <c:v>0.13877432744604853</c:v>
                </c:pt>
              </c:numCache>
            </c:numRef>
          </c:bubbleSize>
          <c:bubble3D val="0"/>
          <c:extLst>
            <c:ext xmlns:c16="http://schemas.microsoft.com/office/drawing/2014/chart" uri="{C3380CC4-5D6E-409C-BE32-E72D297353CC}">
              <c16:uniqueId val="{00000003-8924-4307-A48C-3B1668C64421}"/>
            </c:ext>
          </c:extLst>
        </c:ser>
        <c:ser>
          <c:idx val="4"/>
          <c:order val="4"/>
          <c:tx>
            <c:strRef>
              <c:f>'Formato Backlog_Sept25'!$A$77</c:f>
              <c:strCache>
                <c:ptCount val="1"/>
                <c:pt idx="0">
                  <c:v>Carolina Arcos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2"/>
                    </a:solidFill>
                    <a:latin typeface="Raleway" pitchFamily="2"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Backlog_Sept25'!$C$77</c:f>
              <c:numCache>
                <c:formatCode>General</c:formatCode>
                <c:ptCount val="1"/>
                <c:pt idx="0">
                  <c:v>3</c:v>
                </c:pt>
              </c:numCache>
            </c:numRef>
          </c:xVal>
          <c:yVal>
            <c:numRef>
              <c:f>'Formato Backlog_Sept25'!$B$77</c:f>
              <c:numCache>
                <c:formatCode>#,##0</c:formatCode>
                <c:ptCount val="1"/>
                <c:pt idx="0">
                  <c:v>415453.96</c:v>
                </c:pt>
              </c:numCache>
            </c:numRef>
          </c:yVal>
          <c:bubbleSize>
            <c:numRef>
              <c:f>'Formato Backlog_Sept25'!$D$77</c:f>
              <c:numCache>
                <c:formatCode>0%</c:formatCode>
                <c:ptCount val="1"/>
                <c:pt idx="0">
                  <c:v>0.10052309547460736</c:v>
                </c:pt>
              </c:numCache>
            </c:numRef>
          </c:bubbleSize>
          <c:bubble3D val="0"/>
          <c:extLst>
            <c:ext xmlns:c16="http://schemas.microsoft.com/office/drawing/2014/chart" uri="{C3380CC4-5D6E-409C-BE32-E72D297353CC}">
              <c16:uniqueId val="{00000004-8924-4307-A48C-3B1668C64421}"/>
            </c:ext>
          </c:extLst>
        </c:ser>
        <c:ser>
          <c:idx val="5"/>
          <c:order val="5"/>
          <c:tx>
            <c:strRef>
              <c:f>'Formato Backlog_Sept25'!$A$78</c:f>
              <c:strCache>
                <c:ptCount val="1"/>
                <c:pt idx="0">
                  <c:v>Gonzalo Díaz</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2"/>
                    </a:solidFill>
                    <a:latin typeface="Raleway" pitchFamily="2"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Backlog_Sept25'!$C$78</c:f>
              <c:numCache>
                <c:formatCode>General</c:formatCode>
                <c:ptCount val="1"/>
                <c:pt idx="0">
                  <c:v>2</c:v>
                </c:pt>
              </c:numCache>
            </c:numRef>
          </c:xVal>
          <c:yVal>
            <c:numRef>
              <c:f>'Formato Backlog_Sept25'!$B$78</c:f>
              <c:numCache>
                <c:formatCode>#,##0</c:formatCode>
                <c:ptCount val="1"/>
                <c:pt idx="0">
                  <c:v>233110</c:v>
                </c:pt>
              </c:numCache>
            </c:numRef>
          </c:yVal>
          <c:bubbleSize>
            <c:numRef>
              <c:f>'Formato Backlog_Sept25'!$D$78</c:f>
              <c:numCache>
                <c:formatCode>0%</c:formatCode>
                <c:ptCount val="1"/>
                <c:pt idx="0">
                  <c:v>5.6403214416552244E-2</c:v>
                </c:pt>
              </c:numCache>
            </c:numRef>
          </c:bubbleSize>
          <c:bubble3D val="0"/>
          <c:extLst>
            <c:ext xmlns:c16="http://schemas.microsoft.com/office/drawing/2014/chart" uri="{C3380CC4-5D6E-409C-BE32-E72D297353CC}">
              <c16:uniqueId val="{00000005-8924-4307-A48C-3B1668C64421}"/>
            </c:ext>
          </c:extLst>
        </c:ser>
        <c:ser>
          <c:idx val="6"/>
          <c:order val="6"/>
          <c:tx>
            <c:strRef>
              <c:f>'Formato Backlog_Sept25'!$A$79</c:f>
              <c:strCache>
                <c:ptCount val="1"/>
                <c:pt idx="0">
                  <c:v>Sin Director</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25400">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2"/>
                    </a:solidFill>
                    <a:latin typeface="Raleway" pitchFamily="2"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numRef>
              <c:f>'Formato Backlog_Sept25'!$C$79</c:f>
              <c:numCache>
                <c:formatCode>General</c:formatCode>
                <c:ptCount val="1"/>
                <c:pt idx="0">
                  <c:v>3</c:v>
                </c:pt>
              </c:numCache>
            </c:numRef>
          </c:xVal>
          <c:yVal>
            <c:numRef>
              <c:f>'Formato Backlog_Sept25'!$B$79</c:f>
              <c:numCache>
                <c:formatCode>#,##0</c:formatCode>
                <c:ptCount val="1"/>
                <c:pt idx="0">
                  <c:v>229644</c:v>
                </c:pt>
              </c:numCache>
            </c:numRef>
          </c:yVal>
          <c:bubbleSize>
            <c:numRef>
              <c:f>'Formato Backlog_Sept25'!$D$79</c:f>
              <c:numCache>
                <c:formatCode>0%</c:formatCode>
                <c:ptCount val="1"/>
                <c:pt idx="0">
                  <c:v>5.5564582263629717E-2</c:v>
                </c:pt>
              </c:numCache>
            </c:numRef>
          </c:bubbleSize>
          <c:bubble3D val="0"/>
          <c:extLst>
            <c:ext xmlns:c16="http://schemas.microsoft.com/office/drawing/2014/chart" uri="{C3380CC4-5D6E-409C-BE32-E72D297353CC}">
              <c16:uniqueId val="{00000006-8924-4307-A48C-3B1668C64421}"/>
            </c:ext>
          </c:extLst>
        </c:ser>
        <c:dLbls>
          <c:showLegendKey val="0"/>
          <c:showVal val="0"/>
          <c:showCatName val="0"/>
          <c:showSerName val="0"/>
          <c:showPercent val="0"/>
          <c:showBubbleSize val="0"/>
        </c:dLbls>
        <c:bubbleScale val="100"/>
        <c:showNegBubbles val="0"/>
        <c:axId val="491250080"/>
        <c:axId val="491241440"/>
      </c:bubbleChart>
      <c:valAx>
        <c:axId val="491250080"/>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r>
                  <a:rPr lang="en-US"/>
                  <a:t>Cantidad de proyectos</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endParaRPr lang="es-CL"/>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2"/>
                </a:solidFill>
                <a:latin typeface="Raleway" pitchFamily="2" charset="0"/>
                <a:ea typeface="+mn-ea"/>
                <a:cs typeface="+mn-cs"/>
              </a:defRPr>
            </a:pPr>
            <a:endParaRPr lang="es-CL"/>
          </a:p>
        </c:txPr>
        <c:crossAx val="491241440"/>
        <c:crosses val="autoZero"/>
        <c:crossBetween val="midCat"/>
      </c:valAx>
      <c:valAx>
        <c:axId val="491241440"/>
        <c:scaling>
          <c:orientation val="minMax"/>
          <c:min val="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r>
                  <a:rPr lang="en-US"/>
                  <a:t>kUS$</a:t>
                </a:r>
              </a:p>
            </c:rich>
          </c:tx>
          <c:overlay val="0"/>
          <c:spPr>
            <a:noFill/>
            <a:ln>
              <a:noFill/>
            </a:ln>
            <a:effectLst/>
          </c:spPr>
          <c:txPr>
            <a:bodyPr rot="-5400000" spcFirstLastPara="1" vertOverflow="ellipsis" vert="horz" wrap="square" anchor="ctr" anchorCtr="1"/>
            <a:lstStyle/>
            <a:p>
              <a:pPr>
                <a:defRPr sz="800" b="1" i="0" u="none" strike="noStrike" kern="1200" baseline="0">
                  <a:solidFill>
                    <a:schemeClr val="tx2"/>
                  </a:solidFill>
                  <a:latin typeface="Raleway" pitchFamily="2" charset="0"/>
                  <a:ea typeface="+mn-ea"/>
                  <a:cs typeface="+mn-cs"/>
                </a:defRPr>
              </a:pPr>
              <a:endParaRPr lang="es-CL"/>
            </a:p>
          </c:txPr>
        </c:title>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800" b="0" i="0" u="none" strike="noStrike" kern="1200" baseline="0">
                <a:solidFill>
                  <a:schemeClr val="tx2"/>
                </a:solidFill>
                <a:latin typeface="Raleway" pitchFamily="2" charset="0"/>
                <a:ea typeface="+mn-ea"/>
                <a:cs typeface="+mn-cs"/>
              </a:defRPr>
            </a:pPr>
            <a:endParaRPr lang="es-CL"/>
          </a:p>
        </c:txPr>
        <c:crossAx val="491250080"/>
        <c:crosses val="autoZero"/>
        <c:crossBetween val="midCat"/>
        <c:dispUnits>
          <c:builtInUnit val="thousands"/>
        </c:dispUnits>
      </c:valAx>
      <c:spPr>
        <a:noFill/>
        <a:ln>
          <a:noFill/>
        </a:ln>
        <a:effectLst/>
      </c:spPr>
    </c:plotArea>
    <c:legend>
      <c:legendPos val="l"/>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Raleway" pitchFamily="2" charset="0"/>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800">
          <a:latin typeface="Raleway" pitchFamily="2" charset="0"/>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36408</xdr:colOff>
      <xdr:row>2</xdr:row>
      <xdr:rowOff>65408</xdr:rowOff>
    </xdr:from>
    <xdr:to>
      <xdr:col>3</xdr:col>
      <xdr:colOff>1831291</xdr:colOff>
      <xdr:row>7</xdr:row>
      <xdr:rowOff>31568</xdr:rowOff>
    </xdr:to>
    <xdr:pic>
      <xdr:nvPicPr>
        <xdr:cNvPr id="2" name="Imagen 1">
          <a:extLst>
            <a:ext uri="{FF2B5EF4-FFF2-40B4-BE49-F238E27FC236}">
              <a16:creationId xmlns:a16="http://schemas.microsoft.com/office/drawing/2014/main" id="{89071B8A-9A8A-4E9F-8F4E-E72B4BFB9E65}"/>
            </a:ext>
          </a:extLst>
        </xdr:cNvPr>
        <xdr:cNvPicPr>
          <a:picLocks noChangeAspect="1"/>
        </xdr:cNvPicPr>
      </xdr:nvPicPr>
      <xdr:blipFill>
        <a:blip xmlns:r="http://schemas.openxmlformats.org/officeDocument/2006/relationships" r:embed="rId1"/>
        <a:stretch>
          <a:fillRect/>
        </a:stretch>
      </xdr:blipFill>
      <xdr:spPr>
        <a:xfrm>
          <a:off x="3092028" y="370208"/>
          <a:ext cx="3120763" cy="731335"/>
        </a:xfrm>
        <a:prstGeom prst="rect">
          <a:avLst/>
        </a:prstGeom>
      </xdr:spPr>
    </xdr:pic>
    <xdr:clientData/>
  </xdr:twoCellAnchor>
  <xdr:twoCellAnchor>
    <xdr:from>
      <xdr:col>2</xdr:col>
      <xdr:colOff>35138</xdr:colOff>
      <xdr:row>6</xdr:row>
      <xdr:rowOff>138006</xdr:rowOff>
    </xdr:from>
    <xdr:to>
      <xdr:col>20</xdr:col>
      <xdr:colOff>57999</xdr:colOff>
      <xdr:row>8</xdr:row>
      <xdr:rowOff>126153</xdr:rowOff>
    </xdr:to>
    <xdr:sp macro="" textlink="">
      <xdr:nvSpPr>
        <xdr:cNvPr id="3" name="CuadroTexto 2">
          <a:extLst>
            <a:ext uri="{FF2B5EF4-FFF2-40B4-BE49-F238E27FC236}">
              <a16:creationId xmlns:a16="http://schemas.microsoft.com/office/drawing/2014/main" id="{68042C05-1C48-427C-AD39-82A0392D4CE1}"/>
            </a:ext>
          </a:extLst>
        </xdr:cNvPr>
        <xdr:cNvSpPr txBox="1"/>
      </xdr:nvSpPr>
      <xdr:spPr>
        <a:xfrm>
          <a:off x="3090758" y="1052406"/>
          <a:ext cx="16162021" cy="2929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L" sz="1600" b="1">
              <a:solidFill>
                <a:srgbClr val="112D86"/>
              </a:solidFill>
              <a:latin typeface="Trebuchet MS" panose="020B0603020202020204" pitchFamily="34" charset="0"/>
            </a:rPr>
            <a:t>Resumen</a:t>
          </a:r>
          <a:r>
            <a:rPr lang="es-CL" sz="1600" b="1" baseline="0">
              <a:solidFill>
                <a:srgbClr val="112D86"/>
              </a:solidFill>
              <a:latin typeface="Trebuchet MS" panose="020B0603020202020204" pitchFamily="34" charset="0"/>
            </a:rPr>
            <a:t> E</a:t>
          </a:r>
          <a:r>
            <a:rPr lang="es-CL" sz="1600" b="1">
              <a:solidFill>
                <a:srgbClr val="112D86"/>
              </a:solidFill>
              <a:latin typeface="Trebuchet MS" panose="020B0603020202020204" pitchFamily="34" charset="0"/>
            </a:rPr>
            <a:t>stados de Pago</a:t>
          </a:r>
          <a:r>
            <a:rPr lang="es-CL" sz="1600" b="1" baseline="0">
              <a:solidFill>
                <a:srgbClr val="112D86"/>
              </a:solidFill>
              <a:latin typeface="Trebuchet MS" panose="020B0603020202020204" pitchFamily="34" charset="0"/>
            </a:rPr>
            <a:t> Julio 2024</a:t>
          </a:r>
          <a:endParaRPr lang="es-CL" sz="1600" b="1">
            <a:solidFill>
              <a:srgbClr val="112D86"/>
            </a:solidFill>
            <a:latin typeface="Trebuchet MS" panose="020B0603020202020204" pitchFamily="34" charset="0"/>
          </a:endParaRPr>
        </a:p>
      </xdr:txBody>
    </xdr:sp>
    <xdr:clientData/>
  </xdr:twoCellAnchor>
  <xdr:twoCellAnchor>
    <xdr:from>
      <xdr:col>2</xdr:col>
      <xdr:colOff>36247</xdr:colOff>
      <xdr:row>16</xdr:row>
      <xdr:rowOff>141871</xdr:rowOff>
    </xdr:from>
    <xdr:to>
      <xdr:col>20</xdr:col>
      <xdr:colOff>109009</xdr:colOff>
      <xdr:row>18</xdr:row>
      <xdr:rowOff>132927</xdr:rowOff>
    </xdr:to>
    <xdr:sp macro="" textlink="">
      <xdr:nvSpPr>
        <xdr:cNvPr id="4" name="CuadroTexto 3">
          <a:extLst>
            <a:ext uri="{FF2B5EF4-FFF2-40B4-BE49-F238E27FC236}">
              <a16:creationId xmlns:a16="http://schemas.microsoft.com/office/drawing/2014/main" id="{CF725218-B48B-4FA4-9B06-DA6ABA09C5FF}"/>
            </a:ext>
          </a:extLst>
        </xdr:cNvPr>
        <xdr:cNvSpPr txBox="1"/>
      </xdr:nvSpPr>
      <xdr:spPr>
        <a:xfrm>
          <a:off x="3091867" y="2816491"/>
          <a:ext cx="16211922" cy="295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L" sz="1400" b="1">
              <a:solidFill>
                <a:srgbClr val="112D86"/>
              </a:solidFill>
              <a:latin typeface="Trebuchet MS" panose="020B0603020202020204" pitchFamily="34" charset="0"/>
            </a:rPr>
            <a:t>Proyectos</a:t>
          </a:r>
          <a:r>
            <a:rPr lang="es-CL" sz="1400" b="1" baseline="0">
              <a:solidFill>
                <a:srgbClr val="112D86"/>
              </a:solidFill>
              <a:latin typeface="Trebuchet MS" panose="020B0603020202020204" pitchFamily="34" charset="0"/>
            </a:rPr>
            <a:t> En Proceso - Ejecución (USD)</a:t>
          </a:r>
          <a:r>
            <a:rPr lang="es-CL" sz="1400" b="1">
              <a:solidFill>
                <a:srgbClr val="112D86"/>
              </a:solidFill>
              <a:latin typeface="Trebuchet MS" panose="020B0603020202020204" pitchFamily="34" charset="0"/>
            </a:rPr>
            <a:t> </a:t>
          </a:r>
        </a:p>
      </xdr:txBody>
    </xdr:sp>
    <xdr:clientData/>
  </xdr:twoCellAnchor>
  <xdr:twoCellAnchor>
    <xdr:from>
      <xdr:col>2</xdr:col>
      <xdr:colOff>32727</xdr:colOff>
      <xdr:row>49</xdr:row>
      <xdr:rowOff>21431</xdr:rowOff>
    </xdr:from>
    <xdr:to>
      <xdr:col>20</xdr:col>
      <xdr:colOff>100568</xdr:colOff>
      <xdr:row>50</xdr:row>
      <xdr:rowOff>130492</xdr:rowOff>
    </xdr:to>
    <xdr:sp macro="" textlink="">
      <xdr:nvSpPr>
        <xdr:cNvPr id="5" name="CuadroTexto 4">
          <a:extLst>
            <a:ext uri="{FF2B5EF4-FFF2-40B4-BE49-F238E27FC236}">
              <a16:creationId xmlns:a16="http://schemas.microsoft.com/office/drawing/2014/main" id="{D454707E-24B8-458E-A354-C14C23F08057}"/>
            </a:ext>
          </a:extLst>
        </xdr:cNvPr>
        <xdr:cNvSpPr txBox="1"/>
      </xdr:nvSpPr>
      <xdr:spPr>
        <a:xfrm>
          <a:off x="3088347" y="7473791"/>
          <a:ext cx="16207001" cy="2614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L" sz="1400" b="1">
              <a:solidFill>
                <a:srgbClr val="112D86"/>
              </a:solidFill>
              <a:latin typeface="Trebuchet MS" panose="020B0603020202020204" pitchFamily="34" charset="0"/>
            </a:rPr>
            <a:t>Proyectos</a:t>
          </a:r>
          <a:r>
            <a:rPr lang="es-CL" sz="1400" b="1" baseline="0">
              <a:solidFill>
                <a:srgbClr val="112D86"/>
              </a:solidFill>
              <a:latin typeface="Trebuchet MS" panose="020B0603020202020204" pitchFamily="34" charset="0"/>
            </a:rPr>
            <a:t> En Proceso - Terminales (USD)</a:t>
          </a:r>
          <a:r>
            <a:rPr lang="es-CL" sz="1400" b="1">
              <a:solidFill>
                <a:srgbClr val="112D86"/>
              </a:solidFill>
              <a:latin typeface="Trebuchet MS" panose="020B0603020202020204" pitchFamily="34" charset="0"/>
            </a:rPr>
            <a:t> </a:t>
          </a:r>
        </a:p>
      </xdr:txBody>
    </xdr:sp>
    <xdr:clientData/>
  </xdr:twoCellAnchor>
  <xdr:twoCellAnchor>
    <xdr:from>
      <xdr:col>2</xdr:col>
      <xdr:colOff>27012</xdr:colOff>
      <xdr:row>58</xdr:row>
      <xdr:rowOff>17620</xdr:rowOff>
    </xdr:from>
    <xdr:to>
      <xdr:col>20</xdr:col>
      <xdr:colOff>86175</xdr:colOff>
      <xdr:row>59</xdr:row>
      <xdr:rowOff>138111</xdr:rowOff>
    </xdr:to>
    <xdr:sp macro="" textlink="">
      <xdr:nvSpPr>
        <xdr:cNvPr id="6" name="CuadroTexto 5">
          <a:extLst>
            <a:ext uri="{FF2B5EF4-FFF2-40B4-BE49-F238E27FC236}">
              <a16:creationId xmlns:a16="http://schemas.microsoft.com/office/drawing/2014/main" id="{68C8CC2B-8F70-40BC-A275-18F040533731}"/>
            </a:ext>
          </a:extLst>
        </xdr:cNvPr>
        <xdr:cNvSpPr txBox="1"/>
      </xdr:nvSpPr>
      <xdr:spPr>
        <a:xfrm>
          <a:off x="3082632" y="9070180"/>
          <a:ext cx="16198323" cy="2728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L" sz="1400" b="1">
              <a:solidFill>
                <a:srgbClr val="112D86"/>
              </a:solidFill>
              <a:latin typeface="Trebuchet MS" panose="020B0603020202020204" pitchFamily="34" charset="0"/>
            </a:rPr>
            <a:t>Proyectos</a:t>
          </a:r>
          <a:r>
            <a:rPr lang="es-CL" sz="1400" b="1" baseline="0">
              <a:solidFill>
                <a:srgbClr val="112D86"/>
              </a:solidFill>
              <a:latin typeface="Trebuchet MS" panose="020B0603020202020204" pitchFamily="34" charset="0"/>
            </a:rPr>
            <a:t> Terminados - Rezagados (USD)</a:t>
          </a:r>
          <a:r>
            <a:rPr lang="es-CL" sz="1400" b="1">
              <a:solidFill>
                <a:srgbClr val="112D86"/>
              </a:solidFill>
              <a:latin typeface="Trebuchet MS" panose="020B0603020202020204" pitchFamily="34" charset="0"/>
            </a:rPr>
            <a:t> </a:t>
          </a:r>
        </a:p>
      </xdr:txBody>
    </xdr:sp>
    <xdr:clientData/>
  </xdr:twoCellAnchor>
  <xdr:twoCellAnchor>
    <xdr:from>
      <xdr:col>2</xdr:col>
      <xdr:colOff>26034</xdr:colOff>
      <xdr:row>68</xdr:row>
      <xdr:rowOff>0</xdr:rowOff>
    </xdr:from>
    <xdr:to>
      <xdr:col>20</xdr:col>
      <xdr:colOff>93875</xdr:colOff>
      <xdr:row>69</xdr:row>
      <xdr:rowOff>116680</xdr:rowOff>
    </xdr:to>
    <xdr:sp macro="" textlink="">
      <xdr:nvSpPr>
        <xdr:cNvPr id="7" name="CuadroTexto 8">
          <a:extLst>
            <a:ext uri="{FF2B5EF4-FFF2-40B4-BE49-F238E27FC236}">
              <a16:creationId xmlns:a16="http://schemas.microsoft.com/office/drawing/2014/main" id="{F0DAF720-6038-49BE-ACF7-D9653CA5BC58}"/>
            </a:ext>
          </a:extLst>
        </xdr:cNvPr>
        <xdr:cNvSpPr txBox="1"/>
      </xdr:nvSpPr>
      <xdr:spPr>
        <a:xfrm>
          <a:off x="3081654" y="10805160"/>
          <a:ext cx="16207001" cy="26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L" sz="1400" b="1">
              <a:solidFill>
                <a:srgbClr val="112D86"/>
              </a:solidFill>
              <a:latin typeface="Trebuchet MS" panose="020B0603020202020204" pitchFamily="34" charset="0"/>
            </a:rPr>
            <a:t>Proyectos</a:t>
          </a:r>
          <a:r>
            <a:rPr lang="es-CL" sz="1400" b="1" baseline="0">
              <a:solidFill>
                <a:srgbClr val="112D86"/>
              </a:solidFill>
              <a:latin typeface="Trebuchet MS" panose="020B0603020202020204" pitchFamily="34" charset="0"/>
            </a:rPr>
            <a:t> Adjudicados- Sin Contrato (USD)</a:t>
          </a:r>
          <a:r>
            <a:rPr lang="es-CL" sz="1400" b="1">
              <a:solidFill>
                <a:srgbClr val="112D86"/>
              </a:solidFill>
              <a:latin typeface="Trebuchet MS" panose="020B0603020202020204" pitchFamily="34" charset="0"/>
            </a:rPr>
            <a:t> </a:t>
          </a:r>
        </a:p>
      </xdr:txBody>
    </xdr:sp>
    <xdr:clientData/>
  </xdr:twoCellAnchor>
  <xdr:twoCellAnchor>
    <xdr:from>
      <xdr:col>3</xdr:col>
      <xdr:colOff>2200275</xdr:colOff>
      <xdr:row>17</xdr:row>
      <xdr:rowOff>66675</xdr:rowOff>
    </xdr:from>
    <xdr:to>
      <xdr:col>3</xdr:col>
      <xdr:colOff>2381250</xdr:colOff>
      <xdr:row>18</xdr:row>
      <xdr:rowOff>87382</xdr:rowOff>
    </xdr:to>
    <xdr:sp macro="" textlink="">
      <xdr:nvSpPr>
        <xdr:cNvPr id="12" name="Elipse 11">
          <a:extLst>
            <a:ext uri="{FF2B5EF4-FFF2-40B4-BE49-F238E27FC236}">
              <a16:creationId xmlns:a16="http://schemas.microsoft.com/office/drawing/2014/main" id="{4F1D3B8D-D7E2-ABBF-0E97-ACB37B55906A}"/>
            </a:ext>
          </a:extLst>
        </xdr:cNvPr>
        <xdr:cNvSpPr/>
      </xdr:nvSpPr>
      <xdr:spPr>
        <a:xfrm>
          <a:off x="6457950" y="2895600"/>
          <a:ext cx="180975" cy="173107"/>
        </a:xfrm>
        <a:prstGeom prst="ellipse">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s-CL" sz="1100"/>
        </a:p>
      </xdr:txBody>
    </xdr:sp>
    <xdr:clientData/>
  </xdr:twoCellAnchor>
  <xdr:twoCellAnchor>
    <xdr:from>
      <xdr:col>3</xdr:col>
      <xdr:colOff>2314575</xdr:colOff>
      <xdr:row>49</xdr:row>
      <xdr:rowOff>66675</xdr:rowOff>
    </xdr:from>
    <xdr:to>
      <xdr:col>3</xdr:col>
      <xdr:colOff>2495550</xdr:colOff>
      <xdr:row>50</xdr:row>
      <xdr:rowOff>87382</xdr:rowOff>
    </xdr:to>
    <xdr:sp macro="" textlink="">
      <xdr:nvSpPr>
        <xdr:cNvPr id="13" name="Elipse 12">
          <a:extLst>
            <a:ext uri="{FF2B5EF4-FFF2-40B4-BE49-F238E27FC236}">
              <a16:creationId xmlns:a16="http://schemas.microsoft.com/office/drawing/2014/main" id="{649BDEEB-5853-4B4F-A51C-075D0FB4B28B}"/>
            </a:ext>
          </a:extLst>
        </xdr:cNvPr>
        <xdr:cNvSpPr/>
      </xdr:nvSpPr>
      <xdr:spPr>
        <a:xfrm>
          <a:off x="6572250" y="8143875"/>
          <a:ext cx="180975" cy="173107"/>
        </a:xfrm>
        <a:prstGeom prst="ellipse">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s-CL" sz="1100"/>
        </a:p>
      </xdr:txBody>
    </xdr:sp>
    <xdr:clientData/>
  </xdr:twoCellAnchor>
  <xdr:twoCellAnchor>
    <xdr:from>
      <xdr:col>3</xdr:col>
      <xdr:colOff>2305050</xdr:colOff>
      <xdr:row>58</xdr:row>
      <xdr:rowOff>76200</xdr:rowOff>
    </xdr:from>
    <xdr:to>
      <xdr:col>3</xdr:col>
      <xdr:colOff>2486025</xdr:colOff>
      <xdr:row>59</xdr:row>
      <xdr:rowOff>96907</xdr:rowOff>
    </xdr:to>
    <xdr:sp macro="" textlink="">
      <xdr:nvSpPr>
        <xdr:cNvPr id="14" name="Elipse 13">
          <a:extLst>
            <a:ext uri="{FF2B5EF4-FFF2-40B4-BE49-F238E27FC236}">
              <a16:creationId xmlns:a16="http://schemas.microsoft.com/office/drawing/2014/main" id="{0EB61C70-9C0C-4A2C-8437-53A6F5E33C92}"/>
            </a:ext>
          </a:extLst>
        </xdr:cNvPr>
        <xdr:cNvSpPr/>
      </xdr:nvSpPr>
      <xdr:spPr>
        <a:xfrm>
          <a:off x="6562725" y="9001125"/>
          <a:ext cx="180975" cy="173107"/>
        </a:xfrm>
        <a:prstGeom prst="ellipse">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s-CL" sz="1100"/>
        </a:p>
      </xdr:txBody>
    </xdr:sp>
    <xdr:clientData/>
  </xdr:twoCellAnchor>
  <xdr:twoCellAnchor>
    <xdr:from>
      <xdr:col>3</xdr:col>
      <xdr:colOff>2438400</xdr:colOff>
      <xdr:row>68</xdr:row>
      <xdr:rowOff>57150</xdr:rowOff>
    </xdr:from>
    <xdr:to>
      <xdr:col>3</xdr:col>
      <xdr:colOff>2619375</xdr:colOff>
      <xdr:row>69</xdr:row>
      <xdr:rowOff>77857</xdr:rowOff>
    </xdr:to>
    <xdr:sp macro="" textlink="">
      <xdr:nvSpPr>
        <xdr:cNvPr id="15" name="Elipse 14">
          <a:extLst>
            <a:ext uri="{FF2B5EF4-FFF2-40B4-BE49-F238E27FC236}">
              <a16:creationId xmlns:a16="http://schemas.microsoft.com/office/drawing/2014/main" id="{06D8DFC6-EA76-4AE1-B32C-1426D19B6182}"/>
            </a:ext>
          </a:extLst>
        </xdr:cNvPr>
        <xdr:cNvSpPr/>
      </xdr:nvSpPr>
      <xdr:spPr>
        <a:xfrm>
          <a:off x="6696075" y="9972675"/>
          <a:ext cx="180975" cy="173107"/>
        </a:xfrm>
        <a:prstGeom prst="ellipse">
          <a:avLst/>
        </a:prstGeom>
        <a:solidFill>
          <a:srgbClr val="C00000"/>
        </a:solidFill>
        <a:ln>
          <a:solidFill>
            <a:srgbClr val="C00000"/>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s-C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380338</xdr:colOff>
      <xdr:row>2</xdr:row>
      <xdr:rowOff>38812</xdr:rowOff>
    </xdr:from>
    <xdr:to>
      <xdr:col>22</xdr:col>
      <xdr:colOff>572981</xdr:colOff>
      <xdr:row>25</xdr:row>
      <xdr:rowOff>0</xdr:rowOff>
    </xdr:to>
    <xdr:graphicFrame macro="">
      <xdr:nvGraphicFramePr>
        <xdr:cNvPr id="2" name="Gráfico 1">
          <a:extLst>
            <a:ext uri="{FF2B5EF4-FFF2-40B4-BE49-F238E27FC236}">
              <a16:creationId xmlns:a16="http://schemas.microsoft.com/office/drawing/2014/main" id="{C1F3F66F-A4BE-4CE7-B747-211FB0A4A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341046</xdr:colOff>
      <xdr:row>3</xdr:row>
      <xdr:rowOff>93239</xdr:rowOff>
    </xdr:from>
    <xdr:to>
      <xdr:col>18</xdr:col>
      <xdr:colOff>207857</xdr:colOff>
      <xdr:row>16</xdr:row>
      <xdr:rowOff>0</xdr:rowOff>
    </xdr:to>
    <xdr:sp macro="" textlink="">
      <xdr:nvSpPr>
        <xdr:cNvPr id="3" name="Rectángulo: esquinas redondeadas 2">
          <a:extLst>
            <a:ext uri="{FF2B5EF4-FFF2-40B4-BE49-F238E27FC236}">
              <a16:creationId xmlns:a16="http://schemas.microsoft.com/office/drawing/2014/main" id="{63609B6C-4B8C-4BC1-9FDC-17A4048A6BC9}"/>
            </a:ext>
          </a:extLst>
        </xdr:cNvPr>
        <xdr:cNvSpPr/>
      </xdr:nvSpPr>
      <xdr:spPr>
        <a:xfrm>
          <a:off x="16163129" y="632989"/>
          <a:ext cx="3835561" cy="2245678"/>
        </a:xfrm>
        <a:prstGeom prst="roundRect">
          <a:avLst/>
        </a:prstGeom>
        <a:noFill/>
        <a:ln w="19050">
          <a:solidFill>
            <a:srgbClr val="C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7</xdr:col>
      <xdr:colOff>910432</xdr:colOff>
      <xdr:row>36</xdr:row>
      <xdr:rowOff>29129</xdr:rowOff>
    </xdr:from>
    <xdr:to>
      <xdr:col>18</xdr:col>
      <xdr:colOff>550228</xdr:colOff>
      <xdr:row>61</xdr:row>
      <xdr:rowOff>19843</xdr:rowOff>
    </xdr:to>
    <xdr:graphicFrame macro="">
      <xdr:nvGraphicFramePr>
        <xdr:cNvPr id="4" name="Gráfico 3">
          <a:extLst>
            <a:ext uri="{FF2B5EF4-FFF2-40B4-BE49-F238E27FC236}">
              <a16:creationId xmlns:a16="http://schemas.microsoft.com/office/drawing/2014/main" id="{BB1E0A21-CBA4-47A4-80C5-AFFF0AD3F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655851</xdr:colOff>
      <xdr:row>27</xdr:row>
      <xdr:rowOff>109644</xdr:rowOff>
    </xdr:from>
    <xdr:to>
      <xdr:col>7</xdr:col>
      <xdr:colOff>686120</xdr:colOff>
      <xdr:row>42</xdr:row>
      <xdr:rowOff>44345</xdr:rowOff>
    </xdr:to>
    <xdr:graphicFrame macro="">
      <xdr:nvGraphicFramePr>
        <xdr:cNvPr id="5" name="Gráfico 4">
          <a:extLst>
            <a:ext uri="{FF2B5EF4-FFF2-40B4-BE49-F238E27FC236}">
              <a16:creationId xmlns:a16="http://schemas.microsoft.com/office/drawing/2014/main" id="{24F9DD7A-CD2D-4760-8553-C59A3C6D3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192404</xdr:colOff>
      <xdr:row>62</xdr:row>
      <xdr:rowOff>37624</xdr:rowOff>
    </xdr:from>
    <xdr:to>
      <xdr:col>13</xdr:col>
      <xdr:colOff>231297</xdr:colOff>
      <xdr:row>87</xdr:row>
      <xdr:rowOff>26434</xdr:rowOff>
    </xdr:to>
    <xdr:graphicFrame macro="">
      <xdr:nvGraphicFramePr>
        <xdr:cNvPr id="7" name="Gráfico 6">
          <a:extLst>
            <a:ext uri="{FF2B5EF4-FFF2-40B4-BE49-F238E27FC236}">
              <a16:creationId xmlns:a16="http://schemas.microsoft.com/office/drawing/2014/main" id="{A8C60A6E-5272-41BE-A4E5-C364998BA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7</xdr:row>
      <xdr:rowOff>0</xdr:rowOff>
    </xdr:from>
    <xdr:to>
      <xdr:col>13</xdr:col>
      <xdr:colOff>152400</xdr:colOff>
      <xdr:row>7</xdr:row>
      <xdr:rowOff>152400</xdr:rowOff>
    </xdr:to>
    <xdr:pic>
      <xdr:nvPicPr>
        <xdr:cNvPr id="3" name="Imagen 1" descr="​icono de xlsx">
          <a:extLst>
            <a:ext uri="{FF2B5EF4-FFF2-40B4-BE49-F238E27FC236}">
              <a16:creationId xmlns:a16="http://schemas.microsoft.com/office/drawing/2014/main" id="{88A788E2-4CDE-3F63-7DD3-8B030B5C5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0" y="1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17</xdr:row>
      <xdr:rowOff>0</xdr:rowOff>
    </xdr:from>
    <xdr:to>
      <xdr:col>13</xdr:col>
      <xdr:colOff>152400</xdr:colOff>
      <xdr:row>17</xdr:row>
      <xdr:rowOff>152400</xdr:rowOff>
    </xdr:to>
    <xdr:pic>
      <xdr:nvPicPr>
        <xdr:cNvPr id="4" name="Imagen 2" descr="​icono de xlsx">
          <a:extLst>
            <a:ext uri="{FF2B5EF4-FFF2-40B4-BE49-F238E27FC236}">
              <a16:creationId xmlns:a16="http://schemas.microsoft.com/office/drawing/2014/main" id="{366F9839-37FB-4F7F-1743-B6DBEE24C5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0" y="57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18</xdr:row>
      <xdr:rowOff>0</xdr:rowOff>
    </xdr:from>
    <xdr:to>
      <xdr:col>13</xdr:col>
      <xdr:colOff>152400</xdr:colOff>
      <xdr:row>18</xdr:row>
      <xdr:rowOff>152400</xdr:rowOff>
    </xdr:to>
    <xdr:pic>
      <xdr:nvPicPr>
        <xdr:cNvPr id="10" name="Imagen 6" descr="​icono de xlsx">
          <a:extLst>
            <a:ext uri="{FF2B5EF4-FFF2-40B4-BE49-F238E27FC236}">
              <a16:creationId xmlns:a16="http://schemas.microsoft.com/office/drawing/2014/main" id="{3BBBB947-9383-F3C6-7789-C803719E48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152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20</xdr:row>
      <xdr:rowOff>0</xdr:rowOff>
    </xdr:from>
    <xdr:to>
      <xdr:col>13</xdr:col>
      <xdr:colOff>152400</xdr:colOff>
      <xdr:row>20</xdr:row>
      <xdr:rowOff>152400</xdr:rowOff>
    </xdr:to>
    <xdr:pic>
      <xdr:nvPicPr>
        <xdr:cNvPr id="11" name="Imagen 7" descr="​icono de xlsx">
          <a:extLst>
            <a:ext uri="{FF2B5EF4-FFF2-40B4-BE49-F238E27FC236}">
              <a16:creationId xmlns:a16="http://schemas.microsoft.com/office/drawing/2014/main" id="{23162FB8-FD4E-62F1-2DE4-2C5598CE75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190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21</xdr:row>
      <xdr:rowOff>0</xdr:rowOff>
    </xdr:from>
    <xdr:to>
      <xdr:col>13</xdr:col>
      <xdr:colOff>152400</xdr:colOff>
      <xdr:row>21</xdr:row>
      <xdr:rowOff>152400</xdr:rowOff>
    </xdr:to>
    <xdr:pic>
      <xdr:nvPicPr>
        <xdr:cNvPr id="12" name="Imagen 8" descr="​icono de xlsx">
          <a:extLst>
            <a:ext uri="{FF2B5EF4-FFF2-40B4-BE49-F238E27FC236}">
              <a16:creationId xmlns:a16="http://schemas.microsoft.com/office/drawing/2014/main" id="{A3043724-F2C8-8DA9-623F-F8DF7D11FE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209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8</xdr:row>
      <xdr:rowOff>0</xdr:rowOff>
    </xdr:from>
    <xdr:to>
      <xdr:col>13</xdr:col>
      <xdr:colOff>152400</xdr:colOff>
      <xdr:row>8</xdr:row>
      <xdr:rowOff>152400</xdr:rowOff>
    </xdr:to>
    <xdr:pic>
      <xdr:nvPicPr>
        <xdr:cNvPr id="13" name="Imagen 9" descr="​icono de xlsx">
          <a:extLst>
            <a:ext uri="{FF2B5EF4-FFF2-40B4-BE49-F238E27FC236}">
              <a16:creationId xmlns:a16="http://schemas.microsoft.com/office/drawing/2014/main" id="{13FF27D9-1EDA-8CB3-C5F6-27E7336FEA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2286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19</xdr:row>
      <xdr:rowOff>0</xdr:rowOff>
    </xdr:from>
    <xdr:to>
      <xdr:col>13</xdr:col>
      <xdr:colOff>152400</xdr:colOff>
      <xdr:row>19</xdr:row>
      <xdr:rowOff>152400</xdr:rowOff>
    </xdr:to>
    <xdr:pic>
      <xdr:nvPicPr>
        <xdr:cNvPr id="15" name="Imagen 10" descr="​icono de xlsx">
          <a:extLst>
            <a:ext uri="{FF2B5EF4-FFF2-40B4-BE49-F238E27FC236}">
              <a16:creationId xmlns:a16="http://schemas.microsoft.com/office/drawing/2014/main" id="{3F232D2A-A846-CEDE-7F13-3A9264FAC0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171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9</xdr:row>
      <xdr:rowOff>0</xdr:rowOff>
    </xdr:from>
    <xdr:to>
      <xdr:col>13</xdr:col>
      <xdr:colOff>152400</xdr:colOff>
      <xdr:row>9</xdr:row>
      <xdr:rowOff>152400</xdr:rowOff>
    </xdr:to>
    <xdr:pic>
      <xdr:nvPicPr>
        <xdr:cNvPr id="23" name="Imagen 11" descr="​icono de xlsx">
          <a:extLst>
            <a:ext uri="{FF2B5EF4-FFF2-40B4-BE49-F238E27FC236}">
              <a16:creationId xmlns:a16="http://schemas.microsoft.com/office/drawing/2014/main" id="{9496D0BB-6277-E17A-A4DD-466A9AE1C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2476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24</xdr:row>
      <xdr:rowOff>0</xdr:rowOff>
    </xdr:from>
    <xdr:to>
      <xdr:col>13</xdr:col>
      <xdr:colOff>152400</xdr:colOff>
      <xdr:row>24</xdr:row>
      <xdr:rowOff>152400</xdr:rowOff>
    </xdr:to>
    <xdr:pic>
      <xdr:nvPicPr>
        <xdr:cNvPr id="24" name="Imagen 12" descr="​icono de xlsx">
          <a:extLst>
            <a:ext uri="{FF2B5EF4-FFF2-40B4-BE49-F238E27FC236}">
              <a16:creationId xmlns:a16="http://schemas.microsoft.com/office/drawing/2014/main" id="{49A08D9F-58DD-A572-DDE4-B4344A970B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3238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26</xdr:row>
      <xdr:rowOff>0</xdr:rowOff>
    </xdr:from>
    <xdr:to>
      <xdr:col>13</xdr:col>
      <xdr:colOff>152400</xdr:colOff>
      <xdr:row>26</xdr:row>
      <xdr:rowOff>152400</xdr:rowOff>
    </xdr:to>
    <xdr:pic>
      <xdr:nvPicPr>
        <xdr:cNvPr id="25" name="Imagen 13" descr="​icono de xlsx">
          <a:extLst>
            <a:ext uri="{FF2B5EF4-FFF2-40B4-BE49-F238E27FC236}">
              <a16:creationId xmlns:a16="http://schemas.microsoft.com/office/drawing/2014/main" id="{8B9CBD1F-C35D-4D53-C98F-E2D7D567B7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3619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27</xdr:row>
      <xdr:rowOff>0</xdr:rowOff>
    </xdr:from>
    <xdr:to>
      <xdr:col>13</xdr:col>
      <xdr:colOff>152400</xdr:colOff>
      <xdr:row>27</xdr:row>
      <xdr:rowOff>152400</xdr:rowOff>
    </xdr:to>
    <xdr:pic>
      <xdr:nvPicPr>
        <xdr:cNvPr id="26" name="Imagen 14" descr="​icono de xlsx">
          <a:extLst>
            <a:ext uri="{FF2B5EF4-FFF2-40B4-BE49-F238E27FC236}">
              <a16:creationId xmlns:a16="http://schemas.microsoft.com/office/drawing/2014/main" id="{AC51F906-E391-A273-8765-1C93589AEB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381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30</xdr:row>
      <xdr:rowOff>0</xdr:rowOff>
    </xdr:from>
    <xdr:to>
      <xdr:col>13</xdr:col>
      <xdr:colOff>152400</xdr:colOff>
      <xdr:row>30</xdr:row>
      <xdr:rowOff>152400</xdr:rowOff>
    </xdr:to>
    <xdr:pic>
      <xdr:nvPicPr>
        <xdr:cNvPr id="27" name="Imagen 15" descr="​icono de xlsx">
          <a:extLst>
            <a:ext uri="{FF2B5EF4-FFF2-40B4-BE49-F238E27FC236}">
              <a16:creationId xmlns:a16="http://schemas.microsoft.com/office/drawing/2014/main" id="{4179C1A9-0CCE-42D7-5302-E40221E48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438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31</xdr:row>
      <xdr:rowOff>0</xdr:rowOff>
    </xdr:from>
    <xdr:to>
      <xdr:col>13</xdr:col>
      <xdr:colOff>152400</xdr:colOff>
      <xdr:row>31</xdr:row>
      <xdr:rowOff>152400</xdr:rowOff>
    </xdr:to>
    <xdr:pic>
      <xdr:nvPicPr>
        <xdr:cNvPr id="28" name="Imagen 16" descr="​icono de xlsx">
          <a:extLst>
            <a:ext uri="{FF2B5EF4-FFF2-40B4-BE49-F238E27FC236}">
              <a16:creationId xmlns:a16="http://schemas.microsoft.com/office/drawing/2014/main" id="{AB60E4FD-35EB-4903-6051-8B17BFDBBD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457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32</xdr:row>
      <xdr:rowOff>0</xdr:rowOff>
    </xdr:from>
    <xdr:to>
      <xdr:col>13</xdr:col>
      <xdr:colOff>152400</xdr:colOff>
      <xdr:row>32</xdr:row>
      <xdr:rowOff>152400</xdr:rowOff>
    </xdr:to>
    <xdr:pic>
      <xdr:nvPicPr>
        <xdr:cNvPr id="29" name="Imagen 17" descr="​icono de xlsx">
          <a:extLst>
            <a:ext uri="{FF2B5EF4-FFF2-40B4-BE49-F238E27FC236}">
              <a16:creationId xmlns:a16="http://schemas.microsoft.com/office/drawing/2014/main" id="{978E4FD0-4FDF-9B38-B040-0F1CC25078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476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34</xdr:row>
      <xdr:rowOff>0</xdr:rowOff>
    </xdr:from>
    <xdr:to>
      <xdr:col>13</xdr:col>
      <xdr:colOff>152400</xdr:colOff>
      <xdr:row>34</xdr:row>
      <xdr:rowOff>152400</xdr:rowOff>
    </xdr:to>
    <xdr:pic>
      <xdr:nvPicPr>
        <xdr:cNvPr id="30" name="Imagen 18" descr="​icono de xlsx">
          <a:extLst>
            <a:ext uri="{FF2B5EF4-FFF2-40B4-BE49-F238E27FC236}">
              <a16:creationId xmlns:a16="http://schemas.microsoft.com/office/drawing/2014/main" id="{3758720F-9404-ADBF-4D28-5409FB955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514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35</xdr:row>
      <xdr:rowOff>0</xdr:rowOff>
    </xdr:from>
    <xdr:to>
      <xdr:col>13</xdr:col>
      <xdr:colOff>152400</xdr:colOff>
      <xdr:row>35</xdr:row>
      <xdr:rowOff>152400</xdr:rowOff>
    </xdr:to>
    <xdr:pic>
      <xdr:nvPicPr>
        <xdr:cNvPr id="31" name="Imagen 19" descr="​icono de xlsx">
          <a:extLst>
            <a:ext uri="{FF2B5EF4-FFF2-40B4-BE49-F238E27FC236}">
              <a16:creationId xmlns:a16="http://schemas.microsoft.com/office/drawing/2014/main" id="{60795EEE-BD57-BF5B-677D-19BD9A8D38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5334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38</xdr:row>
      <xdr:rowOff>0</xdr:rowOff>
    </xdr:from>
    <xdr:to>
      <xdr:col>13</xdr:col>
      <xdr:colOff>152400</xdr:colOff>
      <xdr:row>38</xdr:row>
      <xdr:rowOff>152400</xdr:rowOff>
    </xdr:to>
    <xdr:pic>
      <xdr:nvPicPr>
        <xdr:cNvPr id="32" name="Imagen 20" descr="​icono de xlsx">
          <a:extLst>
            <a:ext uri="{FF2B5EF4-FFF2-40B4-BE49-F238E27FC236}">
              <a16:creationId xmlns:a16="http://schemas.microsoft.com/office/drawing/2014/main" id="{35B833C7-8C5F-375B-26AF-269F25EFAF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590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12</xdr:row>
      <xdr:rowOff>0</xdr:rowOff>
    </xdr:from>
    <xdr:to>
      <xdr:col>13</xdr:col>
      <xdr:colOff>152400</xdr:colOff>
      <xdr:row>12</xdr:row>
      <xdr:rowOff>152400</xdr:rowOff>
    </xdr:to>
    <xdr:pic>
      <xdr:nvPicPr>
        <xdr:cNvPr id="33" name="Imagen 21" descr="​icono de xlsx">
          <a:extLst>
            <a:ext uri="{FF2B5EF4-FFF2-40B4-BE49-F238E27FC236}">
              <a16:creationId xmlns:a16="http://schemas.microsoft.com/office/drawing/2014/main" id="{0C5EAC9F-BFAC-FABA-7204-2364848FC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647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13</xdr:row>
      <xdr:rowOff>0</xdr:rowOff>
    </xdr:from>
    <xdr:to>
      <xdr:col>13</xdr:col>
      <xdr:colOff>152400</xdr:colOff>
      <xdr:row>13</xdr:row>
      <xdr:rowOff>152400</xdr:rowOff>
    </xdr:to>
    <xdr:pic>
      <xdr:nvPicPr>
        <xdr:cNvPr id="34" name="Imagen 22" descr="​icono de xlsx">
          <a:extLst>
            <a:ext uri="{FF2B5EF4-FFF2-40B4-BE49-F238E27FC236}">
              <a16:creationId xmlns:a16="http://schemas.microsoft.com/office/drawing/2014/main" id="{1083366F-67B8-A2EB-6B72-EF0872B8EA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7000" y="666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22</xdr:row>
      <xdr:rowOff>0</xdr:rowOff>
    </xdr:from>
    <xdr:to>
      <xdr:col>13</xdr:col>
      <xdr:colOff>152400</xdr:colOff>
      <xdr:row>22</xdr:row>
      <xdr:rowOff>152400</xdr:rowOff>
    </xdr:to>
    <xdr:pic>
      <xdr:nvPicPr>
        <xdr:cNvPr id="2" name="Imagen 1" descr="​icono de xlsx">
          <a:extLst>
            <a:ext uri="{FF2B5EF4-FFF2-40B4-BE49-F238E27FC236}">
              <a16:creationId xmlns:a16="http://schemas.microsoft.com/office/drawing/2014/main" id="{53CEF143-273E-FC9E-693A-3032BF979C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307657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redcoglobalcl.sharepoint.com/sites/GestinREDCO/Shared%20Documents/General/Registro%20de%20Proyectos.xlsx" TargetMode="External"/><Relationship Id="rId1" Type="http://schemas.openxmlformats.org/officeDocument/2006/relationships/externalLinkPath" Target="https://redcoglobalcl.sharepoint.com/sites/GestinREDCO/Shared%20Documents/General/Registro%20de%20Proyect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redcoglobalcl.sharepoint.com/sites/GestinREDCO/Shared%20Documents/General/POM%20Septiembre%202023%20REDCO_Buckup.xlsx" TargetMode="External"/><Relationship Id="rId1" Type="http://schemas.openxmlformats.org/officeDocument/2006/relationships/externalLinkPath" Target="https://redcoglobalcl.sharepoint.com/sites/GestinREDCO/Shared%20Documents/General/POM%20Septiembre%202023%20REDCO_Buckup.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redcoglobalcl.sharepoint.com/sites/GestinREDCO/Shared%20Documents/General/Control%20de%20horas/Origen%20de%20informaci&#243;n/POM%20Plan%20operativo%20mensual/POM%20Diciembre%202024.xlsx" TargetMode="External"/><Relationship Id="rId1" Type="http://schemas.openxmlformats.org/officeDocument/2006/relationships/externalLinkPath" Target="https://redcoglobalcl.sharepoint.com/sites/GestinREDCO/Shared%20Documents/General/Control%20de%20horas/Origen%20de%20informaci&#243;n/POM%20Plan%20operativo%20mensual/POM%20Diciembre%20202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redcoglobalcl.sharepoint.com/sites/GestinREDCO/Shared%20Documents/General/Control%20de%20horas/Origen%20de%20informaci&#243;n/POM%20Plan%20operativo%20mensual/POM%20Febrero%202025.xlsx" TargetMode="External"/><Relationship Id="rId1" Type="http://schemas.openxmlformats.org/officeDocument/2006/relationships/externalLinkPath" Target="https://redcoglobalcl.sharepoint.com/sites/GestinREDCO/Shared%20Documents/General/Control%20de%20horas/Origen%20de%20informaci&#243;n/POM%20Plan%20operativo%20mensual/POM%20Febrero%20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redcoglobalcl.sharepoint.com/sites/GestinREDCO/Shared%20Documents/General/Control%20de%20horas/Origen%20de%20informaci&#243;n/POM%20Plan%20operativo%20mensual/POM%20Diciembre%202025.xlsx" TargetMode="External"/><Relationship Id="rId1" Type="http://schemas.openxmlformats.org/officeDocument/2006/relationships/externalLinkPath" Target="https://redcoglobalcl.sharepoint.com/sites/GestinREDCO/Shared%20Documents/General/Control%20de%20horas/Origen%20de%20informaci&#243;n/POM%20Plan%20operativo%20mensual/POM%20Diciembre%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NiFLNqqH3UiNQ52w4MjHkaJekJNSkitOjf-Us92CSmxxGzt9tJH6TI48Zmid9mwi" itemId="01X4HTLNCMVR5IX53OFBFKQNG4BGLQPHFN">
      <xxl21:absoluteUrl r:id="rId2"/>
    </xxl21:alternateUrls>
    <sheetNames>
      <sheetName val="Hoja1"/>
      <sheetName val="Códigos"/>
      <sheetName val="Índice de Planillas"/>
      <sheetName val="Proyectos (NO FILTRAR)"/>
      <sheetName val="Proyectos Manejo de información"/>
      <sheetName val="Tabla Resumen"/>
      <sheetName val="Hoja Base"/>
    </sheetNames>
    <sheetDataSet>
      <sheetData sheetId="0"/>
      <sheetData sheetId="1"/>
      <sheetData sheetId="2"/>
      <sheetData sheetId="3">
        <row r="2">
          <cell r="B2" t="str">
            <v>Código Total</v>
          </cell>
          <cell r="F2" t="str">
            <v>Proyecto Contrato Original</v>
          </cell>
          <cell r="G2" t="str">
            <v>Pais</v>
          </cell>
          <cell r="I2" t="str">
            <v>Cliente</v>
          </cell>
          <cell r="O2" t="str">
            <v>Monto Total
(US$)</v>
          </cell>
          <cell r="AA2" t="str">
            <v>Director</v>
          </cell>
        </row>
        <row r="3">
          <cell r="B3" t="str">
            <v>CH-CMP-OU-FEL00-001-A</v>
          </cell>
          <cell r="F3" t="str">
            <v>Adrianita -Raúl</v>
          </cell>
          <cell r="G3" t="str">
            <v>Chile</v>
          </cell>
          <cell r="I3" t="str">
            <v>CMP</v>
          </cell>
          <cell r="O3">
            <v>179433</v>
          </cell>
        </row>
        <row r="4">
          <cell r="B4" t="str">
            <v>CH-CMP-OT-FEL00-001-B</v>
          </cell>
          <cell r="F4" t="str">
            <v>Adrianita -Raúl</v>
          </cell>
          <cell r="G4" t="str">
            <v>Chile</v>
          </cell>
          <cell r="I4" t="str">
            <v>CMP</v>
          </cell>
          <cell r="O4">
            <v>52447</v>
          </cell>
        </row>
        <row r="5">
          <cell r="B5" t="str">
            <v>CH-CMP-OT-FEL03-002-A</v>
          </cell>
          <cell r="F5" t="str">
            <v>Algarrobo</v>
          </cell>
          <cell r="G5" t="str">
            <v>Chile</v>
          </cell>
          <cell r="I5" t="str">
            <v>CMP</v>
          </cell>
          <cell r="O5">
            <v>443032</v>
          </cell>
          <cell r="AA5" t="str">
            <v>Felipe Rojas</v>
          </cell>
        </row>
        <row r="6">
          <cell r="B6" t="str">
            <v>CH-BHP-CD-OTR00-003-A</v>
          </cell>
          <cell r="F6" t="str">
            <v>NO_ESPECIFICADO</v>
          </cell>
          <cell r="G6" t="str">
            <v>Chile</v>
          </cell>
          <cell r="I6" t="str">
            <v>BHP</v>
          </cell>
          <cell r="O6">
            <v>50688</v>
          </cell>
        </row>
        <row r="7">
          <cell r="B7" t="str">
            <v>CH-LUN-CS-OTR00-004-A</v>
          </cell>
          <cell r="F7" t="str">
            <v>Candelaria (Estandar y Planificacion)</v>
          </cell>
          <cell r="G7" t="str">
            <v>Chile</v>
          </cell>
          <cell r="I7" t="str">
            <v>Lundin</v>
          </cell>
          <cell r="O7">
            <v>260550</v>
          </cell>
        </row>
        <row r="8">
          <cell r="B8" t="str">
            <v>CH-LUN-GM-OTR00-005-A</v>
          </cell>
          <cell r="F8" t="str">
            <v>Pilares Mineros - Candelaria</v>
          </cell>
          <cell r="G8" t="str">
            <v>Chile</v>
          </cell>
          <cell r="I8" t="str">
            <v>Lundin</v>
          </cell>
          <cell r="O8">
            <v>74080</v>
          </cell>
        </row>
        <row r="9">
          <cell r="B9" t="str">
            <v>CH-CMP-CS-OTR00-006-A</v>
          </cell>
          <cell r="F9" t="str">
            <v>CMP Estandar Planificación</v>
          </cell>
          <cell r="G9" t="str">
            <v>Chile</v>
          </cell>
          <cell r="I9" t="str">
            <v>CMP</v>
          </cell>
          <cell r="O9">
            <v>296990</v>
          </cell>
        </row>
        <row r="10">
          <cell r="B10" t="str">
            <v>CH-LUN-CS-OTR00-007-A</v>
          </cell>
          <cell r="F10" t="str">
            <v>Diagnóstico Operacional Candelaria</v>
          </cell>
          <cell r="G10" t="str">
            <v>Chile</v>
          </cell>
          <cell r="I10" t="str">
            <v>Lundin</v>
          </cell>
          <cell r="O10">
            <v>183024</v>
          </cell>
        </row>
        <row r="11">
          <cell r="B11" t="str">
            <v>PE-MSR-UG-FEL03-008-A</v>
          </cell>
          <cell r="F11" t="str">
            <v>Actualización Lom Raura</v>
          </cell>
          <cell r="G11" t="str">
            <v>Perú</v>
          </cell>
          <cell r="I11" t="str">
            <v>Minsur</v>
          </cell>
          <cell r="O11">
            <v>165237</v>
          </cell>
        </row>
        <row r="12">
          <cell r="B12" t="str">
            <v>PE-MSR-OT-OTR00-009-A</v>
          </cell>
          <cell r="F12" t="str">
            <v>AESA Rendimientos</v>
          </cell>
          <cell r="G12" t="str">
            <v>Perú</v>
          </cell>
          <cell r="I12" t="str">
            <v>Minsur</v>
          </cell>
          <cell r="O12">
            <v>45815</v>
          </cell>
        </row>
        <row r="13">
          <cell r="B13" t="str">
            <v>CH-CMP-OP-FEL03-010-A</v>
          </cell>
          <cell r="F13" t="str">
            <v>LOM CNN 2023</v>
          </cell>
          <cell r="G13" t="str">
            <v>Chile</v>
          </cell>
          <cell r="I13" t="str">
            <v>CMP</v>
          </cell>
          <cell r="O13">
            <v>40859.57</v>
          </cell>
        </row>
        <row r="14">
          <cell r="B14" t="str">
            <v>CH-CMP-OP-FEL03-011-A</v>
          </cell>
          <cell r="F14" t="str">
            <v>LOM MLC 2023</v>
          </cell>
          <cell r="G14" t="str">
            <v>Chile</v>
          </cell>
          <cell r="I14" t="str">
            <v>CMP</v>
          </cell>
          <cell r="O14">
            <v>27860.87</v>
          </cell>
        </row>
        <row r="15">
          <cell r="B15" t="str">
            <v>CH-GLE-OP-FEL01-012-A</v>
          </cell>
          <cell r="F15" t="str">
            <v>Lomas Bayas - LoA24</v>
          </cell>
          <cell r="G15" t="str">
            <v>Chile</v>
          </cell>
          <cell r="I15" t="str">
            <v>Glencore</v>
          </cell>
          <cell r="O15">
            <v>294845.56</v>
          </cell>
        </row>
        <row r="16">
          <cell r="B16" t="str">
            <v>CH-FLU-CD-OTR00-013-A</v>
          </cell>
          <cell r="F16" t="str">
            <v>MARA - Simulación Sistema Manejo Estéril</v>
          </cell>
          <cell r="G16" t="str">
            <v>Chile</v>
          </cell>
          <cell r="I16" t="str">
            <v>Fluor</v>
          </cell>
          <cell r="O16">
            <v>67800</v>
          </cell>
        </row>
        <row r="17">
          <cell r="B17" t="str">
            <v>CH-AMS-OP-FEL01-014-A</v>
          </cell>
          <cell r="F17" t="str">
            <v>Pelambres</v>
          </cell>
          <cell r="G17" t="str">
            <v>Chile</v>
          </cell>
          <cell r="I17" t="str">
            <v>AMSA</v>
          </cell>
          <cell r="O17">
            <v>369697.48</v>
          </cell>
        </row>
        <row r="18">
          <cell r="B18" t="str">
            <v>RU-OTR-UG-FEL2A-015-A</v>
          </cell>
          <cell r="F18" t="str">
            <v>NorGold</v>
          </cell>
          <cell r="G18" t="str">
            <v>Rusia</v>
          </cell>
          <cell r="I18" t="str">
            <v>Otro</v>
          </cell>
          <cell r="O18">
            <v>45656</v>
          </cell>
        </row>
        <row r="19">
          <cell r="B19" t="str">
            <v>RU-OTR-GM-FEL01-016-A</v>
          </cell>
          <cell r="F19" t="str">
            <v>NORILSK1-FS</v>
          </cell>
          <cell r="G19" t="str">
            <v>Rusia</v>
          </cell>
          <cell r="I19" t="str">
            <v>Otro</v>
          </cell>
          <cell r="O19">
            <v>180263</v>
          </cell>
        </row>
        <row r="20">
          <cell r="B20" t="str">
            <v>RU-OTR-GM-FEL01-017-A</v>
          </cell>
          <cell r="F20" t="str">
            <v>OKT-NFM-FS</v>
          </cell>
          <cell r="G20" t="str">
            <v>Rusia</v>
          </cell>
          <cell r="I20" t="str">
            <v>Otro</v>
          </cell>
          <cell r="O20">
            <v>123973</v>
          </cell>
        </row>
        <row r="21">
          <cell r="B21" t="str">
            <v>CH-COD-UG-OTR00-003-B</v>
          </cell>
          <cell r="F21" t="str">
            <v>NO_ESPECIFICADO</v>
          </cell>
          <cell r="G21" t="str">
            <v>Chile</v>
          </cell>
          <cell r="I21" t="str">
            <v>Codelco</v>
          </cell>
          <cell r="O21">
            <v>92002.260000000009</v>
          </cell>
        </row>
        <row r="22">
          <cell r="B22" t="str">
            <v>CH-CMP-OP-OTR00-018-A</v>
          </cell>
          <cell r="F22" t="str">
            <v>Romeral</v>
          </cell>
          <cell r="G22" t="str">
            <v>Chile</v>
          </cell>
          <cell r="I22" t="str">
            <v>CMP</v>
          </cell>
          <cell r="O22">
            <v>442325</v>
          </cell>
          <cell r="AA22" t="str">
            <v>Ricardo Miranda</v>
          </cell>
        </row>
        <row r="23">
          <cell r="B23" t="str">
            <v>PE-MSR-OT-OTR00-019-A</v>
          </cell>
          <cell r="F23" t="str">
            <v>Compilación de  R&amp;R</v>
          </cell>
          <cell r="G23" t="str">
            <v>Perú</v>
          </cell>
          <cell r="I23" t="str">
            <v>Minsur</v>
          </cell>
          <cell r="O23">
            <v>130565.63500000001</v>
          </cell>
        </row>
        <row r="24">
          <cell r="B24" t="str">
            <v>CH-BHP-CD-OTR00-020-A</v>
          </cell>
          <cell r="F24" t="str">
            <v>MEL</v>
          </cell>
          <cell r="G24" t="str">
            <v>Chile</v>
          </cell>
          <cell r="I24" t="str">
            <v>MEL</v>
          </cell>
          <cell r="O24">
            <v>79918</v>
          </cell>
        </row>
        <row r="25">
          <cell r="B25" t="str">
            <v>PE-SME-UG-OTR00-021-A</v>
          </cell>
          <cell r="F25" t="str">
            <v>ITS Yauricocha</v>
          </cell>
          <cell r="G25" t="str">
            <v>Perú</v>
          </cell>
          <cell r="I25" t="str">
            <v>Sierra metals</v>
          </cell>
          <cell r="O25">
            <v>18991</v>
          </cell>
        </row>
        <row r="26">
          <cell r="B26" t="str">
            <v>PE-MMG-OU-FEL00-022-A</v>
          </cell>
          <cell r="F26" t="str">
            <v>LasBambas_Ferrobamba_OP_UG</v>
          </cell>
          <cell r="G26" t="str">
            <v>Perú</v>
          </cell>
          <cell r="I26" t="str">
            <v>MMG Las Bambas</v>
          </cell>
          <cell r="O26">
            <v>165789</v>
          </cell>
          <cell r="AA26" t="str">
            <v>Matias Fuentes</v>
          </cell>
        </row>
        <row r="27">
          <cell r="B27" t="str">
            <v>PE-CSC-UG-FEL2A-023-A</v>
          </cell>
          <cell r="F27" t="str">
            <v>PFS Los Calatos</v>
          </cell>
          <cell r="G27" t="str">
            <v>Perú</v>
          </cell>
          <cell r="I27" t="str">
            <v>CD Capital</v>
          </cell>
          <cell r="O27">
            <v>917313</v>
          </cell>
          <cell r="AA27" t="str">
            <v>Alex Figueroa</v>
          </cell>
        </row>
        <row r="28">
          <cell r="B28" t="str">
            <v>PE-MSR-OP-OTR00-024-A</v>
          </cell>
          <cell r="F28" t="str">
            <v>Marcobre - Minajusta</v>
          </cell>
          <cell r="G28" t="str">
            <v>Perú</v>
          </cell>
          <cell r="I28" t="str">
            <v>Minsur</v>
          </cell>
          <cell r="O28">
            <v>137832</v>
          </cell>
        </row>
        <row r="29">
          <cell r="B29" t="str">
            <v>CH-CMP-OT-OTR00-002-B</v>
          </cell>
          <cell r="F29" t="str">
            <v>Algarrobo</v>
          </cell>
          <cell r="G29" t="str">
            <v>Chile</v>
          </cell>
          <cell r="I29" t="str">
            <v>CMP</v>
          </cell>
          <cell r="O29">
            <v>182615</v>
          </cell>
        </row>
        <row r="30">
          <cell r="B30" t="str">
            <v>CH-CMP-OT-OTR00-002-C</v>
          </cell>
          <cell r="F30" t="str">
            <v>Algarrobo</v>
          </cell>
          <cell r="G30" t="str">
            <v>Chile</v>
          </cell>
          <cell r="I30" t="str">
            <v>CMP</v>
          </cell>
          <cell r="O30">
            <v>58723</v>
          </cell>
        </row>
        <row r="31">
          <cell r="B31" t="str">
            <v>CH-CMP-OT-OTR00-025-A</v>
          </cell>
          <cell r="F31" t="str">
            <v>RDP</v>
          </cell>
          <cell r="G31" t="str">
            <v>Chile</v>
          </cell>
          <cell r="I31" t="str">
            <v>CMP</v>
          </cell>
          <cell r="O31">
            <v>44990</v>
          </cell>
        </row>
        <row r="32">
          <cell r="B32" t="str">
            <v>BR-MOS-OU-FEL03-026-A</v>
          </cell>
          <cell r="F32" t="str">
            <v>Mosaic_Cajati</v>
          </cell>
          <cell r="G32" t="str">
            <v>Brasil</v>
          </cell>
          <cell r="I32" t="str">
            <v>Mosaic</v>
          </cell>
          <cell r="O32">
            <v>555021</v>
          </cell>
          <cell r="AA32" t="str">
            <v>Alex Figueroa</v>
          </cell>
        </row>
        <row r="33">
          <cell r="B33" t="str">
            <v>BR-NEX-UG-FEL2A-027-A</v>
          </cell>
          <cell r="F33" t="str">
            <v>NEXA_FEL2 Aripuana</v>
          </cell>
          <cell r="G33" t="str">
            <v>Brasil</v>
          </cell>
          <cell r="I33" t="str">
            <v>Nexa</v>
          </cell>
          <cell r="O33">
            <v>203609</v>
          </cell>
          <cell r="AA33" t="str">
            <v>Alex Figueroa</v>
          </cell>
        </row>
        <row r="34">
          <cell r="B34" t="str">
            <v>BR-MOS-UG-FEL01-028-A</v>
          </cell>
          <cell r="F34" t="str">
            <v>Mosaic_Taquari Vassouras</v>
          </cell>
          <cell r="G34" t="str">
            <v>Brasil</v>
          </cell>
          <cell r="I34" t="str">
            <v>Mosaic</v>
          </cell>
          <cell r="O34">
            <v>284633</v>
          </cell>
          <cell r="AA34" t="str">
            <v>Alex Figueroa</v>
          </cell>
        </row>
        <row r="35">
          <cell r="B35" t="str">
            <v>CH-AMS-CS-OTR00-029-A</v>
          </cell>
          <cell r="F35" t="str">
            <v>AMSA_Planificacion</v>
          </cell>
          <cell r="G35" t="str">
            <v>Chile</v>
          </cell>
          <cell r="I35" t="str">
            <v>AMSA</v>
          </cell>
          <cell r="O35">
            <v>427230</v>
          </cell>
          <cell r="AA35" t="str">
            <v>Felipe Rojas</v>
          </cell>
        </row>
        <row r="36">
          <cell r="B36" t="str">
            <v>CH-COD-OT-OTR00-030-A</v>
          </cell>
          <cell r="F36" t="str">
            <v>Codelco_Capacitacion Deswik DET</v>
          </cell>
          <cell r="G36" t="str">
            <v>Chile</v>
          </cell>
          <cell r="I36" t="str">
            <v>Codelco</v>
          </cell>
          <cell r="O36">
            <v>75000</v>
          </cell>
          <cell r="AA36" t="str">
            <v>Mauricio Melendez</v>
          </cell>
        </row>
        <row r="37">
          <cell r="B37" t="str">
            <v>CH-COD-UG-FEL01-031-A</v>
          </cell>
          <cell r="F37" t="str">
            <v>Codelco_Falla Oeste</v>
          </cell>
          <cell r="G37" t="str">
            <v>Chile</v>
          </cell>
          <cell r="I37" t="str">
            <v>Codelco</v>
          </cell>
          <cell r="O37">
            <v>93503</v>
          </cell>
        </row>
        <row r="38">
          <cell r="B38" t="str">
            <v>CH-COD-UG-FEL01-032-A</v>
          </cell>
          <cell r="F38" t="str">
            <v>Codelco_Panel Central</v>
          </cell>
          <cell r="G38" t="str">
            <v>Chile</v>
          </cell>
          <cell r="I38" t="str">
            <v>Codelco</v>
          </cell>
          <cell r="O38">
            <v>87154</v>
          </cell>
        </row>
        <row r="39">
          <cell r="B39" t="str">
            <v>CH-CMP-OU-FEL2A-033-A</v>
          </cell>
          <cell r="F39" t="str">
            <v>CMP - FEL 2A</v>
          </cell>
          <cell r="G39" t="str">
            <v>Chile</v>
          </cell>
          <cell r="I39" t="str">
            <v>CMP</v>
          </cell>
          <cell r="O39">
            <v>540939</v>
          </cell>
          <cell r="AA39" t="str">
            <v>Alex Figueroa</v>
          </cell>
        </row>
        <row r="40">
          <cell r="B40" t="str">
            <v>CH-CMP-OU-FEL2A-033-B</v>
          </cell>
          <cell r="F40" t="str">
            <v>CMP - FEL 2A</v>
          </cell>
          <cell r="G40" t="str">
            <v>Chile</v>
          </cell>
          <cell r="I40" t="str">
            <v>CMP</v>
          </cell>
          <cell r="O40">
            <v>46513</v>
          </cell>
          <cell r="AA40" t="str">
            <v>Alex Figueroa</v>
          </cell>
        </row>
        <row r="41">
          <cell r="B41" t="str">
            <v>CH-CSH-OP-FEL00-034-A</v>
          </cell>
          <cell r="F41" t="str">
            <v>CSH_LOM Mina Guarello</v>
          </cell>
          <cell r="G41" t="str">
            <v>Chile</v>
          </cell>
          <cell r="I41" t="str">
            <v>CSH</v>
          </cell>
          <cell r="O41">
            <v>114390</v>
          </cell>
          <cell r="AA41" t="str">
            <v>Matias Fuentes</v>
          </cell>
        </row>
        <row r="42">
          <cell r="B42" t="str">
            <v>PE-COR-UG-FEL2A-035-A</v>
          </cell>
          <cell r="F42" t="str">
            <v>MEIA Coripuno</v>
          </cell>
          <cell r="G42" t="str">
            <v>Perú</v>
          </cell>
          <cell r="I42" t="str">
            <v>Coripuno</v>
          </cell>
          <cell r="O42">
            <v>47960</v>
          </cell>
          <cell r="AA42" t="str">
            <v>Matias Fuentes</v>
          </cell>
        </row>
        <row r="43">
          <cell r="B43" t="str">
            <v>PE-MSR-UG-FEL03-036-A</v>
          </cell>
          <cell r="F43" t="str">
            <v>Minsur_Forecast_Budget24</v>
          </cell>
          <cell r="G43" t="str">
            <v>Perú</v>
          </cell>
          <cell r="I43" t="str">
            <v>Minsur</v>
          </cell>
          <cell r="O43">
            <v>65088</v>
          </cell>
        </row>
        <row r="44">
          <cell r="B44" t="str">
            <v>PE-MSR-UG-OTR00-003-C</v>
          </cell>
          <cell r="F44" t="str">
            <v>NO_ESPECIFICADO</v>
          </cell>
          <cell r="G44" t="str">
            <v>Perú</v>
          </cell>
          <cell r="I44" t="str">
            <v>Minsur</v>
          </cell>
          <cell r="O44">
            <v>14112</v>
          </cell>
        </row>
        <row r="45">
          <cell r="B45" t="str">
            <v>CH-COD-UG-FEL00-037-A</v>
          </cell>
          <cell r="F45" t="str">
            <v>Codelco_Cluster Toki</v>
          </cell>
          <cell r="G45" t="str">
            <v>Chile</v>
          </cell>
          <cell r="I45" t="str">
            <v>Codelco</v>
          </cell>
          <cell r="O45">
            <v>82787</v>
          </cell>
          <cell r="AA45" t="str">
            <v>Mauricio Melendez</v>
          </cell>
        </row>
        <row r="46">
          <cell r="B46" t="str">
            <v>CH-CMP-CS-FEL00-038-A</v>
          </cell>
          <cell r="F46" t="str">
            <v>CMP_Los Colorados Adelantamiento Planta</v>
          </cell>
          <cell r="G46" t="str">
            <v>Chile</v>
          </cell>
          <cell r="I46" t="str">
            <v>CMP</v>
          </cell>
          <cell r="O46">
            <v>92369.53</v>
          </cell>
          <cell r="AA46" t="str">
            <v>Alex Figueroa</v>
          </cell>
        </row>
        <row r="47">
          <cell r="B47" t="str">
            <v>CH-COD-UG-FEL01-039-A</v>
          </cell>
          <cell r="F47" t="str">
            <v>Codelco_Drenaje QT</v>
          </cell>
          <cell r="G47" t="str">
            <v>Chile</v>
          </cell>
          <cell r="I47" t="str">
            <v>Codelco</v>
          </cell>
          <cell r="O47">
            <v>147000</v>
          </cell>
          <cell r="AA47" t="str">
            <v>Mauricio Melendez</v>
          </cell>
        </row>
        <row r="48">
          <cell r="B48" t="str">
            <v>CH-CMP-CS-FEL00-040-A</v>
          </cell>
          <cell r="F48" t="str">
            <v>CMP_CNN Update plan LOM</v>
          </cell>
          <cell r="G48" t="str">
            <v>Chile</v>
          </cell>
          <cell r="I48" t="str">
            <v>CMP</v>
          </cell>
          <cell r="O48">
            <v>18800</v>
          </cell>
          <cell r="AA48" t="str">
            <v>Ricardo Miranda</v>
          </cell>
        </row>
        <row r="49">
          <cell r="B49" t="str">
            <v>CH-CMP-OU-FEL2A-041-A</v>
          </cell>
          <cell r="F49" t="str">
            <v>CMP_Romeral Estabilización + UG PFS</v>
          </cell>
          <cell r="G49" t="str">
            <v>Chile</v>
          </cell>
          <cell r="I49" t="str">
            <v>CMP</v>
          </cell>
          <cell r="O49">
            <v>370245</v>
          </cell>
          <cell r="AA49" t="str">
            <v>Ricardo Miranda</v>
          </cell>
        </row>
        <row r="50">
          <cell r="B50" t="str">
            <v>PE-BRO-OT-OTR00-003-D</v>
          </cell>
          <cell r="F50" t="str">
            <v>NO_ESPECIFICADO</v>
          </cell>
          <cell r="G50" t="str">
            <v>Perú</v>
          </cell>
          <cell r="I50" t="str">
            <v>El Brocal</v>
          </cell>
          <cell r="O50">
            <v>50219.75</v>
          </cell>
        </row>
        <row r="51">
          <cell r="B51" t="str">
            <v>PE-MSR-OT-OTR00-003-E</v>
          </cell>
          <cell r="F51" t="str">
            <v>NO_ESPECIFICADO</v>
          </cell>
          <cell r="G51" t="str">
            <v>Perú</v>
          </cell>
          <cell r="I51" t="str">
            <v>Minsur</v>
          </cell>
          <cell r="O51">
            <v>64800</v>
          </cell>
        </row>
        <row r="52">
          <cell r="B52" t="str">
            <v>PE-SME-UG-OTR00-003-F</v>
          </cell>
          <cell r="F52" t="str">
            <v>NO_ESPECIFICADO</v>
          </cell>
          <cell r="G52" t="str">
            <v>Perú</v>
          </cell>
          <cell r="I52" t="str">
            <v>Sierra metals</v>
          </cell>
          <cell r="O52">
            <v>39681</v>
          </cell>
        </row>
        <row r="53">
          <cell r="B53" t="str">
            <v>PE-MSR-UG-OTR00-042-A</v>
          </cell>
          <cell r="F53" t="str">
            <v>Raura Operativo</v>
          </cell>
          <cell r="G53" t="str">
            <v>Perú</v>
          </cell>
          <cell r="I53" t="str">
            <v>Minsur</v>
          </cell>
          <cell r="O53">
            <v>252096</v>
          </cell>
        </row>
        <row r="54">
          <cell r="B54" t="str">
            <v>PE-MSR-UG-OTR00-043-A</v>
          </cell>
          <cell r="F54" t="str">
            <v>San Rafael Contrato Marco</v>
          </cell>
          <cell r="G54" t="str">
            <v>Perú</v>
          </cell>
          <cell r="I54" t="str">
            <v>Minsur</v>
          </cell>
          <cell r="O54">
            <v>85000</v>
          </cell>
        </row>
        <row r="55">
          <cell r="B55" t="str">
            <v>PE-MSR-UG-OTR00-044-A</v>
          </cell>
          <cell r="F55" t="str">
            <v>San Rafael Gestión Operativa</v>
          </cell>
          <cell r="G55" t="str">
            <v>Perú</v>
          </cell>
          <cell r="I55" t="str">
            <v>Minsur</v>
          </cell>
          <cell r="O55">
            <v>263544</v>
          </cell>
        </row>
        <row r="56">
          <cell r="B56" t="str">
            <v>PE-MSR-UG-OTR00-045-A</v>
          </cell>
          <cell r="F56" t="str">
            <v>San Rafael: Gestión del Corto Plazo</v>
          </cell>
          <cell r="G56" t="str">
            <v>Perú</v>
          </cell>
          <cell r="I56" t="str">
            <v>Minsur</v>
          </cell>
          <cell r="O56">
            <v>82144</v>
          </cell>
        </row>
        <row r="57">
          <cell r="B57" t="str">
            <v>PE-SME-UG-FEL2A-046-A</v>
          </cell>
          <cell r="F57" t="str">
            <v>Sierra Metals_Plan de Minado MEIA</v>
          </cell>
          <cell r="G57" t="str">
            <v>Perú</v>
          </cell>
          <cell r="I57" t="str">
            <v>Sierra metals</v>
          </cell>
          <cell r="O57">
            <v>56630</v>
          </cell>
        </row>
        <row r="58">
          <cell r="B58" t="str">
            <v>PE-MMA-OP-FEL00-047-A</v>
          </cell>
          <cell r="F58" t="str">
            <v>MiskiMayo_LOM</v>
          </cell>
          <cell r="G58" t="str">
            <v>Perú</v>
          </cell>
          <cell r="I58" t="str">
            <v>Miski Mayo</v>
          </cell>
          <cell r="O58">
            <v>115136</v>
          </cell>
          <cell r="AA58" t="str">
            <v>Cristian Quezada</v>
          </cell>
        </row>
        <row r="59">
          <cell r="B59" t="str">
            <v>BR-J&amp;F-UG-FEL03-048-A</v>
          </cell>
          <cell r="F59" t="str">
            <v>J&amp;F_Urucrum_RecuperacionPilares</v>
          </cell>
          <cell r="G59" t="str">
            <v>Brasil</v>
          </cell>
          <cell r="I59" t="str">
            <v>J&amp;F</v>
          </cell>
          <cell r="O59">
            <v>239308</v>
          </cell>
          <cell r="AA59" t="str">
            <v>Claudio Hernandez</v>
          </cell>
        </row>
        <row r="60">
          <cell r="B60" t="str">
            <v>CH-COD-UG-OTR00-049-A</v>
          </cell>
          <cell r="F60" t="str">
            <v>Analisis de Riesgo MB4-1</v>
          </cell>
          <cell r="G60" t="str">
            <v>Chile</v>
          </cell>
          <cell r="I60" t="str">
            <v>Codelco</v>
          </cell>
          <cell r="O60">
            <v>50000</v>
          </cell>
        </row>
        <row r="61">
          <cell r="B61" t="str">
            <v>PE-AES-OT-OTR00-050-A</v>
          </cell>
          <cell r="F61" t="str">
            <v>AESA_Gestión tiempos</v>
          </cell>
          <cell r="G61" t="str">
            <v>Perú</v>
          </cell>
          <cell r="I61" t="str">
            <v>AESA</v>
          </cell>
          <cell r="O61">
            <v>100000</v>
          </cell>
        </row>
        <row r="62">
          <cell r="B62" t="str">
            <v>PE-ANT-OU-FEL2A-051-A</v>
          </cell>
          <cell r="F62" t="str">
            <v>Antamina_Transición OP-UG</v>
          </cell>
          <cell r="G62" t="str">
            <v>Perú</v>
          </cell>
          <cell r="I62" t="str">
            <v>Antamina</v>
          </cell>
          <cell r="O62">
            <v>340000</v>
          </cell>
        </row>
        <row r="63">
          <cell r="B63" t="str">
            <v>CH-BSA-CS-OTR00-052-A</v>
          </cell>
          <cell r="F63" t="str">
            <v>Banco Santander_Yauricocha y Bolivar</v>
          </cell>
          <cell r="G63" t="str">
            <v>Chile</v>
          </cell>
          <cell r="I63" t="str">
            <v>Banco Santander</v>
          </cell>
          <cell r="O63">
            <v>87000</v>
          </cell>
          <cell r="AA63" t="str">
            <v>Matias Fuentes</v>
          </cell>
        </row>
        <row r="64">
          <cell r="B64" t="str">
            <v>PE-MSR-CS-OTR00-053-A</v>
          </cell>
          <cell r="F64" t="str">
            <v>Gestión del Corto Plazo Raura</v>
          </cell>
          <cell r="G64" t="str">
            <v>Perú</v>
          </cell>
          <cell r="I64" t="str">
            <v>Minsur</v>
          </cell>
          <cell r="O64">
            <v>60000</v>
          </cell>
        </row>
        <row r="65">
          <cell r="B65" t="str">
            <v>PE-GLE-OP-FEL2A-054-A</v>
          </cell>
          <cell r="F65" t="str">
            <v>Glencore_Coroccohuayco_OptimizacionLOM</v>
          </cell>
          <cell r="G65" t="str">
            <v>Perú</v>
          </cell>
          <cell r="I65" t="str">
            <v>Glencore</v>
          </cell>
          <cell r="O65">
            <v>198000</v>
          </cell>
          <cell r="AA65" t="str">
            <v>Cristian Quezada</v>
          </cell>
        </row>
        <row r="66">
          <cell r="B66" t="str">
            <v>PE-MSR-UG-OTR00-055-A</v>
          </cell>
          <cell r="F66" t="str">
            <v>Minsur_SanRafael_VetasAngostas</v>
          </cell>
          <cell r="G66" t="str">
            <v>Perú</v>
          </cell>
          <cell r="I66" t="str">
            <v>Minsur</v>
          </cell>
          <cell r="O66">
            <v>500000</v>
          </cell>
        </row>
        <row r="67">
          <cell r="B67" t="str">
            <v>CH-CMP-CS-OTR00-056-A</v>
          </cell>
          <cell r="F67" t="str">
            <v>Optimización Negocio P40 - foco Romeral</v>
          </cell>
          <cell r="G67" t="str">
            <v>Chile</v>
          </cell>
          <cell r="I67" t="str">
            <v>CMP</v>
          </cell>
          <cell r="O67">
            <v>140000</v>
          </cell>
        </row>
        <row r="68">
          <cell r="B68" t="str">
            <v>BR-VAL-OP-PIPEL-057-A</v>
          </cell>
          <cell r="F68" t="str">
            <v>Secuenciamiento y Planificacion Estabilizada Gongo Soco</v>
          </cell>
          <cell r="G68" t="str">
            <v>Brasil</v>
          </cell>
          <cell r="I68" t="str">
            <v>Vale</v>
          </cell>
          <cell r="O68">
            <v>500000</v>
          </cell>
        </row>
        <row r="69">
          <cell r="B69" t="str">
            <v>RU-ALR-UG-PIPEL-058-A</v>
          </cell>
          <cell r="F69" t="str">
            <v>Diseño y Planificacion de Block Caving</v>
          </cell>
          <cell r="G69" t="str">
            <v>Rusia</v>
          </cell>
          <cell r="I69" t="str">
            <v>Alrosa</v>
          </cell>
          <cell r="O69">
            <v>395000</v>
          </cell>
        </row>
        <row r="70">
          <cell r="B70" t="str">
            <v>RU-EVR-OT-OTR00-059-A</v>
          </cell>
          <cell r="F70" t="str">
            <v>Selección de equipos mineros</v>
          </cell>
          <cell r="G70" t="str">
            <v>Rusia</v>
          </cell>
          <cell r="I70" t="str">
            <v>Evraz</v>
          </cell>
          <cell r="O70">
            <v>750000</v>
          </cell>
        </row>
        <row r="71">
          <cell r="B71" t="str">
            <v>OT-IEL-UG-FEL2A-060-A</v>
          </cell>
          <cell r="F71" t="str">
            <v>IvanhoeElectric_Santa-Cruz_PrePFS</v>
          </cell>
          <cell r="G71" t="str">
            <v>Otros</v>
          </cell>
          <cell r="I71" t="str">
            <v>Ivanhoe Electric</v>
          </cell>
          <cell r="O71">
            <v>536410</v>
          </cell>
          <cell r="AA71" t="str">
            <v>Patricio Vergara</v>
          </cell>
        </row>
        <row r="72">
          <cell r="B72" t="str">
            <v>CH-ZUB-CS-OTR00-061-A</v>
          </cell>
          <cell r="F72" t="str">
            <v>Aplicación Simprep</v>
          </cell>
          <cell r="G72" t="str">
            <v>Chile</v>
          </cell>
          <cell r="I72" t="str">
            <v>Zublin</v>
          </cell>
          <cell r="O72">
            <v>130000</v>
          </cell>
        </row>
        <row r="73">
          <cell r="B73" t="str">
            <v>PE-MSR-CS-OTR00-062-A</v>
          </cell>
          <cell r="F73" t="str">
            <v>Minsur_Ore Sorting Raura</v>
          </cell>
          <cell r="G73" t="str">
            <v>Perú</v>
          </cell>
          <cell r="I73" t="str">
            <v>Minsur</v>
          </cell>
          <cell r="O73">
            <v>15000</v>
          </cell>
        </row>
        <row r="74">
          <cell r="B74" t="str">
            <v>CH-AMS-CS-OTR00-063-A</v>
          </cell>
          <cell r="F74" t="str">
            <v>AMSA_Estandares Minimos</v>
          </cell>
          <cell r="G74" t="str">
            <v>Chile</v>
          </cell>
          <cell r="I74" t="str">
            <v>AMSA</v>
          </cell>
          <cell r="O74">
            <v>91650</v>
          </cell>
          <cell r="AA74" t="str">
            <v>Felipe Rojas</v>
          </cell>
        </row>
        <row r="75">
          <cell r="B75" t="str">
            <v>BR-MOS-UG-FEL2A-064-A</v>
          </cell>
          <cell r="F75" t="str">
            <v>Mosaic_Taquari Vassouras Fase II CP</v>
          </cell>
          <cell r="G75" t="str">
            <v>Brasil</v>
          </cell>
          <cell r="I75" t="str">
            <v>Mosaic</v>
          </cell>
          <cell r="O75">
            <v>52744</v>
          </cell>
        </row>
        <row r="76">
          <cell r="B76" t="str">
            <v>BR-MOS-UG-FEL2A-065-A</v>
          </cell>
          <cell r="F76" t="str">
            <v>Mosaic_Planeamiento Mina Tapira</v>
          </cell>
          <cell r="G76" t="str">
            <v>Brasil</v>
          </cell>
          <cell r="I76" t="str">
            <v>Mosaic</v>
          </cell>
          <cell r="O76">
            <v>120000</v>
          </cell>
        </row>
        <row r="77">
          <cell r="B77" t="str">
            <v>BR-MOS-UG-FEL2A-066-A</v>
          </cell>
          <cell r="F77" t="str">
            <v>Mosaic_CMA_CMP</v>
          </cell>
          <cell r="G77" t="str">
            <v>Brasil</v>
          </cell>
          <cell r="I77" t="str">
            <v>Mosaic</v>
          </cell>
          <cell r="O77">
            <v>140000</v>
          </cell>
        </row>
        <row r="78">
          <cell r="B78" t="str">
            <v>CH-CMP-CS-FEL00-067-A</v>
          </cell>
          <cell r="F78" t="str">
            <v>CMP_CNN Update Analisis Estrategico LOM</v>
          </cell>
          <cell r="G78" t="str">
            <v>Chile</v>
          </cell>
          <cell r="I78" t="str">
            <v>CMP</v>
          </cell>
          <cell r="O78">
            <v>19997</v>
          </cell>
        </row>
        <row r="79">
          <cell r="B79" t="str">
            <v>CH-LUN-OP-FEL00-068-A</v>
          </cell>
          <cell r="F79" t="str">
            <v>Lundin_Candelaria_LOM-OP</v>
          </cell>
          <cell r="G79" t="str">
            <v>Chile</v>
          </cell>
          <cell r="I79" t="str">
            <v>Lundin</v>
          </cell>
          <cell r="O79">
            <v>532000</v>
          </cell>
        </row>
        <row r="80">
          <cell r="B80" t="str">
            <v>CH-LUN-CS-OTR00-069-A</v>
          </cell>
          <cell r="F80" t="str">
            <v>Lundin_Candelaria_EstudiosCugep</v>
          </cell>
          <cell r="G80" t="str">
            <v>Chile</v>
          </cell>
          <cell r="I80" t="str">
            <v>Lundin</v>
          </cell>
          <cell r="O80">
            <v>199645</v>
          </cell>
          <cell r="AA80" t="str">
            <v>Mauricio Melendez</v>
          </cell>
        </row>
        <row r="81">
          <cell r="B81" t="str">
            <v>PE-MSR-CS-OTR00-070-A</v>
          </cell>
          <cell r="F81" t="str">
            <v>Minsur_Raura_SGOP</v>
          </cell>
          <cell r="G81" t="str">
            <v>Perú</v>
          </cell>
          <cell r="I81" t="str">
            <v>Minsur</v>
          </cell>
          <cell r="O81">
            <v>80000</v>
          </cell>
        </row>
        <row r="82">
          <cell r="B82" t="str">
            <v>PE-MSR-UG-FEL00-071-A</v>
          </cell>
          <cell r="F82" t="str">
            <v>Minsur_Update LOM San Rafael</v>
          </cell>
          <cell r="G82" t="str">
            <v>Perú</v>
          </cell>
          <cell r="I82" t="str">
            <v>Minsur</v>
          </cell>
          <cell r="O82">
            <v>25600</v>
          </cell>
          <cell r="AA82" t="str">
            <v>Alex Figueroa</v>
          </cell>
        </row>
        <row r="83">
          <cell r="B83" t="str">
            <v>RU-SEL-UG-FEL2A-072-A</v>
          </cell>
          <cell r="F83" t="str">
            <v>Seligdar_Kyuchus</v>
          </cell>
          <cell r="G83" t="str">
            <v>Rusia</v>
          </cell>
          <cell r="I83" t="str">
            <v>Seligdar</v>
          </cell>
          <cell r="O83">
            <v>4339988</v>
          </cell>
          <cell r="AA83" t="str">
            <v>J.F.San Martin</v>
          </cell>
        </row>
        <row r="84">
          <cell r="B84" t="str">
            <v>CH-CMP-OU-FEL2A-033-C</v>
          </cell>
          <cell r="F84" t="str">
            <v>CMP - FEL 2A</v>
          </cell>
          <cell r="G84" t="str">
            <v>Chile</v>
          </cell>
          <cell r="I84" t="str">
            <v>CMP</v>
          </cell>
          <cell r="O84">
            <v>37723</v>
          </cell>
          <cell r="AA84" t="str">
            <v>Alex Figueroa</v>
          </cell>
        </row>
        <row r="85">
          <cell r="B85" t="str">
            <v>CH-CMP-OU-FEL2A-033-D</v>
          </cell>
          <cell r="F85" t="str">
            <v>CMP - FEL 2A</v>
          </cell>
          <cell r="G85" t="str">
            <v>Chile</v>
          </cell>
          <cell r="I85" t="str">
            <v>CMP</v>
          </cell>
          <cell r="O85">
            <v>48615</v>
          </cell>
          <cell r="AA85" t="str">
            <v>Alex Figueroa</v>
          </cell>
        </row>
        <row r="86">
          <cell r="B86" t="str">
            <v>CH-CMP-OU-FEL2A-033-E</v>
          </cell>
          <cell r="F86" t="str">
            <v>CMP - FEL 2A</v>
          </cell>
          <cell r="G86" t="str">
            <v>Chile</v>
          </cell>
          <cell r="I86" t="str">
            <v>CMP</v>
          </cell>
          <cell r="O86">
            <v>15204</v>
          </cell>
          <cell r="AA86" t="str">
            <v>Alex Figueroa</v>
          </cell>
        </row>
        <row r="87">
          <cell r="B87" t="str">
            <v>BR-MOS-OU-FEL03-026-B</v>
          </cell>
          <cell r="F87" t="str">
            <v>Mosaic_Cajati</v>
          </cell>
          <cell r="G87" t="str">
            <v>Brasil</v>
          </cell>
          <cell r="I87" t="str">
            <v>Mosaic</v>
          </cell>
          <cell r="O87">
            <v>78000</v>
          </cell>
          <cell r="AA87" t="str">
            <v>Alex Figueroa</v>
          </cell>
        </row>
        <row r="88">
          <cell r="B88" t="str">
            <v>CH-CMP-OP-OTR00-018-B</v>
          </cell>
          <cell r="F88" t="str">
            <v>Romeral</v>
          </cell>
          <cell r="G88" t="str">
            <v>Chile</v>
          </cell>
          <cell r="I88" t="str">
            <v>CMP</v>
          </cell>
          <cell r="O88">
            <v>12277</v>
          </cell>
          <cell r="AA88" t="str">
            <v>-</v>
          </cell>
        </row>
        <row r="89">
          <cell r="B89" t="str">
            <v>CH-CMP-OP-OTR00-018-C</v>
          </cell>
          <cell r="F89" t="str">
            <v>Romeral</v>
          </cell>
          <cell r="G89" t="str">
            <v>Chile</v>
          </cell>
          <cell r="I89" t="str">
            <v>CMP</v>
          </cell>
          <cell r="O89">
            <v>86828</v>
          </cell>
          <cell r="AA89" t="str">
            <v>-</v>
          </cell>
        </row>
        <row r="90">
          <cell r="B90" t="str">
            <v>CH-CMP-OP-OTR00-018-D</v>
          </cell>
          <cell r="F90" t="str">
            <v>Romeral</v>
          </cell>
          <cell r="G90" t="str">
            <v>Chile</v>
          </cell>
          <cell r="I90" t="str">
            <v>CMP</v>
          </cell>
          <cell r="O90">
            <v>96320</v>
          </cell>
          <cell r="AA90" t="str">
            <v>-</v>
          </cell>
        </row>
        <row r="91">
          <cell r="B91" t="str">
            <v>PE-CSC-UG-FEL2A-023-B</v>
          </cell>
          <cell r="F91" t="str">
            <v>PFS Los Calatos</v>
          </cell>
          <cell r="G91" t="str">
            <v>Perú</v>
          </cell>
          <cell r="I91" t="str">
            <v>CD Capital</v>
          </cell>
          <cell r="O91">
            <v>31657</v>
          </cell>
          <cell r="AA91" t="str">
            <v>Alex Figueroa</v>
          </cell>
        </row>
        <row r="92">
          <cell r="B92" t="str">
            <v>CH-CMP-OT-OTR00-002-D</v>
          </cell>
          <cell r="F92" t="str">
            <v>Algarrobo</v>
          </cell>
          <cell r="G92" t="str">
            <v>Chile</v>
          </cell>
          <cell r="I92" t="str">
            <v>CMP</v>
          </cell>
          <cell r="O92">
            <v>89891.27</v>
          </cell>
        </row>
        <row r="93">
          <cell r="B93" t="str">
            <v>CH-CMP-OT-FEL00-001-C</v>
          </cell>
          <cell r="F93" t="str">
            <v>Adrianita -Raúl</v>
          </cell>
          <cell r="G93" t="str">
            <v>Chile</v>
          </cell>
          <cell r="I93" t="str">
            <v>CMP</v>
          </cell>
          <cell r="O93">
            <v>18042</v>
          </cell>
        </row>
        <row r="94">
          <cell r="B94" t="str">
            <v>CH-BSC-UG-OTR00-073-A</v>
          </cell>
          <cell r="F94" t="str">
            <v>Boston_Inmaculada Hochschild</v>
          </cell>
          <cell r="G94" t="str">
            <v>Chile</v>
          </cell>
          <cell r="I94" t="str">
            <v>Boston Consulting</v>
          </cell>
          <cell r="O94">
            <v>65109</v>
          </cell>
          <cell r="AA94" t="str">
            <v>Claudio Hernandez</v>
          </cell>
        </row>
        <row r="95">
          <cell r="B95" t="str">
            <v>CH-BHP-UG-FEL01-074-A</v>
          </cell>
          <cell r="F95" t="str">
            <v>BHP_Tunel Exploratorio</v>
          </cell>
          <cell r="G95" t="str">
            <v>Chile</v>
          </cell>
          <cell r="I95" t="str">
            <v>BHP</v>
          </cell>
          <cell r="O95">
            <v>198920</v>
          </cell>
          <cell r="AA95" t="str">
            <v>Carolina Arcos</v>
          </cell>
        </row>
        <row r="96">
          <cell r="B96" t="str">
            <v>CH-AMS-CS-OTR00-075-A</v>
          </cell>
          <cell r="F96" t="str">
            <v>AMSA_Asesoria Centinela</v>
          </cell>
          <cell r="G96" t="str">
            <v>Chile</v>
          </cell>
          <cell r="I96" t="str">
            <v>AMSA</v>
          </cell>
          <cell r="O96">
            <v>225451</v>
          </cell>
          <cell r="AA96" t="str">
            <v>Felipe Rojas</v>
          </cell>
        </row>
        <row r="97">
          <cell r="B97" t="str">
            <v>PE-MMG-OU-FEL00-022-B</v>
          </cell>
          <cell r="F97" t="str">
            <v>LasBambas_Ferrobamba_OP_UG</v>
          </cell>
          <cell r="G97" t="str">
            <v>Perú</v>
          </cell>
          <cell r="I97" t="str">
            <v>MMG Las Bambas</v>
          </cell>
          <cell r="O97">
            <v>38162</v>
          </cell>
        </row>
        <row r="98">
          <cell r="B98" t="str">
            <v>PE-COR-UG-FEL00-076-A</v>
          </cell>
          <cell r="F98" t="str">
            <v>Coripuno_Metodos de Minado</v>
          </cell>
          <cell r="G98" t="str">
            <v>Perú</v>
          </cell>
          <cell r="I98" t="str">
            <v>Coripuno</v>
          </cell>
          <cell r="O98">
            <v>105000</v>
          </cell>
          <cell r="AA98" t="str">
            <v>Claudio Hernandez</v>
          </cell>
        </row>
        <row r="99">
          <cell r="B99" t="str">
            <v>PE-MSR-UG-OTR00-077-A</v>
          </cell>
          <cell r="F99" t="str">
            <v>Minsur_Apoyo Planificacion San Rafael</v>
          </cell>
          <cell r="G99" t="str">
            <v>Perú</v>
          </cell>
          <cell r="I99" t="str">
            <v>Minsur</v>
          </cell>
          <cell r="O99">
            <v>119862</v>
          </cell>
          <cell r="AA99" t="str">
            <v>Matias Fuentes</v>
          </cell>
        </row>
        <row r="100">
          <cell r="B100" t="str">
            <v>CH-CCO-OP-FEL00-078-A</v>
          </cell>
          <cell r="F100" t="str">
            <v>Capstone Copper_Estimacion confiabilidad de planes</v>
          </cell>
          <cell r="G100" t="str">
            <v>Chile</v>
          </cell>
          <cell r="I100" t="str">
            <v>Capstone Copper</v>
          </cell>
          <cell r="O100">
            <v>261986</v>
          </cell>
          <cell r="AA100" t="str">
            <v>Gonzalo Diaz</v>
          </cell>
        </row>
        <row r="101">
          <cell r="B101" t="str">
            <v>PE-MSR-UG-FEL00-079-A</v>
          </cell>
          <cell r="F101" t="str">
            <v>Minsur_Rampa de acceso San German</v>
          </cell>
          <cell r="G101" t="str">
            <v>Perú</v>
          </cell>
          <cell r="I101" t="str">
            <v>Minsur</v>
          </cell>
          <cell r="O101">
            <v>53339</v>
          </cell>
          <cell r="AA101" t="str">
            <v>Matias Fuentes</v>
          </cell>
        </row>
        <row r="102">
          <cell r="B102" t="str">
            <v>OT-MCA-CS-OTR00-080-A</v>
          </cell>
          <cell r="F102" t="str">
            <v>McCarthy_Litigio Rio Tinto</v>
          </cell>
          <cell r="G102" t="str">
            <v>Otros</v>
          </cell>
          <cell r="I102" t="str">
            <v>McCarthy</v>
          </cell>
          <cell r="O102">
            <v>611100</v>
          </cell>
          <cell r="AA102" t="str">
            <v>Patricio Vergara</v>
          </cell>
        </row>
        <row r="103">
          <cell r="B103" t="str">
            <v>RU-ECH-UG-FEL00-081-A</v>
          </cell>
          <cell r="F103" t="str">
            <v>Eurochem_Himmelfarb Deposit</v>
          </cell>
          <cell r="G103" t="str">
            <v>Rusia</v>
          </cell>
          <cell r="I103" t="str">
            <v>Eurochem</v>
          </cell>
          <cell r="O103">
            <v>152100</v>
          </cell>
          <cell r="AA103" t="str">
            <v>Ricardo Miranda</v>
          </cell>
        </row>
        <row r="104">
          <cell r="B104" t="str">
            <v>CH-BSC-UG-OTR00-082-A</v>
          </cell>
          <cell r="F104" t="str">
            <v>Boston_Inmaculada Hochschild II</v>
          </cell>
          <cell r="G104" t="str">
            <v>Chile</v>
          </cell>
          <cell r="I104" t="str">
            <v>Boston Consulting</v>
          </cell>
          <cell r="O104">
            <v>40000</v>
          </cell>
          <cell r="AA104" t="str">
            <v>Claudio Hernandez</v>
          </cell>
        </row>
        <row r="105">
          <cell r="B105" t="str">
            <v>CH-CMP-OP-OTR00-083-A</v>
          </cell>
          <cell r="F105" t="str">
            <v>CMP_LOM CNN 2024</v>
          </cell>
          <cell r="G105" t="str">
            <v>Chile</v>
          </cell>
          <cell r="I105" t="str">
            <v>CMP</v>
          </cell>
          <cell r="O105">
            <v>36205</v>
          </cell>
          <cell r="AA105" t="str">
            <v>Ricardo Miranda</v>
          </cell>
        </row>
        <row r="106">
          <cell r="B106" t="str">
            <v>CH-CMP-OP-OTR00-084-A</v>
          </cell>
          <cell r="F106" t="str">
            <v>CMP_LOM MLC 2024</v>
          </cell>
          <cell r="G106" t="str">
            <v>Chile</v>
          </cell>
          <cell r="I106" t="str">
            <v>CMP</v>
          </cell>
          <cell r="O106">
            <v>62985</v>
          </cell>
          <cell r="AA106" t="str">
            <v>Felipe Rojas</v>
          </cell>
        </row>
        <row r="107">
          <cell r="B107" t="str">
            <v>CH-BHP-OP-OTR00-085-A</v>
          </cell>
          <cell r="F107" t="str">
            <v>Spence_Confiabilidad Plan 2YB 2025</v>
          </cell>
          <cell r="G107" t="str">
            <v>Chile</v>
          </cell>
          <cell r="I107" t="str">
            <v>BHP</v>
          </cell>
          <cell r="O107">
            <v>35000</v>
          </cell>
        </row>
        <row r="108">
          <cell r="B108" t="str">
            <v>PE-MSR-UG-FEL00-086-A</v>
          </cell>
          <cell r="F108" t="str">
            <v>Minsur_LOM San Rafael 2025</v>
          </cell>
          <cell r="G108" t="str">
            <v>Perú</v>
          </cell>
          <cell r="I108" t="str">
            <v>Minsur</v>
          </cell>
          <cell r="O108">
            <v>95283</v>
          </cell>
          <cell r="AA108" t="str">
            <v>Matias Fuentes</v>
          </cell>
        </row>
        <row r="109">
          <cell r="B109" t="str">
            <v>OT-EMX-CS-OTR00-087-A</v>
          </cell>
          <cell r="F109" t="str">
            <v>EMX_Due Diligence de Chapi</v>
          </cell>
          <cell r="G109" t="str">
            <v>Otros</v>
          </cell>
          <cell r="I109" t="str">
            <v>EMX Royalty</v>
          </cell>
          <cell r="O109">
            <v>159694</v>
          </cell>
          <cell r="AA109" t="str">
            <v>Fernando Rodriguez</v>
          </cell>
        </row>
        <row r="110">
          <cell r="B110" t="str">
            <v>OT-IEL-UG-FEL2A-088-A</v>
          </cell>
          <cell r="F110" t="str">
            <v>IvanhoeElectric_Mine Planning Support</v>
          </cell>
          <cell r="G110" t="str">
            <v>Otros</v>
          </cell>
          <cell r="I110" t="str">
            <v>Ivanhoe Electric</v>
          </cell>
          <cell r="O110">
            <v>196720</v>
          </cell>
          <cell r="AA110" t="str">
            <v>Patricio Vergara</v>
          </cell>
        </row>
        <row r="111">
          <cell r="B111" t="str">
            <v>CH-MCI-OP-OTR00-089-A</v>
          </cell>
          <cell r="F111" t="str">
            <v>MCI_Mine Plan Review Los Bronces</v>
          </cell>
          <cell r="G111" t="str">
            <v>Chile</v>
          </cell>
          <cell r="I111" t="str">
            <v>Mitsubichi</v>
          </cell>
          <cell r="O111">
            <v>239000</v>
          </cell>
          <cell r="AA111" t="str">
            <v>Gonzalo Diaz</v>
          </cell>
        </row>
        <row r="112">
          <cell r="B112" t="str">
            <v>PE-MSR-CS-OTR00-090-A</v>
          </cell>
          <cell r="F112" t="str">
            <v>Minsur_Apoyo MEIA Raura</v>
          </cell>
          <cell r="G112" t="str">
            <v>Perú</v>
          </cell>
          <cell r="I112" t="str">
            <v>Minsur</v>
          </cell>
          <cell r="O112">
            <v>8000</v>
          </cell>
        </row>
        <row r="113">
          <cell r="B113" t="str">
            <v>OT-EMX-CS-OTR00-091-A</v>
          </cell>
          <cell r="F113" t="str">
            <v>EMX_Metallurgical expert for review</v>
          </cell>
          <cell r="G113" t="str">
            <v>Otros</v>
          </cell>
          <cell r="I113" t="str">
            <v>EMX Royalty</v>
          </cell>
          <cell r="O113">
            <v>14850</v>
          </cell>
        </row>
        <row r="114">
          <cell r="B114" t="str">
            <v>PE-MSR-GM-OTR00-092-A</v>
          </cell>
          <cell r="F114" t="str">
            <v>Minsur_Mejoramiento datos geotecnicos SR</v>
          </cell>
          <cell r="G114" t="str">
            <v>Perú</v>
          </cell>
          <cell r="I114" t="str">
            <v>Minsur</v>
          </cell>
          <cell r="O114">
            <v>25000</v>
          </cell>
        </row>
        <row r="115">
          <cell r="B115" t="str">
            <v>CH-CMP-UG-FEL03-093-A</v>
          </cell>
          <cell r="F115" t="str">
            <v>CMP_Puesta en marcha SLS Romeral</v>
          </cell>
          <cell r="G115" t="str">
            <v>Chile</v>
          </cell>
          <cell r="I115" t="str">
            <v>CMP</v>
          </cell>
          <cell r="O115">
            <v>900007.88</v>
          </cell>
          <cell r="AA115" t="str">
            <v>Ricardo Miranda</v>
          </cell>
        </row>
        <row r="116">
          <cell r="B116" t="str">
            <v>CH-GLE-CS-OTR00-094-A</v>
          </cell>
          <cell r="F116" t="str">
            <v>Glencore_MineHaul y MinePlan Lomas Bayas</v>
          </cell>
          <cell r="G116" t="str">
            <v>Chile</v>
          </cell>
          <cell r="I116" t="str">
            <v>Glencore</v>
          </cell>
          <cell r="O116">
            <v>12000</v>
          </cell>
          <cell r="AA116" t="str">
            <v>Felipe Rojas</v>
          </cell>
        </row>
        <row r="117">
          <cell r="B117" t="str">
            <v>CH-CMP-UG-OTR00-095-A</v>
          </cell>
          <cell r="F117" t="str">
            <v>CMP_Estrategia Crecimiento Tofo Norte</v>
          </cell>
          <cell r="G117" t="str">
            <v>Chile</v>
          </cell>
          <cell r="I117" t="str">
            <v>CMP</v>
          </cell>
          <cell r="O117">
            <v>94854</v>
          </cell>
          <cell r="AA117" t="str">
            <v>Ricardo Miranda</v>
          </cell>
        </row>
        <row r="118">
          <cell r="B118" t="str">
            <v>CH-CMP-OP-OTR00-096-A</v>
          </cell>
          <cell r="F118" t="str">
            <v>CMP_Plan minero base MLC</v>
          </cell>
          <cell r="G118" t="str">
            <v>Chile</v>
          </cell>
          <cell r="I118" t="str">
            <v>CMP</v>
          </cell>
          <cell r="O118">
            <v>36143</v>
          </cell>
          <cell r="AA118" t="str">
            <v>Felipe Rojas</v>
          </cell>
        </row>
        <row r="119">
          <cell r="B119" t="str">
            <v>PE-MSR-UG-OTR00-097-A</v>
          </cell>
          <cell r="F119" t="str">
            <v>Minsur_Evaluacion recursos marginales</v>
          </cell>
          <cell r="G119" t="str">
            <v>Perú</v>
          </cell>
          <cell r="I119" t="str">
            <v>Minsur</v>
          </cell>
          <cell r="O119">
            <v>64935</v>
          </cell>
          <cell r="AA119" t="str">
            <v>Matías Fuentes</v>
          </cell>
        </row>
        <row r="120">
          <cell r="B120" t="str">
            <v>BR-MOS-UG-OTR00-098-A</v>
          </cell>
          <cell r="F120" t="str">
            <v>Mosaic_Taquari Vassouras Fase II</v>
          </cell>
          <cell r="G120" t="str">
            <v>Brasil</v>
          </cell>
          <cell r="I120" t="str">
            <v>Mosaic</v>
          </cell>
          <cell r="O120">
            <v>330410</v>
          </cell>
          <cell r="AA120" t="str">
            <v>Claudio Hernandez</v>
          </cell>
        </row>
        <row r="121">
          <cell r="B121" t="str">
            <v>CH-CMP-OU-FEL2A-033-F</v>
          </cell>
          <cell r="F121" t="str">
            <v>CMP - FEL 2A</v>
          </cell>
          <cell r="G121" t="str">
            <v>Chile</v>
          </cell>
          <cell r="I121" t="str">
            <v>CMP</v>
          </cell>
          <cell r="O121">
            <v>20155.189999999999</v>
          </cell>
        </row>
        <row r="122">
          <cell r="B122" t="str">
            <v>PE-SME-CS-OTR00-099-A</v>
          </cell>
          <cell r="F122" t="str">
            <v>SierraMetals_Update MEIA Yauricocha</v>
          </cell>
          <cell r="G122" t="str">
            <v>Perú</v>
          </cell>
          <cell r="I122" t="str">
            <v>Sierra metals</v>
          </cell>
          <cell r="O122">
            <v>83610</v>
          </cell>
          <cell r="AA122" t="str">
            <v>Matias Fuentes</v>
          </cell>
        </row>
        <row r="123">
          <cell r="B123" t="str">
            <v>BR-J&amp;F-CS-OTR00-100-A</v>
          </cell>
          <cell r="F123" t="str">
            <v>J&amp;F_Autazes Due Diligence</v>
          </cell>
          <cell r="G123" t="str">
            <v>Brasil</v>
          </cell>
          <cell r="I123" t="str">
            <v>J&amp;F</v>
          </cell>
          <cell r="O123">
            <v>112664</v>
          </cell>
          <cell r="AA123" t="str">
            <v>Fernando Rodriguez</v>
          </cell>
        </row>
        <row r="124">
          <cell r="B124" t="str">
            <v>CH-RED-CS-OTR00-101-A</v>
          </cell>
          <cell r="F124" t="str">
            <v>Equipo P&amp;C</v>
          </cell>
          <cell r="G124" t="str">
            <v>Chile</v>
          </cell>
          <cell r="I124" t="str">
            <v>REDCO</v>
          </cell>
          <cell r="O124">
            <v>0</v>
          </cell>
        </row>
        <row r="125">
          <cell r="B125" t="str">
            <v>PE-MMG-OU-FEL00-022-C</v>
          </cell>
          <cell r="F125" t="str">
            <v>LasBambas_Ferrobamba_OP_UG</v>
          </cell>
          <cell r="G125" t="str">
            <v>Perú</v>
          </cell>
          <cell r="I125" t="str">
            <v>MMG Las Bambas</v>
          </cell>
          <cell r="O125">
            <v>26000</v>
          </cell>
        </row>
        <row r="126">
          <cell r="B126" t="str">
            <v>BR-MOS-OP-FEL2A-102-A</v>
          </cell>
          <cell r="F126" t="str">
            <v>Mosaic_Actualizacion geotecnica OP</v>
          </cell>
          <cell r="G126" t="str">
            <v>Brasil</v>
          </cell>
          <cell r="I126" t="str">
            <v>Mosaic</v>
          </cell>
          <cell r="O126">
            <v>79900</v>
          </cell>
          <cell r="AA126" t="str">
            <v>Claudio Hernandez</v>
          </cell>
        </row>
        <row r="127">
          <cell r="B127" t="str">
            <v>CH-BHP-OP-FEL00-103-A</v>
          </cell>
          <cell r="F127" t="str">
            <v>BHP_Plan e Iniciativas LoA25-26</v>
          </cell>
          <cell r="G127" t="str">
            <v>Chile</v>
          </cell>
          <cell r="I127" t="str">
            <v>BHP</v>
          </cell>
          <cell r="O127">
            <v>70000</v>
          </cell>
          <cell r="AA127" t="str">
            <v>Matias Fuentes</v>
          </cell>
        </row>
        <row r="128">
          <cell r="B128" t="str">
            <v>PE-MSR-CS-OTR00-104-A</v>
          </cell>
          <cell r="F128" t="str">
            <v>Minsur_Control y seguimiento KPIs</v>
          </cell>
          <cell r="G128" t="str">
            <v>Perú</v>
          </cell>
          <cell r="I128" t="str">
            <v>Minsur</v>
          </cell>
          <cell r="O128">
            <v>132800</v>
          </cell>
        </row>
        <row r="129">
          <cell r="B129" t="str">
            <v>PE-HUD-GM-FEL00-105-A</v>
          </cell>
          <cell r="F129" t="str">
            <v>Hudbay_Analisis estabilidad OP</v>
          </cell>
          <cell r="G129" t="str">
            <v>Perú</v>
          </cell>
          <cell r="I129" t="str">
            <v>Hudbay</v>
          </cell>
          <cell r="O129">
            <v>64800</v>
          </cell>
        </row>
        <row r="130">
          <cell r="B130" t="str">
            <v>CH-CMP-OP-FEL00-106-A</v>
          </cell>
          <cell r="F130" t="str">
            <v>CMP_Mejoras Operacionales CNN</v>
          </cell>
          <cell r="G130" t="str">
            <v>Chile</v>
          </cell>
          <cell r="I130" t="str">
            <v>CMP</v>
          </cell>
          <cell r="O130">
            <v>121038.49</v>
          </cell>
          <cell r="AA130" t="str">
            <v>Felipe Rojas</v>
          </cell>
        </row>
        <row r="131">
          <cell r="B131" t="str">
            <v>CH-CMP-OT-OTR00-107-A</v>
          </cell>
          <cell r="F131" t="str">
            <v>CMP_Nuevos alcances Algarrobo</v>
          </cell>
          <cell r="G131" t="str">
            <v>Chile</v>
          </cell>
          <cell r="I131" t="str">
            <v>CMP</v>
          </cell>
          <cell r="O131">
            <v>112506</v>
          </cell>
          <cell r="AA131" t="str">
            <v>Claudio Hernandez</v>
          </cell>
        </row>
        <row r="132">
          <cell r="B132" t="str">
            <v>CH-AMS-OT-OTR00-108-A</v>
          </cell>
          <cell r="F132" t="str">
            <v>AMSA_Contrato Marco</v>
          </cell>
          <cell r="G132" t="str">
            <v>Chile</v>
          </cell>
          <cell r="I132" t="str">
            <v>AMSA</v>
          </cell>
          <cell r="O132">
            <v>191000</v>
          </cell>
          <cell r="AA132" t="str">
            <v>Gonzalo Diaz</v>
          </cell>
        </row>
        <row r="133">
          <cell r="B133" t="str">
            <v>PE-MSR-GM-OTR00-109-A</v>
          </cell>
          <cell r="F133" t="str">
            <v>Minsur_Integracion Planeamiento Geomecanica</v>
          </cell>
          <cell r="G133" t="str">
            <v>Perú</v>
          </cell>
          <cell r="I133" t="str">
            <v>Minsur</v>
          </cell>
          <cell r="O133">
            <v>13797</v>
          </cell>
        </row>
        <row r="134">
          <cell r="B134" t="str">
            <v>CH-LUN-OP-FEL00-110-A</v>
          </cell>
          <cell r="F134" t="str">
            <v>Lundin_Oportunidades mejoras Caserones</v>
          </cell>
          <cell r="G134" t="str">
            <v>Chile</v>
          </cell>
          <cell r="I134" t="str">
            <v>Lundin</v>
          </cell>
          <cell r="O134">
            <v>123240</v>
          </cell>
          <cell r="AA134" t="str">
            <v>Matias Fuentes</v>
          </cell>
        </row>
        <row r="135">
          <cell r="B135" t="str">
            <v>BR-MOS-CS-OTR00-111-A</v>
          </cell>
          <cell r="F135" t="str">
            <v>Mosaic_Cumplimiento plan con KPIs</v>
          </cell>
          <cell r="G135" t="str">
            <v>Brasil</v>
          </cell>
          <cell r="I135" t="str">
            <v>Mosaic</v>
          </cell>
          <cell r="O135">
            <v>60000</v>
          </cell>
        </row>
        <row r="136">
          <cell r="B136" t="str">
            <v>CH-COD-OU-FEL00-112-A</v>
          </cell>
          <cell r="F136" t="str">
            <v>Codelco_Opciones vaciado mineral via OP</v>
          </cell>
          <cell r="G136" t="str">
            <v>Chile</v>
          </cell>
          <cell r="I136" t="str">
            <v>Codelco</v>
          </cell>
          <cell r="O136">
            <v>85362.89</v>
          </cell>
          <cell r="AA136" t="str">
            <v>Mauricio Melendez</v>
          </cell>
        </row>
        <row r="137">
          <cell r="B137" t="str">
            <v>CH-LUN-CS-OTR00-113-A</v>
          </cell>
          <cell r="F137" t="str">
            <v>Lundin_Gaps Planificación y Operación UG</v>
          </cell>
          <cell r="G137" t="str">
            <v>Chile</v>
          </cell>
          <cell r="I137" t="str">
            <v>Lundin</v>
          </cell>
          <cell r="O137">
            <v>61650</v>
          </cell>
          <cell r="AA137" t="str">
            <v>Patricio Vergara</v>
          </cell>
        </row>
        <row r="138">
          <cell r="B138" t="str">
            <v>PE-MAR-OU-FEL01-114-A</v>
          </cell>
          <cell r="F138" t="str">
            <v>Marcobre_Ingeniería de Perfil Achupallas</v>
          </cell>
          <cell r="G138" t="str">
            <v>Perú</v>
          </cell>
          <cell r="I138" t="str">
            <v>Marcobre</v>
          </cell>
          <cell r="O138">
            <v>161778</v>
          </cell>
          <cell r="AA138" t="str">
            <v>Matias Fuentes</v>
          </cell>
        </row>
        <row r="139">
          <cell r="B139" t="str">
            <v>BR-MOS-CS-OTR00-115-A</v>
          </cell>
          <cell r="F139" t="str">
            <v>Mosaic_Secuencia Operaciones Cajati</v>
          </cell>
          <cell r="G139" t="str">
            <v>Brasil</v>
          </cell>
          <cell r="I139" t="str">
            <v>Mosaic</v>
          </cell>
          <cell r="O139">
            <v>60100.34</v>
          </cell>
          <cell r="AA139" t="str">
            <v>Alex Figueroa</v>
          </cell>
        </row>
        <row r="140">
          <cell r="B140" t="str">
            <v>PE-CSC-UG-FEL2A-023-C</v>
          </cell>
          <cell r="F140" t="str">
            <v>PFS Los Calatos</v>
          </cell>
          <cell r="G140" t="str">
            <v>Perú</v>
          </cell>
          <cell r="I140" t="str">
            <v>CD Capital</v>
          </cell>
          <cell r="O140">
            <v>25000</v>
          </cell>
          <cell r="AA140" t="str">
            <v>Alex Figueroa</v>
          </cell>
        </row>
        <row r="141">
          <cell r="B141" t="str">
            <v>PE-CSC-UG-FEL2A-023-D</v>
          </cell>
          <cell r="F141" t="str">
            <v>PFS Los Calatos</v>
          </cell>
          <cell r="G141" t="str">
            <v>Perú</v>
          </cell>
          <cell r="I141" t="str">
            <v>CD Capital</v>
          </cell>
          <cell r="O141">
            <v>14015</v>
          </cell>
          <cell r="AA141" t="str">
            <v>Alex Figueroa</v>
          </cell>
        </row>
        <row r="142">
          <cell r="B142" t="str">
            <v>CH-AMS-CS-OTR00-116-A</v>
          </cell>
          <cell r="F142" t="str">
            <v>AMSA_Trade Off Tecnologico NGD</v>
          </cell>
          <cell r="G142" t="str">
            <v>Chile</v>
          </cell>
          <cell r="I142" t="str">
            <v>AMSA</v>
          </cell>
          <cell r="O142">
            <v>134445.66999999998</v>
          </cell>
          <cell r="AA142" t="str">
            <v>Felipe Rojas</v>
          </cell>
        </row>
        <row r="143">
          <cell r="B143" t="str">
            <v>CH-CCO-CS-FEL00-117-A</v>
          </cell>
          <cell r="F143" t="str">
            <v>Capstone Copper_Estudio Sierra Norte</v>
          </cell>
          <cell r="G143" t="str">
            <v>Chile</v>
          </cell>
          <cell r="I143" t="str">
            <v>Capstone Copper</v>
          </cell>
          <cell r="O143">
            <v>196000.3</v>
          </cell>
          <cell r="AA143" t="str">
            <v>Gonzalo Diaz</v>
          </cell>
        </row>
        <row r="144">
          <cell r="B144" t="str">
            <v>PE-CMC-CD-OTR00-118-A</v>
          </cell>
          <cell r="F144" t="str">
            <v>CMC_Capacitación DBS y SIMPLAN</v>
          </cell>
          <cell r="G144" t="str">
            <v>Perú</v>
          </cell>
          <cell r="I144" t="str">
            <v>Minera Coimolache</v>
          </cell>
          <cell r="O144">
            <v>19700</v>
          </cell>
          <cell r="AA144" t="str">
            <v>Matias Fuentes</v>
          </cell>
        </row>
        <row r="145">
          <cell r="B145" t="str">
            <v>OT-TWM-CS-FEL00-119-A</v>
          </cell>
          <cell r="F145" t="str">
            <v>Twin Metals_Pre PFS Birch Lake Maturi</v>
          </cell>
          <cell r="G145" t="str">
            <v>Otros</v>
          </cell>
          <cell r="I145" t="str">
            <v>Twin Metals</v>
          </cell>
          <cell r="O145">
            <v>481541</v>
          </cell>
          <cell r="AA145" t="str">
            <v>Matías Palma</v>
          </cell>
        </row>
        <row r="146">
          <cell r="B146" t="str">
            <v>CH-CMP-CS-FEL00-120-A</v>
          </cell>
          <cell r="F146" t="str">
            <v>CMP_Capacidad Optima Tofo Norte</v>
          </cell>
          <cell r="G146" t="str">
            <v>Chile</v>
          </cell>
          <cell r="I146" t="str">
            <v>CMP</v>
          </cell>
          <cell r="AA146" t="str">
            <v>Ricardo Miranda</v>
          </cell>
        </row>
        <row r="147">
          <cell r="B147" t="str">
            <v>CH-CMP-UG-FEL00-121-A</v>
          </cell>
          <cell r="F147" t="str">
            <v>CMP_Scoping Study Algarrobo</v>
          </cell>
          <cell r="G147" t="str">
            <v>Chile</v>
          </cell>
          <cell r="I147" t="str">
            <v>CMP</v>
          </cell>
        </row>
        <row r="148">
          <cell r="B148" t="str">
            <v>OT-THC-CS-OTR00-122-A</v>
          </cell>
          <cell r="F148" t="str">
            <v>ThreeCrowns_Litigio Oyu Tolgoi</v>
          </cell>
          <cell r="G148" t="str">
            <v>Otros</v>
          </cell>
          <cell r="I148" t="str">
            <v>ThreeCrowns</v>
          </cell>
          <cell r="O148">
            <v>645700</v>
          </cell>
          <cell r="AA148" t="str">
            <v>Matias Fuentes</v>
          </cell>
        </row>
        <row r="149">
          <cell r="B149" t="str">
            <v>PE-MMG-OU-FEL2A-123-A</v>
          </cell>
          <cell r="F149" t="str">
            <v>LasBambas_PFS Ferrobamba UG</v>
          </cell>
          <cell r="G149" t="str">
            <v>Brasil</v>
          </cell>
          <cell r="I149" t="str">
            <v>MMG Las Bambas</v>
          </cell>
        </row>
        <row r="150">
          <cell r="B150" t="str">
            <v>CH-COD-CS-OTR00-124-A</v>
          </cell>
          <cell r="F150" t="str">
            <v>Codelco_Prácticas de Planificación DMH</v>
          </cell>
          <cell r="G150" t="str">
            <v>Chile</v>
          </cell>
          <cell r="I150" t="str">
            <v>Codelco</v>
          </cell>
          <cell r="O150">
            <v>14342</v>
          </cell>
          <cell r="AA150" t="str">
            <v>Mauricio Melendez</v>
          </cell>
        </row>
        <row r="151">
          <cell r="B151" t="str">
            <v>CH-COD-CS-OTR00-125-A</v>
          </cell>
          <cell r="F151" t="str">
            <v>Codelco_Normativa Recursos y Reservas</v>
          </cell>
          <cell r="G151" t="str">
            <v>Chile</v>
          </cell>
          <cell r="I151" t="str">
            <v>Codelco</v>
          </cell>
        </row>
        <row r="152">
          <cell r="B152" t="str">
            <v>PE-VLC-CS-OTR00-126-A</v>
          </cell>
          <cell r="F152" t="str">
            <v>Volcan_MEIA Romina</v>
          </cell>
          <cell r="G152" t="str">
            <v>Perú</v>
          </cell>
          <cell r="I152" t="str">
            <v>Volcan</v>
          </cell>
        </row>
        <row r="153">
          <cell r="B153" t="str">
            <v>CH-AAM-CS-OTR00-127-A</v>
          </cell>
          <cell r="F153" t="str">
            <v>AngloAmerican_Due Dilligence Andina</v>
          </cell>
          <cell r="G153" t="str">
            <v>Chile</v>
          </cell>
          <cell r="I153" t="str">
            <v>AngloAmerican</v>
          </cell>
        </row>
        <row r="154">
          <cell r="B154" t="str">
            <v>PE-CSC-UG-FEL2A-023-E</v>
          </cell>
          <cell r="F154" t="str">
            <v>PFS Los Calatos</v>
          </cell>
          <cell r="G154" t="str">
            <v>Perú</v>
          </cell>
          <cell r="I154" t="str">
            <v>CD Capital</v>
          </cell>
          <cell r="O154">
            <v>46760</v>
          </cell>
        </row>
        <row r="155">
          <cell r="B155" t="str">
            <v>CH-COD-CS-OTR00-128-A</v>
          </cell>
          <cell r="F155" t="str">
            <v>Codelco_Estándar cierre topográfico</v>
          </cell>
          <cell r="G155" t="str">
            <v>Chile</v>
          </cell>
          <cell r="I155" t="str">
            <v>Codelco</v>
          </cell>
          <cell r="O155">
            <v>36418</v>
          </cell>
          <cell r="AA155" t="str">
            <v>Mauricio Melendez</v>
          </cell>
        </row>
        <row r="156">
          <cell r="B156" t="str">
            <v>CH-COD-CS-OTR00-129-A</v>
          </cell>
          <cell r="F156" t="str">
            <v>Codelco_Actualización norma NCC-31</v>
          </cell>
          <cell r="G156" t="str">
            <v>Chile</v>
          </cell>
          <cell r="I156" t="str">
            <v>Codelco</v>
          </cell>
          <cell r="O156">
            <v>63381.369999999995</v>
          </cell>
          <cell r="AA156" t="str">
            <v>Mauricio Melendez</v>
          </cell>
        </row>
        <row r="157">
          <cell r="B157" t="str">
            <v>BR-AUM-OU-FEL00-130-A</v>
          </cell>
          <cell r="F157" t="str">
            <v>AuraMinerals_Expansión Mina Paiol OP-UG</v>
          </cell>
          <cell r="G157" t="str">
            <v>Brasil</v>
          </cell>
          <cell r="I157" t="str">
            <v>AuraMinerals</v>
          </cell>
          <cell r="O157">
            <v>310000</v>
          </cell>
          <cell r="AA157" t="str">
            <v>Alex Figueroa</v>
          </cell>
        </row>
        <row r="158">
          <cell r="B158" t="str">
            <v>OT-RES-CS-OTR00-131-A</v>
          </cell>
          <cell r="F158" t="str">
            <v>Resolution_MinePlan Review</v>
          </cell>
          <cell r="G158" t="str">
            <v>Otros</v>
          </cell>
          <cell r="I158" t="str">
            <v>Resolution</v>
          </cell>
          <cell r="O158">
            <v>254012</v>
          </cell>
          <cell r="AA158" t="str">
            <v>Mauricio Melendez</v>
          </cell>
        </row>
        <row r="159">
          <cell r="B159" t="str">
            <v>CH-COD-UG-FEL00-132-A</v>
          </cell>
          <cell r="F159" t="str">
            <v>Codelco_Alternativas de acceso UG DMH</v>
          </cell>
          <cell r="G159" t="str">
            <v>Chile</v>
          </cell>
          <cell r="I159" t="str">
            <v>Codelco</v>
          </cell>
          <cell r="AA159" t="str">
            <v>Mauricio Melendez</v>
          </cell>
        </row>
        <row r="160">
          <cell r="B160" t="str">
            <v>PE-CSC-UG-FEL2A-133-A</v>
          </cell>
          <cell r="F160" t="str">
            <v>PFS Los Calatos V3</v>
          </cell>
          <cell r="G160" t="str">
            <v>Perú</v>
          </cell>
          <cell r="I160" t="str">
            <v>CD Capital</v>
          </cell>
          <cell r="O160">
            <v>295769</v>
          </cell>
          <cell r="AA160" t="str">
            <v>Alex Figueroa</v>
          </cell>
        </row>
        <row r="161">
          <cell r="B161" t="str">
            <v>PE-MSR-UG-OTR00-134-A</v>
          </cell>
          <cell r="F161" t="str">
            <v>Minsur_Raura Análisis LOM25</v>
          </cell>
          <cell r="G161" t="str">
            <v>Perú</v>
          </cell>
          <cell r="I161" t="str">
            <v>Minsur</v>
          </cell>
          <cell r="O161">
            <v>51870</v>
          </cell>
          <cell r="AA161" t="str">
            <v>Matias Fuentes</v>
          </cell>
        </row>
        <row r="162">
          <cell r="B162" t="str">
            <v>CH-BHP-OP-FEL00-135-A</v>
          </cell>
          <cell r="F162" t="str">
            <v>BHP_Medidas de Cierre Botaderos</v>
          </cell>
          <cell r="G162" t="str">
            <v>Chile</v>
          </cell>
          <cell r="I162" t="str">
            <v>BHP</v>
          </cell>
          <cell r="O162">
            <v>904853</v>
          </cell>
          <cell r="AA162" t="str">
            <v>Ricardo Miranda</v>
          </cell>
        </row>
        <row r="163">
          <cell r="B163" t="str">
            <v>CH-CMP-UG-OTR00-095-B</v>
          </cell>
          <cell r="F163" t="str">
            <v>CMP_Estrategia Crecimiento Tofo Norte</v>
          </cell>
          <cell r="G163" t="str">
            <v>Chile</v>
          </cell>
          <cell r="I163" t="str">
            <v>CMP</v>
          </cell>
          <cell r="O163">
            <v>46011.26</v>
          </cell>
        </row>
        <row r="164">
          <cell r="B164" t="str">
            <v>CH-CMP-OP-OTR00-096-B</v>
          </cell>
          <cell r="F164" t="str">
            <v>CMP_Plan minero base MLC</v>
          </cell>
          <cell r="G164" t="str">
            <v>Chile</v>
          </cell>
          <cell r="I164" t="str">
            <v>CMP</v>
          </cell>
          <cell r="O164">
            <v>36107</v>
          </cell>
          <cell r="AA164" t="str">
            <v>Felipe Rojas</v>
          </cell>
        </row>
        <row r="165">
          <cell r="B165" t="str">
            <v>PE-MMG-UG-FEL00-136-A</v>
          </cell>
          <cell r="F165" t="str">
            <v>LasBambas_Ferrobambas UG Escenarios</v>
          </cell>
          <cell r="G165" t="str">
            <v>Perú</v>
          </cell>
          <cell r="I165" t="str">
            <v>MMG Las Bambas</v>
          </cell>
          <cell r="O165">
            <v>87520</v>
          </cell>
          <cell r="AA165" t="str">
            <v>Ricardo Miranda</v>
          </cell>
        </row>
        <row r="166">
          <cell r="B166" t="str">
            <v>CH-D&amp;P-CS-OTR00-137-A</v>
          </cell>
          <cell r="F166" t="str">
            <v>Estrategia Cobre Panama</v>
          </cell>
          <cell r="G166" t="str">
            <v>Chile</v>
          </cell>
          <cell r="I166" t="str">
            <v>Debevoise&amp;Plimpton</v>
          </cell>
          <cell r="O166">
            <v>272200.59999999998</v>
          </cell>
          <cell r="AA166" t="str">
            <v>Gonzalo Diaz</v>
          </cell>
        </row>
        <row r="167">
          <cell r="B167" t="str">
            <v>PE-OCP-CS-OTR00-138-A</v>
          </cell>
          <cell r="F167" t="str">
            <v>OCP_Análisis Estratégico Mina Cobriza</v>
          </cell>
          <cell r="G167" t="str">
            <v>Perú</v>
          </cell>
          <cell r="I167" t="str">
            <v>OCP</v>
          </cell>
          <cell r="O167">
            <v>184000</v>
          </cell>
          <cell r="AA167" t="str">
            <v>Matias Fuentes</v>
          </cell>
        </row>
        <row r="168">
          <cell r="B168" t="str">
            <v>CH-AAM-OT-FEL03-139-A</v>
          </cell>
          <cell r="F168" t="str">
            <v>AngloAmerican_Tecnología HDD</v>
          </cell>
          <cell r="G168" t="str">
            <v>Chile</v>
          </cell>
          <cell r="I168" t="str">
            <v>AngloAmerican</v>
          </cell>
          <cell r="O168">
            <v>183430</v>
          </cell>
          <cell r="AA168" t="str">
            <v>J.F. San Martin</v>
          </cell>
        </row>
        <row r="169">
          <cell r="B169" t="str">
            <v>CH-BHP-OP-OTR00-140-A</v>
          </cell>
          <cell r="F169" t="str">
            <v>BHP_Spence 2YB Analisys</v>
          </cell>
          <cell r="G169" t="str">
            <v>Chile</v>
          </cell>
          <cell r="I169" t="str">
            <v>BHP</v>
          </cell>
          <cell r="O169">
            <v>37400</v>
          </cell>
          <cell r="AA169" t="str">
            <v>Matias Fuentes</v>
          </cell>
        </row>
        <row r="170">
          <cell r="B170" t="str">
            <v>OT-TWM-CS-FEL00-141-A</v>
          </cell>
          <cell r="F170" t="str">
            <v>TwinMetals_Birch Lake Integration</v>
          </cell>
          <cell r="G170" t="str">
            <v>Otros</v>
          </cell>
          <cell r="I170" t="str">
            <v>Twin Metals</v>
          </cell>
          <cell r="O170">
            <v>132000</v>
          </cell>
          <cell r="AA170" t="str">
            <v>Carolina Arcos</v>
          </cell>
        </row>
        <row r="171">
          <cell r="B171" t="str">
            <v>PE-MSR-UG-FEL00-142-A</v>
          </cell>
          <cell r="F171" t="str">
            <v>Minsur_San Rafael Estudio V MEIA</v>
          </cell>
          <cell r="G171" t="str">
            <v>Perú</v>
          </cell>
          <cell r="I171" t="str">
            <v>Minsur</v>
          </cell>
          <cell r="O171">
            <v>248031</v>
          </cell>
          <cell r="AA171" t="str">
            <v>Gerson Alfaro</v>
          </cell>
        </row>
        <row r="172">
          <cell r="B172" t="str">
            <v>PE-MMG-UG-FEL2A-143-A</v>
          </cell>
          <cell r="F172" t="str">
            <v>LasBambas_Ferrobamba PFS</v>
          </cell>
          <cell r="G172" t="str">
            <v>Perú</v>
          </cell>
          <cell r="I172" t="str">
            <v>MMG Las Bambas</v>
          </cell>
          <cell r="O172">
            <v>1061121</v>
          </cell>
          <cell r="AA172" t="str">
            <v>J.F.San Martin</v>
          </cell>
        </row>
        <row r="173">
          <cell r="B173" t="str">
            <v>PE--CS-OTR00-144-A</v>
          </cell>
          <cell r="F173" t="str">
            <v>Simulaciones LB</v>
          </cell>
          <cell r="G173" t="str">
            <v>Perú</v>
          </cell>
          <cell r="O173">
            <v>60000</v>
          </cell>
        </row>
        <row r="174">
          <cell r="B174" t="str">
            <v>CH-BHP-OP-OTR00-145-A</v>
          </cell>
          <cell r="F174" t="str">
            <v>BHP_Análisis LoA 2025 - SCUT</v>
          </cell>
          <cell r="G174" t="str">
            <v>Chile</v>
          </cell>
          <cell r="I174" t="str">
            <v>BHP</v>
          </cell>
          <cell r="O174">
            <v>47590</v>
          </cell>
          <cell r="AA174" t="str">
            <v>Felipe Rojas</v>
          </cell>
        </row>
        <row r="175">
          <cell r="B175" t="str">
            <v>CH-AAM-CS-OTR00-146-A</v>
          </cell>
          <cell r="F175" t="str">
            <v>AngloAmerican_Análisis Productividad MLB</v>
          </cell>
          <cell r="G175" t="str">
            <v>Chile</v>
          </cell>
          <cell r="I175" t="str">
            <v>AngloAmerican</v>
          </cell>
          <cell r="O175">
            <v>62417</v>
          </cell>
          <cell r="AA175" t="str">
            <v>Felipe Rojas</v>
          </cell>
        </row>
        <row r="176">
          <cell r="B176" t="str">
            <v>BR-MOS-OU-FEL03-147-A</v>
          </cell>
          <cell r="F176" t="str">
            <v>Mosaic_Cajati Business Case</v>
          </cell>
          <cell r="G176" t="str">
            <v>Brasil</v>
          </cell>
          <cell r="I176" t="str">
            <v>Mosaic</v>
          </cell>
          <cell r="O176">
            <v>147935</v>
          </cell>
          <cell r="AA176" t="str">
            <v>Alex Figueroa</v>
          </cell>
        </row>
        <row r="177">
          <cell r="B177" t="str">
            <v>CH-CMP-OP-OTR00-096-C</v>
          </cell>
          <cell r="F177" t="str">
            <v>CMP_Plan minero base MLC</v>
          </cell>
          <cell r="G177" t="str">
            <v>Chile</v>
          </cell>
          <cell r="I177" t="str">
            <v>CMP</v>
          </cell>
          <cell r="O177">
            <v>17498</v>
          </cell>
          <cell r="AA177" t="str">
            <v>Felipe Rojas</v>
          </cell>
        </row>
        <row r="178">
          <cell r="B178" t="str">
            <v>RU-ATL-OP-FEL00-148-A</v>
          </cell>
          <cell r="F178" t="str">
            <v>AtlasMining_Ley de corte optima Malomyr</v>
          </cell>
          <cell r="G178" t="str">
            <v>Rusia</v>
          </cell>
          <cell r="I178" t="str">
            <v>Atlas Mining</v>
          </cell>
          <cell r="O178">
            <v>225000</v>
          </cell>
          <cell r="AA178" t="str">
            <v>J.F.San Martin</v>
          </cell>
        </row>
        <row r="179">
          <cell r="B179" t="str">
            <v>RU-POL-OP-FEL00-149-A</v>
          </cell>
          <cell r="F179" t="str">
            <v>Polyus_Evaluacion talud mina Blagodatny</v>
          </cell>
          <cell r="G179" t="str">
            <v>Rusia</v>
          </cell>
          <cell r="I179" t="str">
            <v>Polyus</v>
          </cell>
          <cell r="O179">
            <v>153748</v>
          </cell>
          <cell r="AA179" t="str">
            <v>C.Hernandez</v>
          </cell>
        </row>
        <row r="180">
          <cell r="B180" t="str">
            <v>OT-RES-CS-OTR00-150-A</v>
          </cell>
          <cell r="F180" t="str">
            <v>Resolution_UGC 68L Program</v>
          </cell>
          <cell r="G180" t="str">
            <v>Otros</v>
          </cell>
          <cell r="I180" t="str">
            <v>Resolution</v>
          </cell>
          <cell r="O180">
            <v>47808</v>
          </cell>
          <cell r="AA180" t="str">
            <v>Carolina Arcos</v>
          </cell>
        </row>
        <row r="181">
          <cell r="B181" t="str">
            <v>PE-MSR-UG-OTR00-151-A</v>
          </cell>
          <cell r="F181" t="str">
            <v>Minsur_LOM Integrado San Rafael 2025</v>
          </cell>
          <cell r="G181" t="str">
            <v>Perú</v>
          </cell>
          <cell r="I181" t="str">
            <v>Minsur</v>
          </cell>
          <cell r="O181">
            <v>60000</v>
          </cell>
          <cell r="AA181" t="str">
            <v>Matias Fuentes</v>
          </cell>
        </row>
        <row r="182">
          <cell r="B182" t="str">
            <v>BR-ERC-UG-FEL00-152-A</v>
          </cell>
          <cell r="F182" t="str">
            <v>EroCopper_Scoping Proyecto Furnas</v>
          </cell>
          <cell r="G182" t="str">
            <v>Brasil</v>
          </cell>
          <cell r="I182" t="str">
            <v>EroCopper</v>
          </cell>
          <cell r="O182">
            <v>562180</v>
          </cell>
          <cell r="AA182" t="str">
            <v>M.Fuentes</v>
          </cell>
        </row>
        <row r="183">
          <cell r="B183" t="str">
            <v>BR-AUM-OU-FEL2A-130-B</v>
          </cell>
          <cell r="F183" t="str">
            <v>AuraMinerals_Expansión Mina Paiol OP-UG</v>
          </cell>
          <cell r="G183" t="str">
            <v>Brasil</v>
          </cell>
          <cell r="I183" t="str">
            <v>AuraMinerals</v>
          </cell>
          <cell r="O183">
            <v>108000</v>
          </cell>
          <cell r="AA183" t="str">
            <v>Alex Figueroa</v>
          </cell>
        </row>
        <row r="184">
          <cell r="B184" t="str">
            <v>PE-HUD-GM-FEL00-153-A</v>
          </cell>
          <cell r="F184" t="str">
            <v>Hudbay_Actualización Riesgo Sísmico</v>
          </cell>
          <cell r="G184" t="str">
            <v>Perú</v>
          </cell>
          <cell r="I184" t="str">
            <v>Hudbay</v>
          </cell>
          <cell r="O184">
            <v>36720</v>
          </cell>
          <cell r="AA184" t="str">
            <v>Claudio Hernandez</v>
          </cell>
        </row>
        <row r="185">
          <cell r="B185" t="str">
            <v>CH-LUN-CS-OTR00-154-A</v>
          </cell>
          <cell r="F185" t="str">
            <v>Lundin_Análisis Estratégico Caserones</v>
          </cell>
          <cell r="G185" t="str">
            <v>Chile</v>
          </cell>
          <cell r="I185" t="str">
            <v>Lundin</v>
          </cell>
          <cell r="O185">
            <v>299270</v>
          </cell>
          <cell r="AA185" t="str">
            <v>Felipe Rojas</v>
          </cell>
        </row>
        <row r="186">
          <cell r="B186" t="str">
            <v>CH-BHP-OP-FEL00-135-B</v>
          </cell>
          <cell r="F186" t="str">
            <v>BHP_Medidas de Cierre Botaderos</v>
          </cell>
          <cell r="G186" t="str">
            <v>Chile</v>
          </cell>
          <cell r="I186" t="str">
            <v>BHP</v>
          </cell>
          <cell r="O186">
            <v>42940</v>
          </cell>
          <cell r="AA186" t="str">
            <v>Ricardo Miranda</v>
          </cell>
        </row>
        <row r="187">
          <cell r="B187" t="str">
            <v>CH-BHP-OP-FEL00-135-C</v>
          </cell>
          <cell r="F187" t="str">
            <v>BHP_Medidas de Cierre Botaderos</v>
          </cell>
          <cell r="G187" t="str">
            <v>Chile</v>
          </cell>
          <cell r="I187" t="str">
            <v>BHP</v>
          </cell>
          <cell r="O187">
            <v>226030</v>
          </cell>
          <cell r="AA187" t="str">
            <v>Ricardo Miranda</v>
          </cell>
        </row>
        <row r="188">
          <cell r="B188" t="str">
            <v>PE-MMG-UG-FEL00-136-B</v>
          </cell>
          <cell r="F188" t="str">
            <v>LasBambas_Ferrobambas UG Escenarios</v>
          </cell>
          <cell r="G188" t="str">
            <v>Perú</v>
          </cell>
          <cell r="I188" t="str">
            <v>MMG Las Bambas</v>
          </cell>
          <cell r="O188">
            <v>18360</v>
          </cell>
          <cell r="AA188" t="str">
            <v>Ricardo Miranda</v>
          </cell>
        </row>
        <row r="189">
          <cell r="B189" t="str">
            <v>PE-CSC-UG-FEL2A-133-B</v>
          </cell>
          <cell r="F189" t="str">
            <v>PFS Los Calatos V3</v>
          </cell>
          <cell r="G189" t="str">
            <v>Perú</v>
          </cell>
          <cell r="I189" t="str">
            <v>CD Capital</v>
          </cell>
          <cell r="O189">
            <v>152618</v>
          </cell>
          <cell r="AA189" t="str">
            <v>Alex Figueroa</v>
          </cell>
        </row>
        <row r="190">
          <cell r="B190" t="str">
            <v>CH-CMP-OP-FEL00-155-A</v>
          </cell>
          <cell r="F190" t="str">
            <v>CMP_Actualización Casos de Negocios CNN</v>
          </cell>
          <cell r="G190" t="str">
            <v>Chile</v>
          </cell>
          <cell r="I190" t="str">
            <v>CMP</v>
          </cell>
          <cell r="O190">
            <v>20733</v>
          </cell>
          <cell r="AA190" t="str">
            <v>Felipe Rojas</v>
          </cell>
        </row>
        <row r="191">
          <cell r="B191" t="str">
            <v>PE-ALP-GM-FEL00-156-A</v>
          </cell>
          <cell r="F191" t="str">
            <v>Alpayana_Estudio de Sismicidad</v>
          </cell>
          <cell r="G191" t="str">
            <v>Perú</v>
          </cell>
          <cell r="I191" t="str">
            <v>Alpayana</v>
          </cell>
          <cell r="O191">
            <v>187619</v>
          </cell>
          <cell r="AA191" t="str">
            <v>C.Hernandez</v>
          </cell>
        </row>
        <row r="192">
          <cell r="B192" t="str">
            <v>PE-VLC-GM-FEL00-157-A</v>
          </cell>
          <cell r="F192" t="str">
            <v>Alpamarca_Estudio de Estabilidad Tajo</v>
          </cell>
          <cell r="G192" t="str">
            <v>Perú</v>
          </cell>
          <cell r="I192" t="str">
            <v>Volcan</v>
          </cell>
          <cell r="O192">
            <v>24440</v>
          </cell>
          <cell r="AA192" t="str">
            <v>C.Hernandez</v>
          </cell>
        </row>
        <row r="193">
          <cell r="B193" t="str">
            <v>BR-TAB-OP-FEL00-158-A</v>
          </cell>
          <cell r="F193" t="str">
            <v>Taboca_Evaluación Mina Pitinga</v>
          </cell>
          <cell r="G193" t="str">
            <v>Brasil</v>
          </cell>
          <cell r="I193" t="str">
            <v>Taboca</v>
          </cell>
          <cell r="O193">
            <v>180000</v>
          </cell>
          <cell r="AA193" t="str">
            <v>Matias Fuentes</v>
          </cell>
        </row>
        <row r="194">
          <cell r="B194" t="str">
            <v>CH-CCO-CS-OTR00-159-A</v>
          </cell>
          <cell r="F194" t="str">
            <v>Capstone Copper_Production at Risk</v>
          </cell>
          <cell r="G194" t="str">
            <v>Chile</v>
          </cell>
          <cell r="I194" t="str">
            <v>Capstone Copper</v>
          </cell>
          <cell r="O194">
            <v>148281</v>
          </cell>
          <cell r="AA194" t="str">
            <v>Gonzalo Diaz</v>
          </cell>
        </row>
        <row r="195">
          <cell r="B195" t="str">
            <v>PE-SPM-UG-FEL03-160-A</v>
          </cell>
          <cell r="F195" t="str">
            <v>SPM_FS Labores Subterraneas 2da MEIA</v>
          </cell>
          <cell r="G195" t="str">
            <v>Perú</v>
          </cell>
          <cell r="I195" t="str">
            <v>Santander Peruvian Mine</v>
          </cell>
          <cell r="O195">
            <v>122239</v>
          </cell>
          <cell r="AA195" t="str">
            <v>M.Fuentes</v>
          </cell>
        </row>
        <row r="196">
          <cell r="B196" t="str">
            <v>BR-LHG-UG-OTR00-161-A</v>
          </cell>
          <cell r="F196" t="str">
            <v>LHG_LOM Urucum</v>
          </cell>
          <cell r="G196" t="str">
            <v>Brasil</v>
          </cell>
          <cell r="I196" t="str">
            <v>Lhg Mining</v>
          </cell>
          <cell r="O196">
            <v>113137</v>
          </cell>
          <cell r="AA196" t="str">
            <v>Carolina Arcos</v>
          </cell>
        </row>
        <row r="197">
          <cell r="B197" t="str">
            <v>PE-MSR-UG-OTR00-162-A</v>
          </cell>
          <cell r="F197" t="str">
            <v>Minsur_Soporte LOM 2025 Raura</v>
          </cell>
          <cell r="G197" t="str">
            <v>Perú</v>
          </cell>
          <cell r="I197" t="str">
            <v>Minsur</v>
          </cell>
          <cell r="O197">
            <v>35690</v>
          </cell>
          <cell r="AA197" t="str">
            <v>Matias Fuentes</v>
          </cell>
        </row>
        <row r="198">
          <cell r="B198" t="str">
            <v>PE-MSR-CS-OTR00-163-A</v>
          </cell>
          <cell r="F198" t="str">
            <v>Minsur_Factibilidad Infraestructura Coreshack</v>
          </cell>
          <cell r="G198" t="str">
            <v>Perú</v>
          </cell>
          <cell r="I198" t="str">
            <v>Minsur</v>
          </cell>
          <cell r="O198">
            <v>64060</v>
          </cell>
          <cell r="AA198" t="str">
            <v>Matias Fuentes</v>
          </cell>
        </row>
        <row r="199">
          <cell r="B199" t="str">
            <v>BR-CBM-CS-OTR00-164-A</v>
          </cell>
          <cell r="F199" t="str">
            <v>CBMM_SIMPLAN Initiatives Evaluation</v>
          </cell>
          <cell r="G199" t="str">
            <v>Brasil</v>
          </cell>
          <cell r="I199" t="str">
            <v>CBMM</v>
          </cell>
          <cell r="O199">
            <v>80293</v>
          </cell>
          <cell r="AA199" t="str">
            <v>M.Fuentes</v>
          </cell>
        </row>
        <row r="200">
          <cell r="B200" t="str">
            <v>CH-AMS-CS-OTR00-165-A</v>
          </cell>
          <cell r="F200" t="str">
            <v>AMSA_Mejoras Planificación Centinela</v>
          </cell>
          <cell r="G200" t="str">
            <v>Chile</v>
          </cell>
          <cell r="I200" t="str">
            <v>AMSA</v>
          </cell>
          <cell r="O200">
            <v>80125</v>
          </cell>
          <cell r="AA200" t="str">
            <v>Felipe Rojas</v>
          </cell>
        </row>
        <row r="201">
          <cell r="B201" t="str">
            <v>PE-VLC-GM-FEL00-166-A</v>
          </cell>
          <cell r="F201" t="str">
            <v>Volcan_Estudio Estabilidad Desmonteras</v>
          </cell>
          <cell r="G201" t="str">
            <v>Perú</v>
          </cell>
          <cell r="I201" t="str">
            <v>Volcan</v>
          </cell>
          <cell r="O201">
            <v>38209</v>
          </cell>
          <cell r="AA201" t="str">
            <v>Claudio Hernandez</v>
          </cell>
        </row>
        <row r="202">
          <cell r="B202" t="str">
            <v>PE-NEX-GM-FEL00-167-A</v>
          </cell>
          <cell r="F202" t="str">
            <v>NEXA_Estudio Geomecánico AT y EP</v>
          </cell>
          <cell r="G202" t="str">
            <v>Perú</v>
          </cell>
          <cell r="I202" t="str">
            <v>Nexa</v>
          </cell>
          <cell r="O202">
            <v>80283</v>
          </cell>
          <cell r="AA202" t="str">
            <v>Claudio Hernandez</v>
          </cell>
        </row>
        <row r="203">
          <cell r="B203" t="str">
            <v>PE-NEX-CS-OTR00-168-A</v>
          </cell>
          <cell r="F203" t="str">
            <v>NEXA_Peer Review Cerro Lindo</v>
          </cell>
          <cell r="G203" t="str">
            <v>Perú</v>
          </cell>
          <cell r="I203" t="str">
            <v>Nexa</v>
          </cell>
          <cell r="O203">
            <v>29716</v>
          </cell>
          <cell r="AA203" t="str">
            <v>Claudio Hernandez</v>
          </cell>
        </row>
        <row r="204">
          <cell r="B204" t="str">
            <v>CH-CRF-CS-FEL00-169-A</v>
          </cell>
          <cell r="F204" t="str">
            <v>CORFO_Valorización Boquerón Chañar</v>
          </cell>
          <cell r="G204" t="str">
            <v>Chile</v>
          </cell>
          <cell r="I204" t="str">
            <v>CORFO</v>
          </cell>
          <cell r="O204">
            <v>40000</v>
          </cell>
          <cell r="AA204" t="str">
            <v>Carolina Arcos</v>
          </cell>
        </row>
        <row r="205">
          <cell r="B205" t="str">
            <v>CH-PUC-CS-OTR00-170-A</v>
          </cell>
          <cell r="F205" t="str">
            <v>PUCOBRE_Acompañamiento Reservas Tovaku</v>
          </cell>
          <cell r="G205" t="str">
            <v>Chile</v>
          </cell>
          <cell r="I205" t="str">
            <v>PUCOBRE</v>
          </cell>
          <cell r="O205">
            <v>20350</v>
          </cell>
          <cell r="AA205" t="str">
            <v>Felipe Rojas</v>
          </cell>
        </row>
        <row r="206">
          <cell r="B206" t="str">
            <v>CH-AMS-OP-FEL00-171-A</v>
          </cell>
          <cell r="F206" t="str">
            <v>AMSA_RIINO BC - Centinela</v>
          </cell>
          <cell r="G206" t="str">
            <v>Chile</v>
          </cell>
          <cell r="I206" t="str">
            <v>AMSA</v>
          </cell>
          <cell r="O206">
            <v>153605.26</v>
          </cell>
          <cell r="AA206" t="str">
            <v>J.F. San Martin</v>
          </cell>
        </row>
        <row r="207">
          <cell r="B207" t="str">
            <v>BR-EQG-UG-FEL03-172-A</v>
          </cell>
          <cell r="F207" t="str">
            <v>EQUINOX_Actualización Ing. Básica UG</v>
          </cell>
          <cell r="G207" t="str">
            <v>Brasil</v>
          </cell>
          <cell r="I207" t="str">
            <v>Equinox Gold</v>
          </cell>
          <cell r="O207">
            <v>353992.61</v>
          </cell>
          <cell r="AA207" t="str">
            <v>M.Fuentes</v>
          </cell>
        </row>
        <row r="208">
          <cell r="B208" t="str">
            <v>RU-POL-OP-FEL00-173-A</v>
          </cell>
          <cell r="F208" t="str">
            <v>Polyus_Olimpiada Cutback 5&amp;6</v>
          </cell>
          <cell r="G208" t="str">
            <v>Rusia</v>
          </cell>
          <cell r="I208" t="str">
            <v>Polyus</v>
          </cell>
          <cell r="O208">
            <v>178686</v>
          </cell>
          <cell r="AA208" t="str">
            <v>C.Hernandez</v>
          </cell>
        </row>
        <row r="209">
          <cell r="B209" t="str">
            <v>CH-COD-UG-FEL00-174-A</v>
          </cell>
          <cell r="F209" t="str">
            <v>Codelco_Formulación caso de negocio TBM</v>
          </cell>
          <cell r="G209" t="str">
            <v>Chile</v>
          </cell>
          <cell r="I209" t="str">
            <v>Codelco</v>
          </cell>
          <cell r="O209">
            <v>85371</v>
          </cell>
          <cell r="AA209" t="str">
            <v>M.Fuentes</v>
          </cell>
        </row>
        <row r="210">
          <cell r="B210" t="str">
            <v>CH-COL-OT-FEL2A-175-A</v>
          </cell>
          <cell r="F210" t="str">
            <v>Collahuasi_PFS Perforación pozos con HDD</v>
          </cell>
          <cell r="G210" t="str">
            <v>Chile</v>
          </cell>
          <cell r="I210" t="str">
            <v>Collahuasi</v>
          </cell>
        </row>
        <row r="211">
          <cell r="B211" t="str">
            <v>OT-FNE-CS-OTR00-176-A</v>
          </cell>
          <cell r="F211" t="str">
            <v>FN_Oko West project review</v>
          </cell>
          <cell r="G211" t="str">
            <v>Otros</v>
          </cell>
          <cell r="I211" t="str">
            <v>Franco Nevada</v>
          </cell>
          <cell r="O211">
            <v>52400</v>
          </cell>
        </row>
        <row r="212">
          <cell r="B212" t="str">
            <v>OT-RES-CS-OTR00-177-A</v>
          </cell>
          <cell r="F212" t="str">
            <v>Resolution_Narrow Panel Caving UGC</v>
          </cell>
          <cell r="G212" t="str">
            <v>Otros</v>
          </cell>
          <cell r="I212" t="str">
            <v>Resolution</v>
          </cell>
        </row>
        <row r="213">
          <cell r="B213" t="str">
            <v>OT-RES-CS-OTR00-178-A</v>
          </cell>
          <cell r="F213" t="str">
            <v>Resolution_General Review</v>
          </cell>
          <cell r="G213" t="str">
            <v>Otros</v>
          </cell>
          <cell r="I213" t="str">
            <v>Resolution</v>
          </cell>
          <cell r="O213">
            <v>217777</v>
          </cell>
          <cell r="AA213" t="str">
            <v>M.Fuentes</v>
          </cell>
        </row>
        <row r="214">
          <cell r="B214" t="str">
            <v>CH-AAM-CS-OTR00-179-A</v>
          </cell>
          <cell r="F214" t="str">
            <v>Anglo_Production at Risk Mina Rio</v>
          </cell>
          <cell r="G214" t="str">
            <v>Chile</v>
          </cell>
          <cell r="I214" t="str">
            <v>AngloAmerican</v>
          </cell>
          <cell r="O214">
            <v>84870</v>
          </cell>
        </row>
        <row r="215">
          <cell r="B215" t="str">
            <v>CH-COL-CS-OTR00-180-A</v>
          </cell>
          <cell r="F215" t="str">
            <v>Collahuasi_Análisis Mine Compliance</v>
          </cell>
          <cell r="G215" t="str">
            <v>Chile</v>
          </cell>
          <cell r="I215" t="str">
            <v>Collahuasi</v>
          </cell>
          <cell r="O215">
            <v>52492</v>
          </cell>
          <cell r="AA215" t="str">
            <v>M.Fuentes</v>
          </cell>
        </row>
        <row r="216">
          <cell r="B216" t="str">
            <v>BR-AUM-UG-FEL2A-181-A</v>
          </cell>
          <cell r="F216" t="str">
            <v>AuraMinerals_Proyecto Paiol PFS UG</v>
          </cell>
          <cell r="G216" t="str">
            <v>Brasil</v>
          </cell>
          <cell r="I216" t="str">
            <v>AuraMinerals</v>
          </cell>
          <cell r="O216">
            <v>192082.19</v>
          </cell>
          <cell r="AA216" t="str">
            <v>M.Fuentes</v>
          </cell>
        </row>
        <row r="217">
          <cell r="B217" t="str">
            <v>PE-MMA-OP-FEL00-182-A</v>
          </cell>
          <cell r="F217" t="str">
            <v>Miskimayo_Evaluación Transporte en Mina</v>
          </cell>
          <cell r="G217" t="str">
            <v>Perú</v>
          </cell>
          <cell r="I217" t="str">
            <v>Miski Mayo</v>
          </cell>
          <cell r="O217">
            <v>141747</v>
          </cell>
          <cell r="AA217" t="str">
            <v>M.Fuentes</v>
          </cell>
        </row>
        <row r="218">
          <cell r="B218" t="str">
            <v>CH-GLE-CS-OTR00-183-A</v>
          </cell>
          <cell r="F218" t="str">
            <v>Glencore_Estrategia de Propiedades CMLB</v>
          </cell>
          <cell r="G218" t="str">
            <v>Chile</v>
          </cell>
          <cell r="I218" t="str">
            <v>Glencore</v>
          </cell>
          <cell r="O218">
            <v>198640</v>
          </cell>
          <cell r="AA218" t="str">
            <v>M.Fuentes</v>
          </cell>
        </row>
        <row r="219">
          <cell r="B219" t="str">
            <v>CH-CAP-CS-OTR00-184-A</v>
          </cell>
          <cell r="F219" t="str">
            <v>CAP_Due Diligence Costa Fuego</v>
          </cell>
          <cell r="G219" t="str">
            <v>Chile</v>
          </cell>
          <cell r="I219" t="str">
            <v>CAP</v>
          </cell>
          <cell r="O219">
            <v>142000</v>
          </cell>
        </row>
        <row r="220">
          <cell r="B220" t="str">
            <v>CH-COL-CS-OTR00-185-A</v>
          </cell>
          <cell r="F220" t="str">
            <v>Collahuasi_Valor Incorporación Chx.03</v>
          </cell>
          <cell r="G220" t="str">
            <v>Chile</v>
          </cell>
          <cell r="I220" t="str">
            <v>Collahuasi</v>
          </cell>
          <cell r="O220">
            <v>40120</v>
          </cell>
          <cell r="AA220" t="str">
            <v>J.F. San Martin</v>
          </cell>
        </row>
        <row r="221">
          <cell r="B221" t="str">
            <v>CH-ERG-GM-FEL00-186-A</v>
          </cell>
          <cell r="F221" t="str">
            <v>ERG_Parámetros estabilidad taludes</v>
          </cell>
          <cell r="G221" t="str">
            <v>Chile</v>
          </cell>
          <cell r="I221" t="str">
            <v>ERG</v>
          </cell>
          <cell r="O221">
            <v>229330</v>
          </cell>
          <cell r="AA221" t="str">
            <v>C.Hernandez</v>
          </cell>
        </row>
        <row r="222">
          <cell r="B222" t="str">
            <v>PE-CSC-CS-OTR00-187-A</v>
          </cell>
          <cell r="F222" t="str">
            <v>Los Calatos_MR&amp;MR y Estrategia Distrital</v>
          </cell>
          <cell r="G222" t="str">
            <v>Perú</v>
          </cell>
          <cell r="I222" t="str">
            <v>CD Capital</v>
          </cell>
          <cell r="O222">
            <v>134500</v>
          </cell>
        </row>
        <row r="223">
          <cell r="B223" t="str">
            <v>PE-ECR-UG-FEL00-188-A</v>
          </cell>
          <cell r="F223" t="str">
            <v>Emincar_Los Castellanos_UG</v>
          </cell>
          <cell r="G223" t="str">
            <v>Perú</v>
          </cell>
          <cell r="I223" t="str">
            <v>Emincar</v>
          </cell>
          <cell r="O223">
            <v>187113</v>
          </cell>
          <cell r="AA223" t="str">
            <v>J.F. San Martin</v>
          </cell>
        </row>
        <row r="224">
          <cell r="B224" t="str">
            <v>CH-ERG-GM-FEL00-189-A</v>
          </cell>
          <cell r="F224" t="str">
            <v>ERG_Structural Model Update</v>
          </cell>
          <cell r="G224" t="str">
            <v>Chile</v>
          </cell>
          <cell r="I224" t="str">
            <v>ERG</v>
          </cell>
          <cell r="O224">
            <v>0</v>
          </cell>
          <cell r="AA224" t="str">
            <v>C.Hernandez</v>
          </cell>
        </row>
        <row r="225">
          <cell r="B225" t="str">
            <v>PE-HCS-UG-FEL00-190-A</v>
          </cell>
          <cell r="F225" t="str">
            <v>Hochschild_FS Metodos de Minado Tesoro</v>
          </cell>
          <cell r="G225" t="str">
            <v>Perú</v>
          </cell>
          <cell r="I225" t="str">
            <v>Hochschild</v>
          </cell>
          <cell r="O225">
            <v>92800</v>
          </cell>
          <cell r="AA225" t="str">
            <v>C.Hernandez</v>
          </cell>
        </row>
        <row r="226">
          <cell r="B226" t="str">
            <v>PE-BRO-GM-FEL00-191-A</v>
          </cell>
          <cell r="F226" t="str">
            <v>ElBrocal_Estudio Geomecanico Estabilidad</v>
          </cell>
          <cell r="G226" t="str">
            <v>Perú</v>
          </cell>
          <cell r="I226" t="str">
            <v>El Brocal</v>
          </cell>
          <cell r="O226">
            <v>214363</v>
          </cell>
          <cell r="AA226" t="str">
            <v>C.Hernandez</v>
          </cell>
        </row>
        <row r="227">
          <cell r="B227" t="str">
            <v>PE-CSC-CS-OTR00-192-A</v>
          </cell>
          <cell r="F227" t="str">
            <v>Los Calatos_Resource Development Plan</v>
          </cell>
          <cell r="G227" t="str">
            <v>Perú</v>
          </cell>
          <cell r="I227" t="str">
            <v>CD Capital</v>
          </cell>
          <cell r="O227">
            <v>61505</v>
          </cell>
          <cell r="AA227" t="str">
            <v>M.Fuentes</v>
          </cell>
        </row>
        <row r="228">
          <cell r="B228" t="str">
            <v>CH-COD-CS-OTR00-193-A</v>
          </cell>
          <cell r="F228" t="str">
            <v>Codelco_Auditoria Recursos y Reservas</v>
          </cell>
          <cell r="G228" t="str">
            <v>Chile</v>
          </cell>
          <cell r="I228" t="str">
            <v>Codelco</v>
          </cell>
          <cell r="O228">
            <v>257988</v>
          </cell>
          <cell r="AA228" t="str">
            <v>M.Fuentes</v>
          </cell>
        </row>
        <row r="229">
          <cell r="B229" t="str">
            <v>CH-COL-CS-OTR00-194-A</v>
          </cell>
          <cell r="F229" t="str">
            <v>Collahuasi_Mine Compliance 2026</v>
          </cell>
          <cell r="G229" t="str">
            <v>Chile</v>
          </cell>
          <cell r="I229" t="str">
            <v>Collahuasi</v>
          </cell>
          <cell r="O229">
            <v>100665</v>
          </cell>
        </row>
        <row r="230">
          <cell r="B230" t="str">
            <v>CH-BRR-CS-OTR00-195-A</v>
          </cell>
          <cell r="F230" t="str">
            <v>Barrick_Production at Risk Veladero</v>
          </cell>
          <cell r="G230" t="str">
            <v>Chile</v>
          </cell>
          <cell r="I230" t="str">
            <v>Barrick</v>
          </cell>
          <cell r="O230">
            <v>74196</v>
          </cell>
        </row>
        <row r="231">
          <cell r="B231" t="str">
            <v>OT-FPT-OU-FEL00-196-A</v>
          </cell>
          <cell r="F231" t="str">
            <v>Freeport_GBC Restart Strategy Services</v>
          </cell>
          <cell r="G231" t="str">
            <v>Otros</v>
          </cell>
          <cell r="I231" t="str">
            <v>Freeport</v>
          </cell>
          <cell r="O231">
            <v>499350</v>
          </cell>
        </row>
        <row r="232">
          <cell r="B232" t="str">
            <v>BR-MOS-OU-FEL00-197-A</v>
          </cell>
          <cell r="F232" t="str">
            <v>Mosaic_Cajati LOM Open Pit</v>
          </cell>
          <cell r="G232" t="str">
            <v>Brasil</v>
          </cell>
          <cell r="I232" t="str">
            <v>Mosaic</v>
          </cell>
          <cell r="O232">
            <v>92135</v>
          </cell>
        </row>
        <row r="233">
          <cell r="B233" t="str">
            <v>PE-CSC-OT-OTR00-198-A</v>
          </cell>
          <cell r="F233" t="str">
            <v>Los Calatos_DD-Support</v>
          </cell>
          <cell r="G233" t="str">
            <v>Perú</v>
          </cell>
          <cell r="I233" t="str">
            <v>CD Capital</v>
          </cell>
          <cell r="O233">
            <v>24635</v>
          </cell>
        </row>
        <row r="234">
          <cell r="B234" t="str">
            <v>CH-GLE-CS-OTR00-199-A</v>
          </cell>
          <cell r="F234" t="str">
            <v>Glencore_Mining Simulation Mara</v>
          </cell>
          <cell r="G234" t="str">
            <v>Chile</v>
          </cell>
          <cell r="I234" t="str">
            <v>Glencore</v>
          </cell>
          <cell r="O234">
            <v>80200</v>
          </cell>
        </row>
        <row r="235">
          <cell r="B235" t="str">
            <v>PE-MSR-UG-OTR00-200-A</v>
          </cell>
          <cell r="F235" t="str">
            <v>Minsur_LOM Integrado San Rafael 2026</v>
          </cell>
          <cell r="G235" t="str">
            <v>Perú</v>
          </cell>
          <cell r="I235" t="str">
            <v>Minsur</v>
          </cell>
          <cell r="O235">
            <v>149120</v>
          </cell>
        </row>
        <row r="236">
          <cell r="B236" t="str">
            <v>OT-STH-CS-OTR00-201-A</v>
          </cell>
          <cell r="F236" t="str">
            <v>South32_Clark Project</v>
          </cell>
          <cell r="G236" t="str">
            <v>Otros</v>
          </cell>
          <cell r="I236" t="str">
            <v>South 32</v>
          </cell>
          <cell r="O236">
            <v>165650</v>
          </cell>
        </row>
        <row r="237">
          <cell r="B237" t="str">
            <v>OT-HCL-CS-OTR00-202-A</v>
          </cell>
          <cell r="F237" t="str">
            <v>Hecla_Lucky Friday Mine</v>
          </cell>
          <cell r="G237" t="str">
            <v>Otros</v>
          </cell>
          <cell r="I237" t="str">
            <v>Hecla</v>
          </cell>
          <cell r="O237">
            <v>47360</v>
          </cell>
        </row>
        <row r="238">
          <cell r="B238" t="str">
            <v>PE-AES-UG-FEL00-203-A</v>
          </cell>
          <cell r="F238" t="str">
            <v>AESA_Construccion Rampas Mina Justa</v>
          </cell>
          <cell r="G238" t="str">
            <v>Perú</v>
          </cell>
          <cell r="I238" t="str">
            <v>AESA</v>
          </cell>
          <cell r="O238">
            <v>19302</v>
          </cell>
        </row>
        <row r="239">
          <cell r="B239" t="str">
            <v>PE-HCS-UG-OTR00-204-A</v>
          </cell>
          <cell r="F239" t="str">
            <v>Hochschild_LOM UG Royropata</v>
          </cell>
          <cell r="G239" t="str">
            <v>Perú</v>
          </cell>
          <cell r="I239" t="str">
            <v>Hochschild</v>
          </cell>
          <cell r="O239">
            <v>15900</v>
          </cell>
        </row>
        <row r="240">
          <cell r="B240" t="str">
            <v>PE-MMA-CS-OTR00-205-A</v>
          </cell>
          <cell r="F240" t="str">
            <v>Miskimayo_Actualizacion R&amp;R Mina Bayovar</v>
          </cell>
          <cell r="G240" t="str">
            <v>Perú</v>
          </cell>
          <cell r="I240" t="str">
            <v>Miski Mayo</v>
          </cell>
          <cell r="O240">
            <v>77298</v>
          </cell>
        </row>
        <row r="241">
          <cell r="B241" t="str">
            <v>PE-HUD-GM-FEL00-206-A</v>
          </cell>
          <cell r="F241" t="str">
            <v>Hudbay_Ampliacion Peligro Sísmico</v>
          </cell>
          <cell r="G241" t="str">
            <v>Perú</v>
          </cell>
          <cell r="I241" t="str">
            <v>Hudbay</v>
          </cell>
          <cell r="O241">
            <v>18420</v>
          </cell>
        </row>
        <row r="242">
          <cell r="B242" t="str">
            <v>BR-MOS-GM-FEL00-207-A</v>
          </cell>
          <cell r="F242" t="str">
            <v>Mosaic_Análisis de Estabilidad</v>
          </cell>
          <cell r="G242" t="str">
            <v>Brasil</v>
          </cell>
          <cell r="I242" t="str">
            <v>Mosaic</v>
          </cell>
          <cell r="O242">
            <v>43200</v>
          </cell>
        </row>
        <row r="243">
          <cell r="B243" t="str">
            <v>BR-ERC-GM-FEL00-208-A</v>
          </cell>
          <cell r="F243" t="str">
            <v>EroCopper_Surubim OP Mine</v>
          </cell>
          <cell r="G243" t="str">
            <v>Brasil</v>
          </cell>
          <cell r="I243" t="str">
            <v>EroCopper</v>
          </cell>
          <cell r="O243">
            <v>80620</v>
          </cell>
        </row>
        <row r="244">
          <cell r="B244" t="str">
            <v>CH-MIN-CS-FEL00-209-A</v>
          </cell>
          <cell r="F244" t="str">
            <v>MineriaIman_PEA Proyecto Iman</v>
          </cell>
          <cell r="G244" t="str">
            <v>Chile</v>
          </cell>
          <cell r="I244" t="str">
            <v>Mineria Iman</v>
          </cell>
          <cell r="O244">
            <v>194815</v>
          </cell>
        </row>
        <row r="245">
          <cell r="B245" t="str">
            <v>OT-STC-UG-FEL03-210-A</v>
          </cell>
          <cell r="F245" t="str">
            <v>Stantec_I80 Archimedes UG FS</v>
          </cell>
          <cell r="G245" t="str">
            <v>Otros</v>
          </cell>
          <cell r="I245" t="str">
            <v>Stantec</v>
          </cell>
          <cell r="O245">
            <v>746000</v>
          </cell>
        </row>
        <row r="246">
          <cell r="B246" t="str">
            <v>CH-COD-OP-FEL00-211-A</v>
          </cell>
          <cell r="F246" t="str">
            <v>Codelco_DET Rajo Sur</v>
          </cell>
          <cell r="G246" t="str">
            <v>Chile</v>
          </cell>
          <cell r="I246" t="str">
            <v>Codelco</v>
          </cell>
          <cell r="O246">
            <v>228378</v>
          </cell>
        </row>
        <row r="247">
          <cell r="B247" t="str">
            <v>CH-COL-CS-OTR00-212-A</v>
          </cell>
          <cell r="F247" t="str">
            <v>Collahuasi_Mining Simulation Study</v>
          </cell>
          <cell r="G247" t="str">
            <v>Chile</v>
          </cell>
          <cell r="I247" t="str">
            <v>Collahuasi</v>
          </cell>
          <cell r="O247">
            <v>99000</v>
          </cell>
        </row>
        <row r="248">
          <cell r="B248" t="str">
            <v>CD-SGO-CS-OTR00-213-A</v>
          </cell>
          <cell r="F248" t="str">
            <v>SeabridgeGold_HoV analysis for the KSM</v>
          </cell>
          <cell r="G248" t="str">
            <v>Canadá</v>
          </cell>
          <cell r="I248" t="str">
            <v>SeabridgeGold</v>
          </cell>
          <cell r="O248">
            <v>133713</v>
          </cell>
        </row>
        <row r="249">
          <cell r="B249" t="str">
            <v>BR-ERC-UG-FEL00-214-A</v>
          </cell>
          <cell r="F249" t="str">
            <v>EroCopper_Análisis Expansión Xavantina</v>
          </cell>
          <cell r="G249" t="str">
            <v>Brasil</v>
          </cell>
          <cell r="I249" t="str">
            <v>EroCopper</v>
          </cell>
          <cell r="O249">
            <v>372552</v>
          </cell>
        </row>
        <row r="250">
          <cell r="B250" t="str">
            <v>CH-COD-CS-OTR00-215-A</v>
          </cell>
          <cell r="F250" t="str">
            <v>Codelco_Peritaje División El Teniente</v>
          </cell>
          <cell r="G250" t="str">
            <v>Chile</v>
          </cell>
          <cell r="I250" t="str">
            <v>Codelco</v>
          </cell>
          <cell r="O250">
            <v>55000</v>
          </cell>
        </row>
        <row r="251">
          <cell r="B251" t="str">
            <v>BR-ERC-UG-FEL00-216-A</v>
          </cell>
          <cell r="F251" t="str">
            <v>EroCopper_PEA Update Furnas Project</v>
          </cell>
          <cell r="G251" t="str">
            <v>Brasil</v>
          </cell>
          <cell r="I251" t="str">
            <v>EroCopper</v>
          </cell>
          <cell r="O251">
            <v>151500</v>
          </cell>
        </row>
        <row r="252">
          <cell r="B252" t="str">
            <v>PE-HSI-GM-OTR00-217-A</v>
          </cell>
          <cell r="F252" t="str">
            <v>Highlander_Diagnóstico Geomecánico</v>
          </cell>
          <cell r="G252" t="str">
            <v>Perú</v>
          </cell>
          <cell r="I252" t="str">
            <v>Highlander Silver</v>
          </cell>
          <cell r="O252">
            <v>60740</v>
          </cell>
        </row>
        <row r="253">
          <cell r="B253" t="str">
            <v>PE-FMI-GM-OTR00-218-A</v>
          </cell>
          <cell r="F253" t="str">
            <v>FortunaMining_Sismicidad inducida Bateas</v>
          </cell>
          <cell r="G253" t="str">
            <v>Perú</v>
          </cell>
          <cell r="I253" t="str">
            <v>Fortuna Mining</v>
          </cell>
          <cell r="O253">
            <v>146540</v>
          </cell>
        </row>
        <row r="254">
          <cell r="B254" t="str">
            <v>PE-VLC-CS-OTR00-219-A</v>
          </cell>
          <cell r="F254" t="str">
            <v>Volcan_Simulación sistema de transporte</v>
          </cell>
          <cell r="G254" t="str">
            <v>Perú</v>
          </cell>
          <cell r="I254" t="str">
            <v>Volcan</v>
          </cell>
          <cell r="O254">
            <v>58440</v>
          </cell>
        </row>
        <row r="255">
          <cell r="B255" t="str">
            <v>PE-MSR-UG-OTR00-220-A</v>
          </cell>
          <cell r="F255" t="str">
            <v xml:space="preserve">Minsur_Proceso adherencia Quenamari - SR </v>
          </cell>
          <cell r="G255" t="str">
            <v>Perú</v>
          </cell>
          <cell r="I255" t="str">
            <v>Minsur</v>
          </cell>
          <cell r="O255">
            <v>57683</v>
          </cell>
        </row>
        <row r="256">
          <cell r="B256" t="str">
            <v>OT-STH-CS-OTR00-221-A</v>
          </cell>
          <cell r="F256" t="str">
            <v>South32_HoV and optimized cut-off grade</v>
          </cell>
          <cell r="G256" t="str">
            <v>Otros</v>
          </cell>
          <cell r="I256" t="str">
            <v>South 32</v>
          </cell>
          <cell r="O256">
            <v>70200</v>
          </cell>
        </row>
        <row r="257">
          <cell r="B257" t="str">
            <v>----222-!</v>
          </cell>
        </row>
        <row r="258">
          <cell r="B258" t="str">
            <v>----223-!</v>
          </cell>
        </row>
        <row r="259">
          <cell r="B259" t="str">
            <v>----224-!</v>
          </cell>
        </row>
        <row r="260">
          <cell r="B260" t="str">
            <v>----225-!</v>
          </cell>
        </row>
        <row r="261">
          <cell r="B261" t="str">
            <v>----226-!</v>
          </cell>
        </row>
        <row r="262">
          <cell r="B262" t="str">
            <v>----227-!</v>
          </cell>
        </row>
        <row r="263">
          <cell r="B263" t="str">
            <v>----228-!</v>
          </cell>
        </row>
        <row r="264">
          <cell r="B264" t="str">
            <v>----229-!</v>
          </cell>
        </row>
        <row r="265">
          <cell r="B265" t="str">
            <v>----230-!</v>
          </cell>
        </row>
        <row r="266">
          <cell r="B266" t="str">
            <v>----231-!</v>
          </cell>
        </row>
        <row r="267">
          <cell r="B267" t="str">
            <v>----232-!</v>
          </cell>
        </row>
        <row r="268">
          <cell r="B268" t="str">
            <v>----233-!</v>
          </cell>
        </row>
        <row r="269">
          <cell r="B269" t="str">
            <v>----234-!</v>
          </cell>
        </row>
        <row r="270">
          <cell r="B270" t="str">
            <v>----235-!</v>
          </cell>
        </row>
        <row r="271">
          <cell r="B271" t="str">
            <v>----236-!</v>
          </cell>
        </row>
        <row r="272">
          <cell r="B272" t="str">
            <v>----237-!</v>
          </cell>
        </row>
        <row r="273">
          <cell r="B273" t="str">
            <v>----238-!</v>
          </cell>
        </row>
        <row r="274">
          <cell r="B274" t="str">
            <v>----239-!</v>
          </cell>
        </row>
        <row r="275">
          <cell r="B275" t="str">
            <v>----240-!</v>
          </cell>
        </row>
        <row r="276">
          <cell r="B276" t="str">
            <v>----241-!</v>
          </cell>
        </row>
        <row r="277">
          <cell r="B277" t="str">
            <v>----242-!</v>
          </cell>
        </row>
        <row r="278">
          <cell r="B278" t="str">
            <v>----243-!</v>
          </cell>
        </row>
        <row r="279">
          <cell r="B279" t="str">
            <v>----244-!</v>
          </cell>
        </row>
        <row r="280">
          <cell r="B280" t="str">
            <v>----245-!</v>
          </cell>
        </row>
        <row r="281">
          <cell r="B281" t="str">
            <v>----246-!</v>
          </cell>
        </row>
        <row r="282">
          <cell r="B282" t="str">
            <v>----247-!</v>
          </cell>
        </row>
        <row r="283">
          <cell r="B283" t="str">
            <v>----248-!</v>
          </cell>
        </row>
        <row r="284">
          <cell r="B284" t="str">
            <v>----249-!</v>
          </cell>
        </row>
        <row r="285">
          <cell r="B285" t="str">
            <v>----250-!</v>
          </cell>
        </row>
        <row r="286">
          <cell r="B286" t="str">
            <v>----251-!</v>
          </cell>
        </row>
        <row r="287">
          <cell r="B287" t="str">
            <v>----252-!</v>
          </cell>
        </row>
        <row r="288">
          <cell r="B288" t="str">
            <v>----253-!</v>
          </cell>
        </row>
        <row r="289">
          <cell r="B289" t="str">
            <v>----254-!</v>
          </cell>
        </row>
        <row r="290">
          <cell r="B290" t="str">
            <v>----255-!</v>
          </cell>
        </row>
        <row r="291">
          <cell r="B291" t="str">
            <v>----256-!</v>
          </cell>
        </row>
        <row r="292">
          <cell r="B292" t="str">
            <v>----257-!</v>
          </cell>
        </row>
        <row r="293">
          <cell r="B293" t="str">
            <v>----258-!</v>
          </cell>
        </row>
        <row r="294">
          <cell r="B294" t="str">
            <v>----259-!</v>
          </cell>
        </row>
        <row r="295">
          <cell r="B295" t="str">
            <v>----260-!</v>
          </cell>
        </row>
        <row r="296">
          <cell r="B296" t="str">
            <v>----261-!</v>
          </cell>
        </row>
        <row r="297">
          <cell r="B297" t="str">
            <v>----262-!</v>
          </cell>
        </row>
        <row r="298">
          <cell r="B298" t="str">
            <v>----263-!</v>
          </cell>
        </row>
        <row r="299">
          <cell r="B299" t="str">
            <v>----264-!</v>
          </cell>
        </row>
        <row r="300">
          <cell r="B300" t="str">
            <v>----265-!</v>
          </cell>
        </row>
      </sheetData>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do contractual"/>
      <sheetName val="Avance Real"/>
      <sheetName val="Resumen EDPS"/>
      <sheetName val="RESUMEN DEL MES"/>
      <sheetName val="POM Septiembre"/>
      <sheetName val="BDD_Proyectos_REDCO"/>
      <sheetName val="Proyectos 2023 (Ingenieros)"/>
      <sheetName val="Proyectos"/>
      <sheetName val="Fel Update (SDC 4)"/>
      <sheetName val="FEL 2A"/>
      <sheetName val="Algarrobo"/>
      <sheetName val="Diag Operacional"/>
      <sheetName val="Candelaria Estandar"/>
      <sheetName val="Falla Oeste"/>
      <sheetName val="Panel Central"/>
      <sheetName val="Romeral"/>
      <sheetName val="Adrianita"/>
      <sheetName val="Lomas Bayas"/>
      <sheetName val="Candelaria Pilares"/>
      <sheetName val="Raura Lom"/>
      <sheetName val="San Rafael Bugdet"/>
      <sheetName val="Cajati"/>
      <sheetName val="Nexa"/>
      <sheetName val="Taquari"/>
    </sheetNames>
    <sheetDataSet>
      <sheetData sheetId="0" refreshError="1"/>
      <sheetData sheetId="1" refreshError="1"/>
      <sheetData sheetId="2" refreshError="1"/>
      <sheetData sheetId="3" refreshError="1"/>
      <sheetData sheetId="4" refreshError="1"/>
      <sheetData sheetId="5" refreshError="1">
        <row r="2">
          <cell r="D2" t="str">
            <v>Mosaic_Cajati</v>
          </cell>
          <cell r="L2">
            <v>555021</v>
          </cell>
        </row>
        <row r="3">
          <cell r="D3" t="str">
            <v>CMP - FEL 2A</v>
          </cell>
          <cell r="L3">
            <v>545327</v>
          </cell>
        </row>
        <row r="4">
          <cell r="D4" t="str">
            <v>Algarrobo</v>
          </cell>
          <cell r="L4">
            <v>491464</v>
          </cell>
        </row>
        <row r="5">
          <cell r="D5" t="str">
            <v>Romeral</v>
          </cell>
          <cell r="L5">
            <v>442355</v>
          </cell>
        </row>
        <row r="6">
          <cell r="D6" t="str">
            <v>Mosaic_Taquari Vassouras</v>
          </cell>
          <cell r="L6">
            <v>411027</v>
          </cell>
        </row>
        <row r="7">
          <cell r="D7" t="str">
            <v>Pelambres</v>
          </cell>
          <cell r="L7">
            <v>304101</v>
          </cell>
        </row>
        <row r="8">
          <cell r="D8" t="str">
            <v>Lomas Bayas - LoA24</v>
          </cell>
          <cell r="L8">
            <v>297223.34999999998</v>
          </cell>
        </row>
        <row r="9">
          <cell r="D9" t="str">
            <v>CMP Estandar Planificación</v>
          </cell>
          <cell r="L9">
            <v>296990</v>
          </cell>
        </row>
        <row r="10">
          <cell r="D10" t="str">
            <v>NEXA_FEL2 Aripuana</v>
          </cell>
          <cell r="L10">
            <v>275151</v>
          </cell>
        </row>
        <row r="11">
          <cell r="D11" t="str">
            <v>Raura Modelo Operacional</v>
          </cell>
          <cell r="L11">
            <v>252096</v>
          </cell>
        </row>
        <row r="12">
          <cell r="D12" t="str">
            <v>Candelaria (Estandar y Planificacion)</v>
          </cell>
          <cell r="L12">
            <v>249727</v>
          </cell>
        </row>
        <row r="13">
          <cell r="D13" t="str">
            <v>AMSA_Planificacion</v>
          </cell>
          <cell r="L13">
            <v>216500</v>
          </cell>
        </row>
        <row r="14">
          <cell r="D14" t="str">
            <v>San Rafael Modelo Operacional</v>
          </cell>
          <cell r="L14">
            <v>202760</v>
          </cell>
        </row>
        <row r="15">
          <cell r="D15" t="str">
            <v>Actualización Lom Raura</v>
          </cell>
          <cell r="L15">
            <v>199270</v>
          </cell>
        </row>
        <row r="16">
          <cell r="D16" t="str">
            <v>Norilsk 1</v>
          </cell>
          <cell r="L16">
            <v>180263</v>
          </cell>
        </row>
        <row r="17">
          <cell r="D17" t="str">
            <v>Adrianita -Raúl</v>
          </cell>
          <cell r="L17">
            <v>179433</v>
          </cell>
        </row>
        <row r="18">
          <cell r="D18" t="str">
            <v>Diagnóstico Operacional Candelaria</v>
          </cell>
          <cell r="L18">
            <v>171216</v>
          </cell>
        </row>
        <row r="19">
          <cell r="D19" t="str">
            <v>Marcobre - Mina Justa</v>
          </cell>
          <cell r="L19">
            <v>137232</v>
          </cell>
        </row>
        <row r="20">
          <cell r="D20" t="str">
            <v>Oktyabrsky</v>
          </cell>
          <cell r="L20">
            <v>123973</v>
          </cell>
        </row>
        <row r="21">
          <cell r="D21" t="str">
            <v>CSH_LOM Mina Guarello</v>
          </cell>
          <cell r="L21">
            <v>114390</v>
          </cell>
        </row>
        <row r="22">
          <cell r="D22" t="str">
            <v>Codelco_Falla Oeste</v>
          </cell>
          <cell r="L22">
            <v>93503</v>
          </cell>
        </row>
        <row r="23">
          <cell r="D23" t="str">
            <v>Codelco_Panel Central</v>
          </cell>
          <cell r="L23">
            <v>88231</v>
          </cell>
        </row>
        <row r="24">
          <cell r="D24" t="str">
            <v>Minsur_SIMPREP San Rafael</v>
          </cell>
          <cell r="L24">
            <v>82144</v>
          </cell>
        </row>
        <row r="25">
          <cell r="D25" t="str">
            <v>Pilares Mineros - Candelaria</v>
          </cell>
          <cell r="L25">
            <v>74080</v>
          </cell>
        </row>
        <row r="26">
          <cell r="D26" t="str">
            <v>MARA</v>
          </cell>
          <cell r="L26">
            <v>67800</v>
          </cell>
        </row>
        <row r="27">
          <cell r="D27" t="str">
            <v>Minsur_Forecast_Budget24</v>
          </cell>
          <cell r="L27">
            <v>65088</v>
          </cell>
        </row>
        <row r="28">
          <cell r="D28" t="str">
            <v>Desarrollo plan LOM en Reservas</v>
          </cell>
          <cell r="L28">
            <v>64800</v>
          </cell>
        </row>
        <row r="29">
          <cell r="D29" t="str">
            <v>Sierra Metals_Plan de Minado MEIA</v>
          </cell>
          <cell r="L29">
            <v>54141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Listado Profesionales"/>
      <sheetName val="Listado Proyectos"/>
      <sheetName val="Mosaic_Secuencia Op. Cajati"/>
      <sheetName val="AMSA_Trade Off Tecnologico NGD"/>
      <sheetName val="PFS Los Calatos"/>
      <sheetName val="Eurochem"/>
      <sheetName val="Tofo Norte"/>
      <sheetName val="CMP_Capacidad Optima Tofo Norte"/>
      <sheetName val="Seligdar"/>
      <sheetName val="Spence"/>
      <sheetName val="MCI_Mine plan review Los Bronce"/>
      <sheetName val="Algarrobo Finos"/>
      <sheetName val="Capstone"/>
      <sheetName val="Cajati Geom"/>
      <sheetName val="Yauricocha MEIA"/>
      <sheetName val="San Rafael Q3+Budget 25"/>
      <sheetName val="San Rafael Marginal Ore"/>
      <sheetName val="CMP_Estabilizacion + PFS UG"/>
      <sheetName val="CMP_Puesta en Marcha SLS"/>
      <sheetName val="JyF Urucum"/>
      <sheetName val="Marcobre_Achupallas"/>
      <sheetName val="Plan Minero Base MLC v2"/>
      <sheetName val="Codelco_Opciones Vaciado"/>
      <sheetName val="GPT cache"/>
      <sheetName val="IvanhoeElectric_Mine Planning"/>
      <sheetName val="AMSA_Contrato Marco"/>
      <sheetName val="Lundin_Gaps Planif y Operacion"/>
      <sheetName val="Lundin_Oport Mejoras Caserones"/>
      <sheetName val="CMC_Capacitación DBS y SIMPLAN"/>
      <sheetName val="Twin Metals_Pre PFS Birch Lake"/>
      <sheetName val="CMP_Scoping Study Algarrobo"/>
      <sheetName val="ThreeCrowns_Litigio Oyu Tolgoi"/>
      <sheetName val="LasBambas_PFS Ferrobamba UG"/>
      <sheetName val="Codelco_Practicas Plan DMH"/>
      <sheetName val="Codelco_Normativa Rec yReservas"/>
      <sheetName val="CMP_Mejoras Operacionales CNN"/>
      <sheetName val="Capstone Copper_Estudio Sierra"/>
      <sheetName val="Mosaic_Taquari Vassouras FaseII"/>
      <sheetName val="Codelco_Act norma NCC-31"/>
      <sheetName val="Codelco_Estándar cierre topogr"/>
      <sheetName val="Hojas y Proyectos"/>
      <sheetName val="Reporte POM PBI"/>
      <sheetName val="Resumen P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1">
          <cell r="D1"/>
        </row>
        <row r="2">
          <cell r="D2" t="str">
            <v>Estimación EDP (POM)</v>
          </cell>
        </row>
        <row r="3">
          <cell r="D3">
            <v>120000</v>
          </cell>
          <cell r="I3" t="str">
            <v>CH-CMP-UG-FEL03-093-A</v>
          </cell>
        </row>
        <row r="4">
          <cell r="D4">
            <v>90959</v>
          </cell>
          <cell r="I4" t="str">
            <v>OT-TWM-CS-FEL00-119-A</v>
          </cell>
        </row>
        <row r="5">
          <cell r="D5">
            <v>78880.5</v>
          </cell>
          <cell r="I5" t="str">
            <v>RU-ECH-UG-FEL00-081-A</v>
          </cell>
        </row>
        <row r="6">
          <cell r="D6">
            <v>65000</v>
          </cell>
          <cell r="I6" t="str">
            <v>CH-LUN-CS-OTR00-113-A</v>
          </cell>
        </row>
        <row r="7">
          <cell r="D7">
            <v>64052</v>
          </cell>
          <cell r="I7" t="str">
            <v>CH-CCO-CS-FEL00-117-A</v>
          </cell>
        </row>
        <row r="8">
          <cell r="D8">
            <v>42080</v>
          </cell>
          <cell r="I8" t="str">
            <v>PE-MAR-OU-FEL01-114-A</v>
          </cell>
        </row>
        <row r="9">
          <cell r="D9">
            <v>0</v>
          </cell>
          <cell r="I9" t="str">
            <v>Error</v>
          </cell>
        </row>
        <row r="10">
          <cell r="D10">
            <v>40106</v>
          </cell>
          <cell r="I10" t="str">
            <v>CH-CMP-OP-OTR00-096-A</v>
          </cell>
        </row>
        <row r="11">
          <cell r="D11">
            <v>37177.57894736842</v>
          </cell>
          <cell r="I11" t="str">
            <v>CH-COD-CS-OTR00-129-A</v>
          </cell>
        </row>
        <row r="12">
          <cell r="D12">
            <v>0</v>
          </cell>
          <cell r="I12" t="str">
            <v>Error</v>
          </cell>
        </row>
        <row r="13">
          <cell r="D13">
            <v>0</v>
          </cell>
          <cell r="I13" t="str">
            <v>Error</v>
          </cell>
        </row>
        <row r="14">
          <cell r="D14">
            <v>27000</v>
          </cell>
          <cell r="I14" t="str">
            <v>CH-CMP-UG-OTR00-095-A</v>
          </cell>
        </row>
        <row r="15">
          <cell r="D15">
            <v>0</v>
          </cell>
          <cell r="I15" t="str">
            <v>Error</v>
          </cell>
        </row>
        <row r="16">
          <cell r="D16">
            <v>26759.51999999999</v>
          </cell>
          <cell r="I16" t="str">
            <v>CH-LUN-OP-FEL00-110-A</v>
          </cell>
        </row>
        <row r="17">
          <cell r="D17">
            <v>26296.620000000003</v>
          </cell>
          <cell r="I17" t="str">
            <v>CH-COD-CS-OTR00-128-A</v>
          </cell>
        </row>
        <row r="18">
          <cell r="D18">
            <v>23500</v>
          </cell>
          <cell r="I18" t="str">
            <v>CH-MCI-OP-OTR00-089-A</v>
          </cell>
        </row>
        <row r="19">
          <cell r="D19">
            <v>22500</v>
          </cell>
          <cell r="I19" t="str">
            <v>CH-CMP-OP-FEL00-106-A</v>
          </cell>
        </row>
        <row r="20">
          <cell r="D20">
            <v>0</v>
          </cell>
          <cell r="I20" t="str">
            <v>Error</v>
          </cell>
        </row>
        <row r="21">
          <cell r="D21">
            <v>0</v>
          </cell>
          <cell r="I21" t="str">
            <v>Error</v>
          </cell>
        </row>
        <row r="22">
          <cell r="D22">
            <v>21702</v>
          </cell>
          <cell r="I22" t="str">
            <v>CH-CCO-OP-FEL00-078-A</v>
          </cell>
        </row>
        <row r="23">
          <cell r="D23">
            <v>20000</v>
          </cell>
          <cell r="I23" t="str">
            <v>CH-AMS-CS-OTR00-116-A</v>
          </cell>
        </row>
        <row r="24">
          <cell r="D24">
            <v>17300</v>
          </cell>
          <cell r="I24" t="str">
            <v>BR-MOS-CS-OTR00-115-A</v>
          </cell>
        </row>
        <row r="25">
          <cell r="D25">
            <v>13312</v>
          </cell>
          <cell r="I25" t="str">
            <v>PE-MSR-UG-OTR00-097-A</v>
          </cell>
        </row>
        <row r="26">
          <cell r="D26">
            <v>11278</v>
          </cell>
          <cell r="I26" t="str">
            <v>CH-BHP-OP-FEL00-103-A</v>
          </cell>
        </row>
        <row r="27">
          <cell r="D27">
            <v>10587.78947368421</v>
          </cell>
          <cell r="I27" t="str">
            <v>CH-COD-OU-FEL00-112-A</v>
          </cell>
        </row>
        <row r="28">
          <cell r="D28">
            <v>0</v>
          </cell>
          <cell r="I28" t="str">
            <v>CH-CMP-CS-FEL00-120-A</v>
          </cell>
        </row>
        <row r="29">
          <cell r="D29">
            <v>0</v>
          </cell>
          <cell r="I29" t="str">
            <v>CH-CMP-UG-FEL00-121-A</v>
          </cell>
        </row>
        <row r="30">
          <cell r="D30">
            <v>0</v>
          </cell>
          <cell r="I30" t="str">
            <v>OT-THC-CS-OTR00-122-A</v>
          </cell>
        </row>
        <row r="31">
          <cell r="D31">
            <v>0</v>
          </cell>
          <cell r="I31" t="str">
            <v>BR-MMG-OU-FEL2A-123-A</v>
          </cell>
        </row>
        <row r="32">
          <cell r="D32">
            <v>6857</v>
          </cell>
          <cell r="I32" t="str">
            <v>PE-CMC-CD-OTR00-118-A</v>
          </cell>
        </row>
        <row r="33">
          <cell r="D33">
            <v>6101.1021052631577</v>
          </cell>
          <cell r="I33" t="str">
            <v>CH-AMS-OT-OTR00-108-A</v>
          </cell>
        </row>
        <row r="34">
          <cell r="D34">
            <v>5000</v>
          </cell>
          <cell r="I34" t="str">
            <v>BR-MOS-OP-FEL2A-102-A</v>
          </cell>
        </row>
        <row r="35">
          <cell r="D35">
            <v>4697</v>
          </cell>
          <cell r="I35" t="str">
            <v>PE-CSC-UG-FEL2A-023-A</v>
          </cell>
        </row>
        <row r="36">
          <cell r="D36">
            <v>0</v>
          </cell>
          <cell r="I36" t="str">
            <v>BR-J&amp;F-UG-FEL03-048-A</v>
          </cell>
        </row>
        <row r="37">
          <cell r="D37">
            <v>781146.11052631575</v>
          </cell>
        </row>
        <row r="38">
          <cell r="D38">
            <v>850000</v>
          </cell>
          <cell r="I38" t="str">
            <v>RU-SEL-UG-FEL2A-072-A</v>
          </cell>
        </row>
        <row r="39">
          <cell r="D39">
            <v>1631146.1105263159</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NiFLNqqH3UiNQ52w4MjHkaJekJNSkitOjf-Us92CSmxxGzt9tJH6TI48Zmid9mwi" itemId="01X4HTLNHXDZN6AAEBNFCIF5XBPXUK67OD">
      <xxl21:absoluteUrl r:id="rId2"/>
    </xxl21:alternateUrls>
    <sheetNames>
      <sheetName val="Resumen"/>
      <sheetName val="Listado Profesionales"/>
      <sheetName val="Listado Proyectos"/>
      <sheetName val="Algarrobo Finos"/>
      <sheetName val="AMSA_Contrato Marco"/>
      <sheetName val="AMSA_Trade Off Tecnologico NGD"/>
      <sheetName val="AngloAmerican HDD aguas claras"/>
      <sheetName val="AuraMinerals_Expansion Mina Pai"/>
      <sheetName val="BHP_Medidas de Cierre Botaderos"/>
      <sheetName val="Spence"/>
      <sheetName val="BHP_Spence 2YB analisys"/>
      <sheetName val="Capstone Copper_Estudio Sierra"/>
      <sheetName val="CMP_Mejoras Operacionales CNN"/>
      <sheetName val="CMP_Puesta en Marcha SLS"/>
      <sheetName val="Codelco_Act norma NCC-31"/>
      <sheetName val="Estrategia Cobre Panama"/>
      <sheetName val="JyF Urucum"/>
      <sheetName val="LasBambas_Ferrobambas UG Escena"/>
      <sheetName val="Marcobre_Achupallas"/>
      <sheetName val="MCI_Mine plan review Los Bronce"/>
      <sheetName val="Minsur_Raura Analisis LOM25"/>
      <sheetName val="Cajati Geom"/>
      <sheetName val="Mosaic_Secuencia Op. Cajati"/>
      <sheetName val="PFS Los Calatos"/>
      <sheetName val="Eurochem"/>
      <sheetName val="Tofo Norte"/>
      <sheetName val="CMP_Capacidad Optima Tofo Norte"/>
      <sheetName val="Mosaic_Taquari Vassouras FaseII"/>
      <sheetName val="PFS Los Calatos V3"/>
      <sheetName val="Resolution_MinePlan Review"/>
      <sheetName val="Seligdar"/>
      <sheetName val="Capstone"/>
      <sheetName val="Yauricocha MEIA"/>
      <sheetName val="San Rafael Q3+Budget 25"/>
      <sheetName val="San Rafael Marginal Ore"/>
      <sheetName val="CMP_Estabilizacion + PFS UG"/>
      <sheetName val="Plan Minero Base MLC v2"/>
      <sheetName val="Codelco_Opciones Vaciado"/>
      <sheetName val="GPT cache"/>
      <sheetName val="IvanhoeElectric_Mine Planning"/>
      <sheetName val="Lundin_Gaps Planif y Operacion"/>
      <sheetName val="Lundin_Oport Mejoras Caserones"/>
      <sheetName val="CMC_Capacitación DBS y SIMPLAN"/>
      <sheetName val="Twin Metals_Pre PFS Birch Lake"/>
      <sheetName val="CMP_Scoping Study Algarrobo"/>
      <sheetName val="ThreeCrowns_Litigio Oyu Tolgoi"/>
      <sheetName val="LasBambas_PFS Ferrobamba UG"/>
      <sheetName val="Codelco_Practicas Plan DMH"/>
      <sheetName val="Codelco_Normativa Rec yReservas"/>
      <sheetName val="Codelco_Estándar cierre topogr"/>
      <sheetName val="Hojas y Proyectos"/>
      <sheetName val="Reporte POM PBI"/>
      <sheetName val="Resumen EDP P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row r="1">
          <cell r="B1"/>
          <cell r="E1"/>
        </row>
        <row r="2">
          <cell r="B2" t="str">
            <v>Proyecto</v>
          </cell>
          <cell r="E2" t="str">
            <v>Estimación EDP (POM)</v>
          </cell>
        </row>
        <row r="3">
          <cell r="B3" t="str">
            <v>AMSA_Contrato Marco</v>
          </cell>
          <cell r="E3">
            <v>5241.6000000000004</v>
          </cell>
        </row>
        <row r="4">
          <cell r="B4" t="str">
            <v>AMSA_Trade Off Tecnologico NGD</v>
          </cell>
          <cell r="E4">
            <v>45000</v>
          </cell>
        </row>
        <row r="5">
          <cell r="B5" t="str">
            <v>AngloAmerican_Tecnología HDD captación aguas claras</v>
          </cell>
          <cell r="E5">
            <v>35000</v>
          </cell>
        </row>
        <row r="6">
          <cell r="B6" t="str">
            <v>AuraMinerals_Expansión Mina Paiol OP-UG</v>
          </cell>
          <cell r="E6">
            <v>46000</v>
          </cell>
        </row>
        <row r="7">
          <cell r="B7" t="str">
            <v>BHP_Medidas de Cierre Botaderos</v>
          </cell>
          <cell r="E7">
            <v>65000</v>
          </cell>
        </row>
        <row r="8">
          <cell r="B8" t="str">
            <v>BHP_Plan e Iniciativas LoA25-26</v>
          </cell>
          <cell r="E8">
            <v>23528</v>
          </cell>
        </row>
        <row r="9">
          <cell r="B9" t="str">
            <v>BHP_Spence 2YB analisys</v>
          </cell>
          <cell r="E9">
            <v>0</v>
          </cell>
        </row>
        <row r="10">
          <cell r="B10" t="str">
            <v>Capstone Copper_Estudio Sierra Norte</v>
          </cell>
          <cell r="E10">
            <v>4648</v>
          </cell>
        </row>
        <row r="11">
          <cell r="B11" t="str">
            <v>CMP_Mejoras Operacionales CNN</v>
          </cell>
          <cell r="E11">
            <v>25000</v>
          </cell>
        </row>
        <row r="12">
          <cell r="B12" t="str">
            <v>CMP_Nuevos alcances Algarrobo</v>
          </cell>
          <cell r="E12">
            <v>105000</v>
          </cell>
        </row>
        <row r="13">
          <cell r="B13" t="str">
            <v>CMP_Puesta en marcha SLS Romeral</v>
          </cell>
          <cell r="E13">
            <v>40000</v>
          </cell>
        </row>
        <row r="14">
          <cell r="B14" t="str">
            <v>Codelco_Actualización norma NCC-31</v>
          </cell>
          <cell r="E14">
            <v>20771</v>
          </cell>
        </row>
        <row r="15">
          <cell r="B15" t="str">
            <v>Estrategia Cobre Panama</v>
          </cell>
          <cell r="E15">
            <v>79200</v>
          </cell>
        </row>
        <row r="16">
          <cell r="B16" t="str">
            <v>J&amp;F_Urucrum_RecuperacionPilares</v>
          </cell>
          <cell r="E16">
            <v>0</v>
          </cell>
        </row>
        <row r="17">
          <cell r="B17" t="str">
            <v>LasBambas_Ferrobambas UG Escenarios</v>
          </cell>
          <cell r="E17">
            <v>30000</v>
          </cell>
        </row>
        <row r="18">
          <cell r="B18" t="str">
            <v>Marcobre_Ingeniería de Perfil Achupallas</v>
          </cell>
          <cell r="E18">
            <v>24960</v>
          </cell>
        </row>
        <row r="19">
          <cell r="B19" t="str">
            <v>Minsur_Raura Análisis LOM25</v>
          </cell>
          <cell r="E19">
            <v>18424</v>
          </cell>
        </row>
        <row r="20">
          <cell r="B20" t="str">
            <v>Mosaic_Actualizacion geotecnica OP</v>
          </cell>
          <cell r="E20">
            <v>5000</v>
          </cell>
        </row>
        <row r="21">
          <cell r="B21" t="str">
            <v>Mosaic_Secuencia Operaciones Cajati</v>
          </cell>
          <cell r="E21">
            <v>16055.2</v>
          </cell>
        </row>
        <row r="22">
          <cell r="B22" t="str">
            <v>Mosaic_Taquari Vassouras Fase II</v>
          </cell>
          <cell r="E22">
            <v>12081.563039723662</v>
          </cell>
        </row>
        <row r="23">
          <cell r="B23" t="str">
            <v>PFS Los Calatos V3</v>
          </cell>
          <cell r="E23">
            <v>44000</v>
          </cell>
        </row>
        <row r="24">
          <cell r="B24" t="str">
            <v>Resolution_MinePlan Review</v>
          </cell>
          <cell r="E24">
            <v>95000</v>
          </cell>
        </row>
        <row r="25">
          <cell r="B25" t="str">
            <v>Twin Metals_Pre PFS Birch Lake Maturi</v>
          </cell>
          <cell r="E25">
            <v>133000</v>
          </cell>
        </row>
        <row r="26">
          <cell r="B26"/>
          <cell r="E26">
            <v>872909.3630397236</v>
          </cell>
        </row>
        <row r="28">
          <cell r="E28">
            <v>21</v>
          </cell>
        </row>
        <row r="29">
          <cell r="E29">
            <v>41567.112525701123</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Listado Proyectos"/>
      <sheetName val="Listado Profesionales"/>
      <sheetName val="Algarrobo Finos"/>
      <sheetName val="AMSA_Contrato Marco"/>
      <sheetName val="AMSA_Trade Off Tecnologico NGD"/>
      <sheetName val="AngloAmerican_Análisis MLB"/>
      <sheetName val="AMSA_RIINO BC - Centinela"/>
      <sheetName val="AuraMinerals_Expansion Mina Pai"/>
      <sheetName val="Mosaic_Cajati Business Case"/>
      <sheetName val="AuraMinerals_Proyecto Paiol PFS"/>
      <sheetName val="Mosaic_Taquari Vassouras FaseII"/>
      <sheetName val="EroCopper_Scoping Furnas"/>
      <sheetName val="LHG_LOM Urucum"/>
      <sheetName val="AngloAmerican HDD aguas claras"/>
      <sheetName val="BHP_Medidas de Cierre Botaderos"/>
      <sheetName val="BHP_Plan e Iniciativas LoA25-26"/>
      <sheetName val="LasBambas_Ferrobambas UG Escena"/>
      <sheetName val="CMP_Puesta en Marcha SLS"/>
      <sheetName val="CMP_Plan Minero Base MLC"/>
      <sheetName val="JyF Urucum"/>
      <sheetName val="LasBambas_Ferrobamba PFS"/>
      <sheetName val="MCI_Mine plan review Los Bronce"/>
      <sheetName val="Minsur_Raura Analisis LOM25"/>
      <sheetName val="Mosaic_Act. Geotecnica OP"/>
      <sheetName val="Mosaic_Secuencia Op. Cajati"/>
      <sheetName val="Minsur_San Rafael EstudioV MEIA"/>
      <sheetName val="BHP_Tunel Exploratorio"/>
      <sheetName val="Minsur_LOM Integrado San Rafael"/>
      <sheetName val="OCP_Análisis Estr. Mina Cobriza"/>
      <sheetName val="CMP_Capacidad Optima Tofo Norte"/>
      <sheetName val="PFS Los Calatos"/>
      <sheetName val="Taboca_Evaluación Mina Pitinga"/>
      <sheetName val="PFS Los Calatos V3"/>
      <sheetName val="GPT cache"/>
      <sheetName val="Twin Metals_Pre PFS Birch Lake"/>
      <sheetName val="ThreeCrowns_Litigio Oyu Tolgoi"/>
      <sheetName val="Lundin_A Estratégico Caserones"/>
      <sheetName val="CMP_Actualización CNegocios CNN"/>
      <sheetName val="Alpamarca_Est. Estabilidad Tajo"/>
      <sheetName val="Capstone Copper_Prod at Risk"/>
      <sheetName val="Alpayana_Estudio de Sismicidad"/>
      <sheetName val="SPM_FS Labores Subte 2da MEIA"/>
      <sheetName val="CBMM_SIMPLAN Initiatives Eval."/>
      <sheetName val="AMSA_Mejoras Planif. Centinela"/>
      <sheetName val="Volcan_Proyecto Romina"/>
      <sheetName val="NEXA_Est. Geo. El Porvenir"/>
      <sheetName val="NEXA_Cerro Lindo"/>
      <sheetName val="CORFO_Boquerón Chañar"/>
      <sheetName val="PUCOBRE_Acmp Reservas Tovaku"/>
      <sheetName val="Codelco_Caso Negocio TBM"/>
      <sheetName val="EQUINOX_Actualización IB"/>
      <sheetName val="FN_Oko West project review"/>
      <sheetName val="Polyus_Olimpiada Cutback"/>
      <sheetName val="Seligdar_Kyuchus"/>
      <sheetName val="AtlasMining_Ley de corte"/>
      <sheetName val="Polyus_Evaluacion talud"/>
      <sheetName val="Collahuasi_PFS Perforación"/>
      <sheetName val="Resolution_General Review"/>
      <sheetName val="Anglo_Production at Risk"/>
      <sheetName val="Collahuasi_Mine Compliance"/>
      <sheetName val="Miskimayo_Evaluación Transporte"/>
      <sheetName val="Glencore_Estrategia Propiedades"/>
      <sheetName val="CAP_Due Diligence Costa Fuego"/>
      <sheetName val="Collahuasi_Incorporación Chx03 "/>
      <sheetName val="ERG_Estabilidad taludes"/>
      <sheetName val="Calatos_Reporte y Estrategia"/>
      <sheetName val="Hojas y Proyectos"/>
      <sheetName val="Sheet1"/>
      <sheetName val="Proyeccion de pago a 3os PBI"/>
      <sheetName val="Hoja2"/>
      <sheetName val="Hoja1"/>
      <sheetName val="Reporte POM PBI"/>
      <sheetName val="Resumen POM"/>
      <sheetName val="Resumen Personal"/>
      <sheetName val="Summary HH POM"/>
      <sheetName val="mac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1">
          <cell r="J1"/>
        </row>
        <row r="2">
          <cell r="J2" t="str">
            <v>EDP (POM)</v>
          </cell>
        </row>
        <row r="3">
          <cell r="J3">
            <v>99490.482000000004</v>
          </cell>
          <cell r="O3" t="str">
            <v>BR-EQG-UG-FEL03-172-A</v>
          </cell>
        </row>
        <row r="4">
          <cell r="J4">
            <v>70500</v>
          </cell>
          <cell r="O4" t="str">
            <v>CH-GLE-CS-OTR00-183-A</v>
          </cell>
        </row>
        <row r="5">
          <cell r="J5">
            <v>50000</v>
          </cell>
          <cell r="O5" t="str">
            <v>BR-ERC-UG-FEL00-152-A</v>
          </cell>
        </row>
        <row r="6">
          <cell r="J6">
            <v>40000</v>
          </cell>
          <cell r="O6" t="str">
            <v>PE-ALP-GM-FEL00-156-A</v>
          </cell>
        </row>
        <row r="7">
          <cell r="J7">
            <v>38000</v>
          </cell>
          <cell r="O7" t="str">
            <v>OT-RES-CS-OTR00-178-A</v>
          </cell>
        </row>
        <row r="8">
          <cell r="J8">
            <v>37000</v>
          </cell>
          <cell r="O8" t="str">
            <v>CH-CRF-CS-FEL00-169-A</v>
          </cell>
        </row>
        <row r="9">
          <cell r="J9">
            <v>32120</v>
          </cell>
          <cell r="O9" t="str">
            <v>PE-MMA-OP-FEL00-182-A</v>
          </cell>
        </row>
        <row r="10">
          <cell r="J10">
            <v>30000</v>
          </cell>
          <cell r="O10" t="str">
            <v>BR-AUM-UG-FEL2A-181-A</v>
          </cell>
        </row>
        <row r="11">
          <cell r="J11">
            <v>16724</v>
          </cell>
          <cell r="O11" t="str">
            <v>PE-NEX-GM-FEL00-167-A</v>
          </cell>
        </row>
        <row r="12">
          <cell r="J12">
            <v>7000</v>
          </cell>
          <cell r="O12" t="str">
            <v>CH-COL-CS-OTR00-180-A</v>
          </cell>
        </row>
        <row r="13">
          <cell r="J13">
            <v>3968</v>
          </cell>
          <cell r="O13" t="str">
            <v>CH-COD-UG-FEL00-174-A</v>
          </cell>
        </row>
        <row r="14">
          <cell r="J14">
            <v>0</v>
          </cell>
          <cell r="O14" t="str">
            <v>CH-AMS-OP-FEL00-171-A</v>
          </cell>
        </row>
        <row r="15">
          <cell r="J15">
            <v>0</v>
          </cell>
          <cell r="O15" t="str">
            <v>PE-SPM-UG-FEL03-160-A</v>
          </cell>
        </row>
        <row r="16">
          <cell r="J16">
            <v>0</v>
          </cell>
          <cell r="O16" t="str">
            <v>PE-MSR-UG-FEL00-142-A</v>
          </cell>
        </row>
        <row r="17">
          <cell r="J17">
            <v>0</v>
          </cell>
          <cell r="O17" t="str">
            <v>CH-ERG-GM-FEL00-186-A</v>
          </cell>
        </row>
        <row r="18">
          <cell r="J18"/>
          <cell r="O18" t="str">
            <v>RU-ATL-OP-FEL00-148-A</v>
          </cell>
        </row>
        <row r="19">
          <cell r="J19"/>
          <cell r="O19" t="str">
            <v>RU-POL-OP-FEL00-149-A</v>
          </cell>
        </row>
        <row r="20">
          <cell r="J20"/>
          <cell r="O20" t="str">
            <v>RU-POL-OP-FEL00-173-A</v>
          </cell>
        </row>
        <row r="21">
          <cell r="J21"/>
          <cell r="O21" t="str">
            <v>RU-SEL-UG-FEL2A-072-A</v>
          </cell>
        </row>
        <row r="22">
          <cell r="J22">
            <v>424802.48200000002</v>
          </cell>
        </row>
        <row r="24">
          <cell r="J24"/>
        </row>
        <row r="26">
          <cell r="J26">
            <v>11</v>
          </cell>
        </row>
        <row r="27">
          <cell r="J27">
            <v>38618.407454545457</v>
          </cell>
        </row>
        <row r="29">
          <cell r="J29">
            <v>15</v>
          </cell>
        </row>
        <row r="32">
          <cell r="J32"/>
        </row>
        <row r="33">
          <cell r="J33"/>
        </row>
        <row r="34">
          <cell r="J34"/>
        </row>
        <row r="35">
          <cell r="J35"/>
        </row>
      </sheetData>
      <sheetData sheetId="74"/>
      <sheetData sheetId="75"/>
      <sheetData sheetId="76"/>
    </sheetDataSet>
  </externalBook>
</externalLink>
</file>

<file path=xl/persons/person.xml><?xml version="1.0" encoding="utf-8"?>
<personList xmlns="http://schemas.microsoft.com/office/spreadsheetml/2018/threadedcomments" xmlns:x="http://schemas.openxmlformats.org/spreadsheetml/2006/main">
  <person displayName="Roxana Aviles Diaz" id="{4A222303-D5CA-42E9-849D-7C4B19F33D41}" userId="Roxana Aviles Diaz" providerId="None"/>
  <person displayName="Eduardo Cuevas" id="{211CD35B-6FD4-4D9C-8535-9BA561B970EB}" userId="S::ecuevas@redcoglobal.com::1895eeda-fe30-4958-a15c-75961a407efe" providerId="AD"/>
  <person displayName="Roxana Avilés Diaz" id="{A5532A43-9DBD-4768-B232-737E90A1ED91}" userId="S::raviles@redcoglobal.com::d7a277ab-b868-404e-8391-5c4bdbdc73d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uardo Cuevas" refreshedDate="45944.776441666669" createdVersion="8" refreshedVersion="8" minRefreshableVersion="3" recordCount="21" xr:uid="{448A0094-EA8F-47E8-B515-91D8EAEF31D8}">
  <cacheSource type="worksheet">
    <worksheetSource ref="A3:L24" sheet="Formato Backlog_Sept25"/>
  </cacheSource>
  <cacheFields count="12">
    <cacheField name="Código" numFmtId="0">
      <sharedItems/>
    </cacheField>
    <cacheField name="Proyecto" numFmtId="0">
      <sharedItems/>
    </cacheField>
    <cacheField name="País" numFmtId="0">
      <sharedItems count="4">
        <s v="Brasil"/>
        <s v="Perú"/>
        <s v="Otros"/>
        <s v="Chile"/>
      </sharedItems>
    </cacheField>
    <cacheField name="Año Inicio" numFmtId="0">
      <sharedItems containsSemiMixedTypes="0" containsString="0" containsNumber="1" containsInteger="1" minValue="2024" maxValue="2025"/>
    </cacheField>
    <cacheField name="Director" numFmtId="0">
      <sharedItems count="7">
        <s v="Alex Figueroa"/>
        <s v="JF San Martin"/>
        <s v="Carolina Arcos"/>
        <s v="Claudio Hernández"/>
        <s v="Felipe Rojas"/>
        <s v="Sin Director"/>
        <s v="Gonzalo Díaz"/>
      </sharedItems>
    </cacheField>
    <cacheField name="Contrato US$" numFmtId="3">
      <sharedItems containsSemiMixedTypes="0" containsString="0" containsNumber="1" minValue="29716" maxValue="920000"/>
    </cacheField>
    <cacheField name="Emitido US$" numFmtId="3">
      <sharedItems containsSemiMixedTypes="0" containsString="0" containsNumber="1" minValue="0" maxValue="665060.59000000008"/>
    </cacheField>
    <cacheField name="Avance Financiero%" numFmtId="9">
      <sharedItems containsSemiMixedTypes="0" containsString="0" containsNumber="1" minValue="0" maxValue="0.96365698356426477"/>
    </cacheField>
    <cacheField name="Saldo US$" numFmtId="3">
      <sharedItems containsSemiMixedTypes="0" containsString="0" containsNumber="1" minValue="8396" maxValue="317822.61"/>
    </cacheField>
    <cacheField name="Saldo %" numFmtId="9">
      <sharedItems containsSemiMixedTypes="0" containsString="0" containsNumber="1" minValue="3.634301643573528E-2" maxValue="1"/>
    </cacheField>
    <cacheField name="Saldo Acum%" numFmtId="9">
      <sharedItems containsSemiMixedTypes="0" containsString="0" containsNumber="1" minValue="0.14236106271020055" maxValue="1"/>
    </cacheField>
    <cacheField name="Saldo Acum" numFmtId="3">
      <sharedItems containsSemiMixedTypes="0" containsString="0" containsNumber="1" minValue="317822.61" maxValue="2232510.799999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s v="BR-EQG-UG-FEL03-172-A"/>
    <s v="EQUINOX_Actualización Ing. Básica UG"/>
    <x v="0"/>
    <n v="2025"/>
    <x v="0"/>
    <n v="330237.61"/>
    <n v="12415"/>
    <n v="3.7594143198892462E-2"/>
    <n v="317822.61"/>
    <n v="0.96240585680110757"/>
    <n v="0.14236106271020055"/>
    <n v="317822.61"/>
  </r>
  <r>
    <s v="BR-ERC-UG-FEL00-152-A"/>
    <s v="EroCopper_Scoping Proyecto Furnas"/>
    <x v="0"/>
    <n v="2025"/>
    <x v="0"/>
    <n v="484000"/>
    <n v="223644"/>
    <n v="0.46207438016528923"/>
    <n v="260356"/>
    <n v="0.53792561983471077"/>
    <n v="0.25898132721239242"/>
    <n v="578178.61"/>
  </r>
  <r>
    <s v="PE-MMG-UG-FEL2A-143-A"/>
    <s v="LasBambas_Ferrobamba PFS"/>
    <x v="1"/>
    <n v="2025"/>
    <x v="1"/>
    <n v="920000"/>
    <n v="665060.59000000008"/>
    <n v="0.72289194565217396"/>
    <n v="254939.40999999992"/>
    <n v="0.27710805434782598"/>
    <n v="0.37317535933084844"/>
    <n v="833118.0199999999"/>
  </r>
  <r>
    <s v="OT-RES-CS-OTR00-178-A"/>
    <s v="Resolution_General Review"/>
    <x v="2"/>
    <n v="2025"/>
    <x v="2"/>
    <n v="185615"/>
    <n v="0"/>
    <n v="0"/>
    <n v="185615"/>
    <n v="1"/>
    <n v="0.4563171743670848"/>
    <n v="1018733.0199999999"/>
  </r>
  <r>
    <s v="PE-ALP-GM-FEL00-156-A"/>
    <s v="Alpayana_Estudio de Sismicidad"/>
    <x v="1"/>
    <n v="2025"/>
    <x v="3"/>
    <n v="197494"/>
    <n v="43788"/>
    <n v="0.22171812814566519"/>
    <n v="153706"/>
    <n v="0.77828187185433484"/>
    <n v="0.52516611341813002"/>
    <n v="1172439.02"/>
  </r>
  <r>
    <s v="CH-AMS-OP-FEL00-171-A"/>
    <s v="AMSA_RIINO BC - Centinela"/>
    <x v="3"/>
    <n v="2025"/>
    <x v="4"/>
    <n v="141656.26"/>
    <n v="0"/>
    <n v="0"/>
    <n v="141656.26"/>
    <n v="1"/>
    <n v="0.58861765864693694"/>
    <n v="1314095.28"/>
  </r>
  <r>
    <s v="CH-CRF-CS-FEL00-169-A"/>
    <s v="CORFO_Valorización Boquerón Chañar"/>
    <x v="3"/>
    <n v="2025"/>
    <x v="2"/>
    <n v="123838.96"/>
    <n v="0"/>
    <n v="0"/>
    <n v="123838.96"/>
    <n v="1"/>
    <n v="0.64408836902379152"/>
    <n v="1437934.24"/>
  </r>
  <r>
    <s v="PE-SPM-UG-FEL03-160-A"/>
    <s v="SPM_FS Labores Subterraneas 2da MEIA"/>
    <x v="1"/>
    <n v="2025"/>
    <x v="5"/>
    <n v="99244"/>
    <n v="0"/>
    <n v="0"/>
    <n v="99244"/>
    <n v="1"/>
    <n v="0.68854235330014979"/>
    <n v="1537178.24"/>
  </r>
  <r>
    <s v="BR-MOS-UG-OTR00-098-A"/>
    <s v="Mosaic_Taquari Vassouras Fase II"/>
    <x v="0"/>
    <n v="2024"/>
    <x v="3"/>
    <n v="330410"/>
    <n v="242146.09"/>
    <n v="0.73286550043884868"/>
    <n v="88263.91"/>
    <n v="0.26713449956115132"/>
    <n v="0.72807806797619978"/>
    <n v="1625442.15"/>
  </r>
  <r>
    <s v="PE-NEX-GM-FEL00-167-A"/>
    <s v="NEXA_Estudio Geomecánico AT y EP"/>
    <x v="1"/>
    <n v="2025"/>
    <x v="3"/>
    <n v="80283"/>
    <n v="0"/>
    <n v="0"/>
    <n v="80283"/>
    <n v="1"/>
    <n v="0.76403892424618958"/>
    <n v="1705725.15"/>
  </r>
  <r>
    <s v="CH-AMS-CS-OTR00-165-A"/>
    <s v="AMSA_Mejoras Planificación Centinela"/>
    <x v="3"/>
    <n v="2025"/>
    <x v="4"/>
    <n v="80125"/>
    <n v="0"/>
    <n v="0"/>
    <n v="80125"/>
    <n v="1"/>
    <n v="0.79992900818217771"/>
    <n v="1785850.15"/>
  </r>
  <r>
    <s v="CH-CCO-CS-OTR00-159-A"/>
    <s v="Capstone Copper_Production at Risk"/>
    <x v="3"/>
    <n v="2025"/>
    <x v="6"/>
    <n v="148240"/>
    <n v="88297"/>
    <n v="0.5956354560172693"/>
    <n v="59943"/>
    <n v="0.4043645439827307"/>
    <n v="0.82677904626486021"/>
    <n v="1845793.15"/>
  </r>
  <r>
    <s v="CH-AAM-CS-OTR00-179-A"/>
    <s v="Anglo_Production at Risk Mina Rio"/>
    <x v="3"/>
    <n v="2025"/>
    <x v="6"/>
    <n v="84870"/>
    <n v="26973"/>
    <n v="0.31781548250265113"/>
    <n v="57897"/>
    <n v="0.68218451749734887"/>
    <n v="0.85271262741483722"/>
    <n v="1903690.15"/>
  </r>
  <r>
    <s v="CH-COD-UG-FEL00-174-A"/>
    <s v="Codelco_Formulación caso de negocio TBM"/>
    <x v="3"/>
    <n v="2025"/>
    <x v="5"/>
    <n v="78000"/>
    <n v="23507"/>
    <n v="0.30137179487179488"/>
    <n v="54493"/>
    <n v="0.69862820512820512"/>
    <n v="0.87712146790062562"/>
    <n v="1958183.15"/>
  </r>
  <r>
    <s v="CH-COL-CS-OTR00-180-A"/>
    <s v="Collahuasi_Análisis Mine Compliance"/>
    <x v="3"/>
    <n v="2025"/>
    <x v="4"/>
    <n v="52492"/>
    <n v="0"/>
    <n v="0"/>
    <n v="52492"/>
    <n v="1"/>
    <n v="0.90063400813111416"/>
    <n v="2010675.15"/>
  </r>
  <r>
    <s v="OT-FNE-CS-OTR00-176-A"/>
    <s v="FN_Oko West project review"/>
    <x v="2"/>
    <n v="2025"/>
    <x v="5"/>
    <n v="52400"/>
    <n v="0"/>
    <n v="0"/>
    <n v="52400"/>
    <n v="1"/>
    <n v="0.92410533915446236"/>
    <n v="2063075.15"/>
  </r>
  <r>
    <s v="CH-LUN-CS-OTR00-154-A"/>
    <s v="Lundin_Análisis Estratégico Caserones"/>
    <x v="3"/>
    <n v="2025"/>
    <x v="4"/>
    <n v="299270"/>
    <n v="248626"/>
    <n v="0.83077488555485013"/>
    <n v="50644"/>
    <n v="0.16922511444514987"/>
    <n v="0.94679011183282968"/>
    <n v="2113719.15"/>
  </r>
  <r>
    <s v="BR-CBM-CS-OTR00-164-A"/>
    <s v="CBMM_SIMPLAN Initiatives Evaluation"/>
    <x v="0"/>
    <n v="2025"/>
    <x v="0"/>
    <n v="78007.649999999994"/>
    <n v="28949"/>
    <n v="0.37110462884088935"/>
    <n v="49058.649999999994"/>
    <n v="0.62889537115911065"/>
    <n v="0.96876476476619955"/>
    <n v="2162777.7999999998"/>
  </r>
  <r>
    <s v="BR-LHG-UG-OTR00-161-A"/>
    <s v="LHG_LOM Urucum"/>
    <x v="0"/>
    <n v="2025"/>
    <x v="2"/>
    <n v="106000"/>
    <n v="74379"/>
    <n v="0.701688679245283"/>
    <n v="31621"/>
    <n v="0.298311320754717"/>
    <n v="0.98292863801599528"/>
    <n v="2194398.7999999998"/>
  </r>
  <r>
    <s v="PE-NEX-CS-OTR00-168-A"/>
    <s v="NEXA_Peer Review Cerro Lindo"/>
    <x v="1"/>
    <n v="2025"/>
    <x v="3"/>
    <n v="29716"/>
    <n v="0"/>
    <n v="0"/>
    <n v="29716"/>
    <n v="1"/>
    <n v="0.99623921192228948"/>
    <n v="2224114.7999999998"/>
  </r>
  <r>
    <s v="PE-MSR-UG-FEL00-142-A"/>
    <s v="Minsur_San Rafael Estudio V MEIA"/>
    <x v="1"/>
    <n v="2025"/>
    <x v="1"/>
    <n v="231021"/>
    <n v="222625"/>
    <n v="0.96365698356426477"/>
    <n v="8396"/>
    <n v="3.634301643573528E-2"/>
    <n v="1"/>
    <n v="2232510.7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89F5EC-7D1F-4067-B456-A7082EAC4F8F}" name="TablaDinámica19" cacheId="8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6">
  <location ref="A29:B34" firstHeaderRow="1" firstDataRow="1" firstDataCol="1"/>
  <pivotFields count="12">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numFmtId="3" showAll="0"/>
    <pivotField numFmtId="9" showAll="0"/>
    <pivotField dataField="1" numFmtId="3" showAll="0"/>
    <pivotField numFmtId="9" showAll="0"/>
    <pivotField numFmtId="9" showAll="0"/>
    <pivotField numFmtId="3" showAll="0"/>
  </pivotFields>
  <rowFields count="1">
    <field x="2"/>
  </rowFields>
  <rowItems count="5">
    <i>
      <x/>
    </i>
    <i>
      <x v="3"/>
    </i>
    <i>
      <x v="1"/>
    </i>
    <i>
      <x v="2"/>
    </i>
    <i t="grand">
      <x/>
    </i>
  </rowItems>
  <colItems count="1">
    <i/>
  </colItems>
  <dataFields count="1">
    <dataField name="Suma de Saldo US$" fld="8" baseField="0" baseItem="0" numFmtId="3"/>
  </dataField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3"/>
          </reference>
        </references>
      </pivotArea>
    </chartFormat>
    <chartFormat chart="7" format="4">
      <pivotArea type="data" outline="0" fieldPosition="0">
        <references count="2">
          <reference field="4294967294" count="1" selected="0">
            <x v="0"/>
          </reference>
          <reference field="2"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0"/>
          </reference>
        </references>
      </pivotArea>
    </chartFormat>
    <chartFormat chart="12" format="7">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3"/>
          </reference>
        </references>
      </pivotArea>
    </chartFormat>
    <chartFormat chart="12" format="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7A7F68-242E-4E46-8163-03F31C69F4B8}" name="TablaDinámica1" cacheId="8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37:C45" firstHeaderRow="0" firstDataRow="1" firstDataCol="1"/>
  <pivotFields count="12">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8">
        <item x="0"/>
        <item x="2"/>
        <item x="3"/>
        <item x="4"/>
        <item x="6"/>
        <item x="1"/>
        <item x="5"/>
        <item t="default"/>
      </items>
      <autoSortScope>
        <pivotArea dataOnly="0" outline="0" fieldPosition="0">
          <references count="1">
            <reference field="4294967294" count="1" selected="0">
              <x v="0"/>
            </reference>
          </references>
        </pivotArea>
      </autoSortScope>
    </pivotField>
    <pivotField numFmtId="3" showAll="0"/>
    <pivotField numFmtId="3" showAll="0"/>
    <pivotField numFmtId="9" showAll="0"/>
    <pivotField dataField="1" numFmtId="3" showAll="0"/>
    <pivotField numFmtId="9" showAll="0"/>
    <pivotField numFmtId="9" showAll="0"/>
    <pivotField numFmtId="3" showAll="0"/>
  </pivotFields>
  <rowFields count="1">
    <field x="4"/>
  </rowFields>
  <rowItems count="8">
    <i>
      <x/>
    </i>
    <i>
      <x v="2"/>
    </i>
    <i>
      <x v="1"/>
    </i>
    <i>
      <x v="3"/>
    </i>
    <i>
      <x v="5"/>
    </i>
    <i>
      <x v="6"/>
    </i>
    <i>
      <x v="4"/>
    </i>
    <i t="grand">
      <x/>
    </i>
  </rowItems>
  <colFields count="1">
    <field x="-2"/>
  </colFields>
  <colItems count="2">
    <i>
      <x/>
    </i>
    <i i="1">
      <x v="1"/>
    </i>
  </colItems>
  <dataFields count="2">
    <dataField name="Suma de Saldo US$" fld="8" baseField="0" baseItem="0" numFmtId="3"/>
    <dataField name="Cuenta de Saldo US$2" fld="8" subtotal="count" baseField="4" baseItem="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2A4F9D-FB51-4290-9D2E-682DAA4E04E1}" name="TablaDinámica4" cacheId="8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62:C70" firstHeaderRow="0" firstDataRow="1" firstDataCol="1"/>
  <pivotFields count="12">
    <pivotField showAll="0"/>
    <pivotField showAll="0"/>
    <pivotField showAll="0"/>
    <pivotField showAll="0"/>
    <pivotField axis="axisRow" showAll="0">
      <items count="8">
        <item x="0"/>
        <item x="2"/>
        <item x="3"/>
        <item x="4"/>
        <item x="6"/>
        <item x="1"/>
        <item x="5"/>
        <item t="default"/>
      </items>
    </pivotField>
    <pivotField dataField="1" numFmtId="3" showAll="0"/>
    <pivotField numFmtId="3" showAll="0"/>
    <pivotField numFmtId="9" showAll="0"/>
    <pivotField numFmtId="3" showAll="0"/>
    <pivotField numFmtId="9" showAll="0"/>
    <pivotField numFmtId="9" showAll="0"/>
    <pivotField numFmtId="3" showAll="0"/>
  </pivotFields>
  <rowFields count="1">
    <field x="4"/>
  </rowFields>
  <rowItems count="8">
    <i>
      <x v="5"/>
    </i>
    <i>
      <x/>
    </i>
    <i>
      <x v="2"/>
    </i>
    <i>
      <x v="3"/>
    </i>
    <i>
      <x v="1"/>
    </i>
    <i>
      <x v="4"/>
    </i>
    <i>
      <x v="6"/>
    </i>
    <i t="grand">
      <x/>
    </i>
  </rowItems>
  <colFields count="1">
    <field x="-2"/>
  </colFields>
  <colItems count="2">
    <i>
      <x/>
    </i>
    <i i="1">
      <x v="1"/>
    </i>
  </colItems>
  <dataFields count="2">
    <dataField name="Suma de Contrato US$" fld="5" baseField="0" baseItem="0" numFmtId="3"/>
    <dataField name="Cuenta de Contrato US$2" fld="5"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456C60-79FA-4C4B-98BE-E966987087A7}" name="Tabla1" displayName="Tabla1" ref="A7:S42" totalsRowShown="0" headerRowDxfId="92" dataDxfId="91">
  <autoFilter ref="A7:S42" xr:uid="{D64BFA18-C3E7-4A61-BBDA-917F86DA2B8A}"/>
  <sortState xmlns:xlrd2="http://schemas.microsoft.com/office/spreadsheetml/2017/richdata2" ref="A8:S42">
    <sortCondition ref="F8:F42"/>
  </sortState>
  <tableColumns count="19">
    <tableColumn id="1" xr3:uid="{01F44C78-ADE0-458A-B6EC-D87E1BDDD9C7}" name="#" dataDxfId="90"/>
    <tableColumn id="2" xr3:uid="{FB4B1757-C369-449C-A466-75C11E580E0C}" name="Código" dataDxfId="89"/>
    <tableColumn id="3" xr3:uid="{D8F04A16-8F0A-4374-9D98-20A3307ACC07}" name="Nombre de Proyecto" dataDxfId="88"/>
    <tableColumn id="4" xr3:uid="{7C1BBF07-B81A-46A2-8F6C-5E2FCFE9FD90}" name="País" dataDxfId="87"/>
    <tableColumn id="11" xr3:uid="{B48D4793-24AC-42EF-830B-150CA5A3C79E}" name="OC/ODS" dataDxfId="86"/>
    <tableColumn id="5" xr3:uid="{18477655-4BFA-4010-93DD-6ACE1947FBE7}" name="Empresa" dataDxfId="85"/>
    <tableColumn id="6" xr3:uid="{B298A678-4585-4999-AA06-A8816C463499}" name="Inicio" dataDxfId="84"/>
    <tableColumn id="7" xr3:uid="{F08817E8-93C0-446C-99EF-C84AB423BE2B}" name="Estado" dataDxfId="83"/>
    <tableColumn id="8" xr3:uid="{B1608AFD-AF4F-420A-A0DE-22C1631815A1}" name="Director" dataDxfId="82"/>
    <tableColumn id="9" xr3:uid="{F15023C5-A00E-4E89-A8C6-4A4AE830A3F5}" name="Monto Contrato (USD)" dataDxfId="81"/>
    <tableColumn id="10" xr3:uid="{62B84AD7-874E-46CF-9855-7C0DFA980C8A}" name="Avance Financiero%" dataDxfId="80" dataCellStyle="Porcentaje">
      <calculatedColumnFormula>+_xlfn.XLOOKUP(Tabla1[[#This Row],[Código]],'POM 2025__old'!A:A,'POM 2025__old'!K:K,0,0,1)</calculatedColumnFormula>
    </tableColumn>
    <tableColumn id="20" xr3:uid="{1F913F85-F73A-43B8-A968-E1E0F3714EA9}" name="Avance Físico%" dataDxfId="79" dataCellStyle="Porcentaje"/>
    <tableColumn id="12" xr3:uid="{01F2C8AE-A00B-45EF-8182-608A59DE35DF}" name="Gantt/Planilla" dataDxfId="78"/>
    <tableColumn id="13" xr3:uid="{4E182800-6BD1-41CF-80AC-73D53265779B}" name="Link" dataDxfId="77" dataCellStyle="Hipervínculo"/>
    <tableColumn id="14" xr3:uid="{B92AB423-F2FD-4046-B8B2-73061865C910}" name="Fecha Inicio" dataDxfId="76"/>
    <tableColumn id="15" xr3:uid="{0708FAAB-3784-4C2E-A2A9-0A32CACBCF7C}" name="Fecha Fin" dataDxfId="75"/>
    <tableColumn id="16" xr3:uid="{159F1617-47FA-4F20-B090-2BCA81B4039B}" name="Días Duración" dataDxfId="74">
      <calculatedColumnFormula>+(P8-O8)</calculatedColumnFormula>
    </tableColumn>
    <tableColumn id="17" xr3:uid="{2BBEE381-4105-4466-862B-9B77F90966AC}" name="Dias atraso" dataDxfId="73">
      <calculatedColumnFormula>$B$5-P8</calculatedColumnFormula>
    </tableColumn>
    <tableColumn id="18" xr3:uid="{09D3EC39-5F1A-48EF-A6D3-FC2D44D96B32}" name="Riesgo" dataDxfId="72"/>
  </tableColumns>
  <tableStyleInfo name="TableStyleMedium1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32" dT="2024-04-08T14:17:27.01" personId="{211CD35B-6FD4-4D9C-8535-9BA561B970EB}" id="{A32B6CA9-4D64-42DC-BD4C-C0B3C80C0478}">
    <text>Reprogramado</text>
  </threadedComment>
  <threadedComment ref="J35" dT="2024-03-20T12:26:27.31" personId="{211CD35B-6FD4-4D9C-8535-9BA561B970EB}" id="{B89EB41D-386D-4097-B182-35AE3BE10487}">
    <text>Proyecto reprogramado… avance proyectado en marzo de 43%... 79% corresponde a avance original</text>
  </threadedComment>
  <threadedComment ref="B48" dT="2024-05-07T15:31:39.18" personId="{4A222303-D5CA-42E9-849D-7C4B19F33D41}" id="{F0336D9C-28EC-4318-8772-F5C3A04153E0}">
    <text>Proyección estimada con base en los proyectos Codelco Drenaje QT, Panel Central y Falla Oeste.</text>
  </threadedComment>
  <threadedComment ref="B49" dT="2024-05-07T16:37:01.95" personId="{4A222303-D5CA-42E9-849D-7C4B19F33D41}" id="{978E00F9-6CE0-4B98-84D4-C364E186AA04}">
    <text>Proyección estimada con base en los proyectos Candelaria Pilares, Diag. Operacional y CMP Est. Plan.</text>
  </threadedComment>
  <threadedComment ref="B52" dT="2024-05-07T22:51:58.39" personId="{4A222303-D5CA-42E9-849D-7C4B19F33D41}" id="{05D82529-05F6-48C9-817F-42C27596FEC1}">
    <text>Proyección estimada con base en los proyectos NorGold, Compilación R&amp;R y Forecast Budget24.</text>
  </threadedComment>
</ThreadedComments>
</file>

<file path=xl/threadedComments/threadedComment2.xml><?xml version="1.0" encoding="utf-8"?>
<ThreadedComments xmlns="http://schemas.microsoft.com/office/spreadsheetml/2018/threadedcomments" xmlns:x="http://schemas.openxmlformats.org/spreadsheetml/2006/main">
  <threadedComment ref="I4" dT="2023-10-25T21:49:12.10" personId="{A5532A43-9DBD-4768-B232-737E90A1ED91}" id="{7A13A731-0560-4D0F-91E6-E31FBCCC9C3F}">
    <text>249,727 Monto Original OC</text>
  </threadedComment>
  <threadedComment ref="I5" dT="2023-10-26T15:33:20.25" personId="{A5532A43-9DBD-4768-B232-737E90A1ED91}" id="{6CE47448-D21A-454C-90F0-F95F5AEC779F}">
    <text>Se restan 93,6 UF por disminuciones de SDC05 en relación a entregables de FEL 1</text>
  </threadedComment>
  <threadedComment ref="AI5" dT="2024-03-04T00:01:31.72" personId="{211CD35B-6FD4-4D9C-8535-9BA561B970EB}" id="{FEB71FEE-82AA-48AF-8CFC-4B485FF789DA}">
    <text>No se estaba considerando el monto de la SDC 7 por 400,7 UF</text>
  </threadedComment>
  <threadedComment ref="I11" dT="2023-10-26T16:13:48.25" personId="{A5532A43-9DBD-4768-B232-737E90A1ED91}" id="{9CF17A33-7EC0-4505-8C94-956B15314FAB}">
    <text>Monto 655.021 considerando nuevo alcance P2.</text>
  </threadedComment>
  <threadedComment ref="Y11" dT="2023-11-20T15:06:19.86" personId="{211CD35B-6FD4-4D9C-8535-9BA561B970EB}" id="{0ACF8B33-CA73-46EA-BBD3-4EF5A4297452}">
    <text>EDP 14</text>
  </threadedComment>
  <threadedComment ref="AB11" dT="2023-12-26T12:43:03.79" personId="{211CD35B-6FD4-4D9C-8535-9BA561B970EB}" id="{DA11CFA3-162A-4C2B-9A18-93971B7F9718}">
    <text>Diciembre considera emisión de 2 BM, primero por 36kusd</text>
  </threadedComment>
  <threadedComment ref="Y12" dT="2023-11-20T15:06:04.24" personId="{211CD35B-6FD4-4D9C-8535-9BA561B970EB}" id="{DC15C434-F6AE-48A1-9B6F-86CFA7847FB8}">
    <text>EDP 3</text>
  </threadedComment>
  <threadedComment ref="AH12" dT="2024-03-03T23:20:04.88" personId="{211CD35B-6FD4-4D9C-8535-9BA561B970EB}" id="{020AE4ED-BDF4-4827-8AF4-E5AE8AED1055}">
    <text>Se cobro de manera adicional un item reembolsable por 27 kusd</text>
  </threadedComment>
  <threadedComment ref="AH12" dT="2024-04-01T12:23:00.07" personId="{211CD35B-6FD4-4D9C-8535-9BA561B970EB}" id="{26B824C9-2096-4AF6-B251-9F307D783247}" parentId="{020AE4ED-BDF4-4827-8AF4-E5AE8AED1055}">
    <text>28283 USD</text>
  </threadedComment>
  <threadedComment ref="W13" dT="2023-10-29T20:08:48.52" personId="{211CD35B-6FD4-4D9C-8535-9BA561B970EB}" id="{8910DDC7-D132-46E2-A209-C3FCCD6AE30D}">
    <text>EDP emitido a final del mes. Acordado con cliente</text>
  </threadedComment>
  <threadedComment ref="I17" dT="2023-10-25T21:47:27.19" personId="{A5532A43-9DBD-4768-B232-737E90A1ED91}" id="{83371EF2-7129-4050-899C-3BB63B2181F7}">
    <text xml:space="preserve">297,223 Monto original de la OC
</text>
  </threadedComment>
  <threadedComment ref="AH19" dT="2024-03-25T12:51:39.19" personId="{211CD35B-6FD4-4D9C-8535-9BA561B970EB}" id="{A72B520A-3223-4EE0-A895-9BD007F66776}">
    <text>No fue aprobado en el periodo el EDP</text>
  </threadedComment>
  <threadedComment ref="AB21" dT="2023-12-26T13:03:24.46" personId="{211CD35B-6FD4-4D9C-8535-9BA561B970EB}" id="{8C36D431-10FB-4E31-A4D6-CB51670D6AA5}">
    <text>Avance en NOC 3 y acompañamientos</text>
  </threadedComment>
  <threadedComment ref="I22" dT="2023-10-26T15:35:33.95" personId="{A5532A43-9DBD-4768-B232-737E90A1ED91}" id="{C2E03CEB-31C1-404F-862A-1A5FAF2E8405}">
    <text>Se descuenta yacimientos sin nuevos modelos de bloques y se agrega SDC 05</text>
  </threadedComment>
  <threadedComment ref="AB27" dT="2023-12-26T13:00:49.94" personId="{211CD35B-6FD4-4D9C-8535-9BA561B970EB}" id="{150811B4-8257-4DB0-9822-AB96D640F247}">
    <text>EDP Proyectado</text>
  </threadedComment>
  <threadedComment ref="AK27" dT="2024-04-01T14:17:18.13" personId="{211CD35B-6FD4-4D9C-8535-9BA561B970EB}" id="{89BA0AA2-C95A-4F2A-8715-0A9A17C8B9E1}">
    <text>Pendiente de formalización, habrá reunión con Roberto para definiciones</text>
  </threadedComment>
  <threadedComment ref="AM27" dT="2024-04-08T14:08:29.39" personId="{211CD35B-6FD4-4D9C-8535-9BA561B970EB}" id="{E4A5524A-311A-422D-9DC6-77C4E85DE2BF}">
    <text>Corresponde a EDP 6 negociado con RC</text>
  </threadedComment>
  <threadedComment ref="AM27" dT="2024-04-08T15:50:40.97" personId="{211CD35B-6FD4-4D9C-8535-9BA561B970EB}" id="{092ABA64-EC34-469C-82A8-CB646E8EFBFE}" parentId="{E4A5524A-311A-422D-9DC6-77C4E85DE2BF}">
    <text>EDP 7 - 41.184 USD proyectado</text>
  </threadedComment>
  <threadedComment ref="AB28" dT="2023-12-26T13:02:30.50" personId="{211CD35B-6FD4-4D9C-8535-9BA561B970EB}" id="{4FDD7B2D-DF76-44B9-BA87-DC38B3AA1A4E}">
    <text>Cuota 1</text>
  </threadedComment>
  <threadedComment ref="AC30" dT="2024-01-03T16:11:24.11" personId="{211CD35B-6FD4-4D9C-8535-9BA561B970EB}" id="{1D3678D7-1D2C-42D6-A817-6546D2F81861}">
    <text>Continua ?</text>
  </threadedComment>
  <threadedComment ref="AH32" dT="2024-03-25T12:52:02.20" personId="{211CD35B-6FD4-4D9C-8535-9BA561B970EB}" id="{62A8A48B-45D0-460A-A1E9-1831D3474178}">
    <text>Cliente no procesó el EDP, solicita emitir 3 y 4 juntos</text>
  </threadedComment>
  <threadedComment ref="AB33" dT="2023-12-26T13:00:11.32" personId="{211CD35B-6FD4-4D9C-8535-9BA561B970EB}" id="{27727ABB-43B5-44B9-9C8A-B88E87E59A64}">
    <text>Considera dos valorizaciones en el mes</text>
  </threadedComment>
  <threadedComment ref="I35" dT="2024-02-12T15:11:09.03" personId="{211CD35B-6FD4-4D9C-8535-9BA561B970EB}" id="{B16CC625-212B-4BA9-AB60-4915C56EC04B}">
    <text>Monto inicialmente considerado por 250 kusd (errado)</text>
  </threadedComment>
  <threadedComment ref="AB38" dT="2023-12-26T12:43:56.53" personId="{211CD35B-6FD4-4D9C-8535-9BA561B970EB}" id="{6B3EF495-5D6D-4D25-9116-F8F3605F0EB4}">
    <text>Cliente solicita valorizar 45% en dic… acum de 95%</text>
  </threadedComment>
  <threadedComment ref="Q39" dT="2024-06-24T17:15:20.93" personId="{4A222303-D5CA-42E9-849D-7C4B19F33D41}" id="{9D6A94F2-DB79-4CAE-A3D1-90D30148BB05}">
    <text>Monto emitido durante el 2023 es mayor a lo calculado inicialmente.</text>
  </threadedComment>
  <threadedComment ref="AB39" dT="2023-12-26T13:01:58.59" personId="{211CD35B-6FD4-4D9C-8535-9BA561B970EB}" id="{0CBBCD5D-122D-4B75-8DD2-18D3208A6AF5}">
    <text>Invoice 2</text>
  </threadedComment>
  <threadedComment ref="AM39" dT="2024-04-08T14:08:07.41" personId="{211CD35B-6FD4-4D9C-8535-9BA561B970EB}" id="{22B5D8C9-BA58-42D3-9423-F4379F955320}">
    <text>En base a plan</text>
  </threadedComment>
  <threadedComment ref="BC54" dT="2024-12-02T15:56:20.91" personId="{211CD35B-6FD4-4D9C-8535-9BA561B970EB}" id="{7E109DB7-ED00-40F7-8D78-29D5AD25AFE6}">
    <text>Se actualiza la emisión a diciembre dado que es la fecha donde se presentará el entregable</text>
  </threadedComment>
  <threadedComment ref="I62" dT="2024-07-12T15:12:27.63" personId="{4A222303-D5CA-42E9-849D-7C4B19F33D41}" id="{AD2BF962-CCD2-4B77-B01D-49ED574E241D}">
    <text>21.289 UF</text>
  </threadedComment>
  <threadedComment ref="BC69" dT="2025-01-30T14:56:13.22" personId="{211CD35B-6FD4-4D9C-8535-9BA561B970EB}" id="{73255401-BF51-45EB-B291-14BD7E7CD6E6}">
    <text>24.147 monto se actualizó</text>
  </threadedComment>
  <threadedComment ref="BG79" dT="2024-12-27T14:05:46.90" personId="{A5532A43-9DBD-4768-B232-737E90A1ED91}" id="{81F6D751-E982-4AA5-9299-73AE160ADC75}">
    <text>Cliente solicitó modificar EDP Noviembre. Se emitió en Diciembre, por el saldo completo del proyecto. Antes: $58.745</text>
  </threadedComment>
  <threadedComment ref="AZ82" dT="2024-09-06T16:18:15.86" personId="{A5532A43-9DBD-4768-B232-737E90A1ED91}" id="{F81AFE3F-033B-4605-9339-8856AD0FD4DF}">
    <text>Ajuste por tipo de cambio UF-USD</text>
  </threadedComment>
  <threadedComment ref="AZ83" dT="2024-09-06T16:17:46.95" personId="{A5532A43-9DBD-4768-B232-737E90A1ED91}" id="{EBF23FF5-7F12-4BEE-B7F8-F0007035CEB6}">
    <text>Ajuste por tipo de cambio UF-USD</text>
  </threadedComment>
  <threadedComment ref="BG84" dT="2024-12-27T14:09:21.94" personId="{A5532A43-9DBD-4768-B232-737E90A1ED91}" id="{940B3EA4-2FFC-4F15-BBBC-95680A8E293F}">
    <text>Se unificaron los EDP de Nov y Dic, para presentar uno sólo por el monto de 46,2 kUSD (antes EDP Nov 22,3 kUSD)</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4-07-12T15:12:27.63" personId="{4A222303-D5CA-42E9-849D-7C4B19F33D41}" id="{D3E51E99-7B6F-420D-861F-B85C4E553366}">
    <text>21.289 UF</text>
  </threadedComment>
  <threadedComment ref="X6" dT="2025-04-29T23:05:49.28" personId="{211CD35B-6FD4-4D9C-8535-9BA561B970EB}" id="{25CEAEF6-F055-44B2-8886-1334AD15CEB6}">
    <text>No se tenía registro de esta emisión</text>
  </threadedComment>
  <threadedComment ref="Z6" dT="2025-05-02T16:38:37.85" personId="{211CD35B-6FD4-4D9C-8535-9BA561B970EB}" id="{85EB8350-6387-449F-973E-CF36695EDA6D}">
    <text>101 kUSD fueron emitidos la primera semana de abril y corresponde al EDP de marzo</text>
  </threadedComment>
  <threadedComment ref="X11" dT="2025-06-26T15:47:07.06" personId="{211CD35B-6FD4-4D9C-8535-9BA561B970EB}" id="{6AEC1357-5E0F-4D3B-A8A9-7B520AAE8022}">
    <text>Anterior 89.184 USD</text>
  </threadedComment>
  <threadedComment ref="AB21" dT="2025-05-30T16:22:38.68" personId="{211CD35B-6FD4-4D9C-8535-9BA561B970EB}" id="{72C6636C-44AA-4D7F-9D9C-4687DCD0CA52}">
    <text>Emitido el 05/05/25</text>
  </threadedComment>
  <threadedComment ref="I28" dT="2025-01-20T13:49:52.70" personId="{211CD35B-6FD4-4D9C-8535-9BA561B970EB}" id="{24108960-4AF2-4E33-92E0-A13AD3A67F29}">
    <text>Monto contrato 67k + SDC 24 k</text>
  </threadedComment>
  <threadedComment ref="I28" dT="2025-01-24T17:22:32.94" personId="{A5532A43-9DBD-4768-B232-737E90A1ED91}" id="{EB55EEBB-6189-4363-AF69-EC4AD77D1D84}" parentId="{24108960-4AF2-4E33-92E0-A13AD3A67F29}">
    <text>Se actualiza monto a 48.710,16</text>
  </threadedComment>
  <threadedComment ref="Z28" dT="2025-08-18T14:17:02.40" personId="{211CD35B-6FD4-4D9C-8535-9BA561B970EB}" id="{92F3B6E3-34D7-4BDA-9A2B-A819E7AACAFE}">
    <text>Cliente genera una nueva OC en julio 2025 para ejercicios adicionales al proyecto base. Parte de esos ejercicios habían sido cobrados en este EDP, pero en julio se emite el EDEP correspondiente.</text>
  </threadedComment>
  <threadedComment ref="AB31" dT="2025-05-28T22:26:25.38" personId="{211CD35B-6FD4-4D9C-8535-9BA561B970EB}" id="{09728851-D0DA-4B59-A3D4-76B3257FC39C}">
    <text>Considera 16.127 USD por concepto de adicional. OC recientemente aprobada.</text>
  </threadedComment>
  <threadedComment ref="AD31" dT="2025-08-20T19:00:10.20" personId="{211CD35B-6FD4-4D9C-8535-9BA561B970EB}" id="{169287A4-2DB8-439F-A429-39C2E008645D}">
    <text>Inicialmente 4461 USD</text>
  </threadedComment>
  <threadedComment ref="AF53" dT="2025-09-05T15:46:13.41" personId="{211CD35B-6FD4-4D9C-8535-9BA561B970EB}" id="{4694D664-0E45-4B17-833C-503E780E11FF}">
    <text>Se habia emitido un EDP por 8710 USD pero no fue aceptado por cliente (contratos) dado que proyecto debió estar terminado. En septiembre se debe emitir al 100%</text>
  </threadedComment>
  <threadedComment ref="AB59" dT="2025-06-23T13:47:42.58" personId="{211CD35B-6FD4-4D9C-8535-9BA561B970EB}" id="{2BDB6DA2-4351-4E24-A021-AC5ECB8332D5}">
    <text>Emitido fuera de plazo. Finalmente se consolida con el EDP de Junio</text>
  </threadedComment>
  <threadedComment ref="I60" dT="2025-05-07T16:38:33.95" personId="{211CD35B-6FD4-4D9C-8535-9BA561B970EB}" id="{D694E7B9-6995-4733-AD34-82BB3A7D270A}">
    <text>Se ajusta monto de contrato a PO oficializada por cliente. Monto responde a permisos MEIA V de Las Bambas</text>
  </threadedComment>
  <threadedComment ref="AH60" dT="2025-09-22T20:35:03.46" personId="{211CD35B-6FD4-4D9C-8535-9BA561B970EB}" id="{1F692811-E62E-4F81-A1BF-A318A3C1286F}">
    <text>EDP Inicial 200.336 USD</text>
  </threadedComment>
  <threadedComment ref="AN67" dT="2025-11-25T14:25:49.86" personId="{211CD35B-6FD4-4D9C-8535-9BA561B970EB}" id="{2D10E02A-714E-4A39-9790-4F16602943AF}">
    <text>EDP 1 y EDP 2</text>
  </threadedComment>
</ThreadedComments>
</file>

<file path=xl/threadedComments/threadedComment4.xml><?xml version="1.0" encoding="utf-8"?>
<ThreadedComments xmlns="http://schemas.microsoft.com/office/spreadsheetml/2018/threadedcomments" xmlns:x="http://schemas.openxmlformats.org/spreadsheetml/2006/main">
  <threadedComment ref="AX15" dT="2026-02-09T18:50:29.86" personId="{211CD35B-6FD4-4D9C-8535-9BA561B970EB}" id="{945844EF-D543-40CD-8905-DF5360FCAFF6}">
    <text>Para el caso de Feb-26 se acordó que el POM sería igual a la OTI</text>
  </threadedComment>
  <threadedComment ref="I17" dT="2024-07-12T15:12:27.63" personId="{4A222303-D5CA-42E9-849D-7C4B19F33D41}" id="{16554D8B-D9E1-43F3-852A-C19089CE7F27}">
    <text>21.289 UF</text>
  </threadedComment>
  <threadedComment ref="Y19" dT="2025-04-29T23:05:49.28" personId="{211CD35B-6FD4-4D9C-8535-9BA561B970EB}" id="{23AA5578-240C-443A-9371-0E3E740AB222}">
    <text>No se tenía registro de esta emisión</text>
  </threadedComment>
  <threadedComment ref="AA19" dT="2025-05-02T16:38:37.85" personId="{211CD35B-6FD4-4D9C-8535-9BA561B970EB}" id="{5AA55CAD-96C9-4B35-A1D8-E229FABC6D09}">
    <text>101 kUSD fueron emitidos la primera semana de abril y corresponde al EDP de marzo</text>
  </threadedComment>
  <threadedComment ref="Y24" dT="2025-06-26T15:47:07.06" personId="{211CD35B-6FD4-4D9C-8535-9BA561B970EB}" id="{2C80CF02-A583-4ADB-94CB-D7AAF9414927}">
    <text>Anterior 89.184 USD</text>
  </threadedComment>
  <threadedComment ref="AC34" dT="2025-05-30T16:22:38.68" personId="{211CD35B-6FD4-4D9C-8535-9BA561B970EB}" id="{ADCF8067-1531-4391-8E5A-3C52C4453CAC}">
    <text>Emitido el 05/05/25</text>
  </threadedComment>
  <threadedComment ref="I41" dT="2025-01-20T13:49:52.70" personId="{211CD35B-6FD4-4D9C-8535-9BA561B970EB}" id="{DD5AA996-0623-419E-977E-143A5395D78D}">
    <text>Monto contrato 67k + SDC 24 k</text>
  </threadedComment>
  <threadedComment ref="I41" dT="2025-01-24T17:22:32.94" personId="{A5532A43-9DBD-4768-B232-737E90A1ED91}" id="{E7109ECF-84A1-46B9-ACA0-72F9DEAC1C6E}" parentId="{DD5AA996-0623-419E-977E-143A5395D78D}">
    <text>Se actualiza monto a 48.710,16</text>
  </threadedComment>
  <threadedComment ref="AA41" dT="2025-08-18T14:17:02.40" personId="{211CD35B-6FD4-4D9C-8535-9BA561B970EB}" id="{AF2DE1DC-6B4D-4A89-B65A-00382F330436}">
    <text>Cliente genera una nueva OC en julio 2025 para ejercicios adicionales al proyecto base. Parte de esos ejercicios habían sido cobrados en este EDP, pero en julio se emite el EDEP correspondiente.</text>
  </threadedComment>
  <threadedComment ref="AC44" dT="2025-05-28T22:26:25.38" personId="{211CD35B-6FD4-4D9C-8535-9BA561B970EB}" id="{BE1C59B0-8157-4DC6-B3E4-3F68408A8AAB}">
    <text>Considera 16.127 USD por concepto de adicional. OC recientemente aprobada.</text>
  </threadedComment>
  <threadedComment ref="AE44" dT="2025-08-20T19:00:10.20" personId="{211CD35B-6FD4-4D9C-8535-9BA561B970EB}" id="{E657E587-0440-4621-AD9F-357A449255C9}">
    <text>Inicialmente 4461 USD</text>
  </threadedComment>
  <threadedComment ref="AO47" dT="2026-02-04T12:48:36.05" personId="{211CD35B-6FD4-4D9C-8535-9BA561B970EB}" id="{850DF282-351B-4EA3-AF33-F641F143D259}">
    <text>EDP se reenvía en enero 2026</text>
  </threadedComment>
  <threadedComment ref="AO47" dT="2026-02-04T14:41:51.78" personId="{211CD35B-6FD4-4D9C-8535-9BA561B970EB}" id="{B390D726-E7ED-4C39-A696-EC45441BEC88}" parentId="{850DF282-351B-4EA3-AF33-F641F143D259}">
    <text>Se mueve al lunes 02/02/26</text>
  </threadedComment>
  <threadedComment ref="AG66" dT="2025-09-05T15:46:13.41" personId="{211CD35B-6FD4-4D9C-8535-9BA561B970EB}" id="{90C8C74A-ABB7-47A0-BFB2-B47CC8FE7330}">
    <text>Se habia emitido un EDP por 8710 USD pero no fue aceptado por cliente (contratos) dado que proyecto debió estar terminado. En septiembre se debe emitir al 100%</text>
  </threadedComment>
  <threadedComment ref="AC72" dT="2025-06-23T13:47:42.58" personId="{211CD35B-6FD4-4D9C-8535-9BA561B970EB}" id="{43293288-C61F-4981-928E-8AF65C0678E0}">
    <text>Emitido fuera de plazo. Finalmente se consolida con el EDP de Junio</text>
  </threadedComment>
  <threadedComment ref="AK72" dT="2026-01-21T16:11:40.17" personId="{211CD35B-6FD4-4D9C-8535-9BA561B970EB}" id="{B8F8DC48-C38F-436F-A556-E8A8D31AE94F}">
    <text>No procede</text>
  </threadedComment>
  <threadedComment ref="AM72" dT="2026-01-21T16:11:49.67" personId="{211CD35B-6FD4-4D9C-8535-9BA561B970EB}" id="{1253DE5B-D47B-47A8-977C-FE0C2678D28C}">
    <text>No procede</text>
  </threadedComment>
  <threadedComment ref="I73" dT="2025-05-07T16:38:33.95" personId="{211CD35B-6FD4-4D9C-8535-9BA561B970EB}" id="{B052FC2C-F6F3-47A3-A9A9-849C43862A82}">
    <text>Se ajusta monto de contrato a PO oficializada por cliente. Monto responde a permisos MEIA V de Las Bambas</text>
  </threadedComment>
  <threadedComment ref="AI73" dT="2025-09-22T20:35:03.46" personId="{211CD35B-6FD4-4D9C-8535-9BA561B970EB}" id="{A74855EB-C718-4944-AF5E-D95FB23CD440}">
    <text>EDP Inicial 200.336 USD</text>
  </threadedComment>
  <threadedComment ref="AO83" dT="2025-11-25T14:25:49.86" personId="{211CD35B-6FD4-4D9C-8535-9BA561B970EB}" id="{BBF20D6F-3C52-48A8-B92C-43AA627BD3A7}">
    <text>EDP 1 y EDP 2</text>
  </threadedComment>
  <threadedComment ref="AV88" dT="2026-01-27T21:53:05.99" personId="{211CD35B-6FD4-4D9C-8535-9BA561B970EB}" id="{37612B3C-B1AD-454B-B0F4-CE069675985F}">
    <text>Incluye 15k por concepto de asesoria</text>
  </threadedComment>
  <threadedComment ref="L99" dT="2026-06-08T14:18:30.90" personId="{211CD35B-6FD4-4D9C-8535-9BA561B970EB}" id="{3363CF2B-68DD-4496-B02B-55704F6DB65A}">
    <text>Pendiente de cobro el 5% corresponde al informe final</text>
  </threadedComment>
  <threadedComment ref="BF105" dT="2026-06-10T15:15:12.68" personId="{211CD35B-6FD4-4D9C-8535-9BA561B970EB}" id="{E693C5CB-2250-4A32-AF96-C3D85077756F}">
    <text>Monto se actualizó, anterior: 32.311 USD</text>
  </threadedComment>
  <threadedComment ref="BI105" dT="2026-06-10T15:16:15.55" personId="{211CD35B-6FD4-4D9C-8535-9BA561B970EB}" id="{AFB5E851-893F-4FE9-A51A-D3C2788E32D0}">
    <text>Anterior: 20.120 USD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8" Type="http://schemas.openxmlformats.org/officeDocument/2006/relationships/hyperlink" Target="../../../../../../../:x:/s/LasBambas_FerrobambaPFS/EWRnIwXAuyVPlg5d6d0odzkBOZKLvcZDpfv1yQZE7_IDtg?e=5Yspio" TargetMode="External"/><Relationship Id="rId13" Type="http://schemas.openxmlformats.org/officeDocument/2006/relationships/hyperlink" Target="../../../../../../../:x:/s/LHG_LOMUrucum/EXg7U2snfVdOt-Rmnsxp63EBodgpBq_0h0ZMyfXD7zv8gA?e=QLTuHt" TargetMode="External"/><Relationship Id="rId18" Type="http://schemas.openxmlformats.org/officeDocument/2006/relationships/hyperlink" Target="../../../../../../../:x:/s/Polyus_EvaluaciontaludesminaBlagodatny/EUowNM-NLyhLsbwMaxeMShUB2S11yuahtXN2oVZ760XLuw?e=oWGixS" TargetMode="External"/><Relationship Id="rId3" Type="http://schemas.openxmlformats.org/officeDocument/2006/relationships/hyperlink" Target="../../../../../../../:x:/s/Mosaic_ActualizacinFSP1Cajati/ES6a-yMI4FtHtC543_SZfRsBy2q5m5ZokZWOtsTlSpTMxQ?e=BxwODD" TargetMode="External"/><Relationship Id="rId21" Type="http://schemas.openxmlformats.org/officeDocument/2006/relationships/drawing" Target="../drawings/drawing3.xml"/><Relationship Id="rId7" Type="http://schemas.openxmlformats.org/officeDocument/2006/relationships/hyperlink" Target="../../../../../../../:x:/s/BHP_TunelExploratorio/EVkvlCYCNuNBhItHA0TeYFABl9cJuPdgj8DCBSwbZVMuvA?e=B0sdgy" TargetMode="External"/><Relationship Id="rId12" Type="http://schemas.openxmlformats.org/officeDocument/2006/relationships/hyperlink" Target="../../../../../../../:x:/s/SPM_FSLaboresSubterraneas2daMEIA/Ee99ztN00Q1FrySh7-Z-GrQB1lnQd66vYZ3siENWg8igEA?e=7b5ytS" TargetMode="External"/><Relationship Id="rId17" Type="http://schemas.openxmlformats.org/officeDocument/2006/relationships/hyperlink" Target="../../../../../../../:x:/s/CORFO_ValorizacinBoquernChaar/EUelsNU30VBKuC5ABLSbw_wBXl0Mib7HdiYHKdsLZK4-Zg?e=JcyXTn" TargetMode="External"/><Relationship Id="rId2" Type="http://schemas.openxmlformats.org/officeDocument/2006/relationships/hyperlink" Target="../../../../../../../:x:/s/CMP_EstrategiaCrecimientoTofoNorte/ETBd69xqyx1Ij518xiMTcBUBm2slXWFs71F1ppoeRej8Ww?e=QyZavH" TargetMode="External"/><Relationship Id="rId16" Type="http://schemas.openxmlformats.org/officeDocument/2006/relationships/hyperlink" Target="../../../../../../../:x:/s/NEXA_EstudioGeomecnicoATyEP/EXqwbfO4nUBCizN0sRei_9gBBbMa54pcD9Cv7wU28vy3Lg?e=IBME1C" TargetMode="External"/><Relationship Id="rId20" Type="http://schemas.openxmlformats.org/officeDocument/2006/relationships/hyperlink" Target="../../../../../../../:x:/s/Mosaic_TaquariVassourasFaseII/EW9_hQHmsVxKnWZMXQB5p2sBQNX4dWIk9J45NnI6glADKw?e=kQPDyG" TargetMode="External"/><Relationship Id="rId1" Type="http://schemas.openxmlformats.org/officeDocument/2006/relationships/hyperlink" Target="../../../../../../../:x:/s/AngloAmerican_TecnologaHDDcaptacinaguasclaras/Eb72D3VchW5FgxYjNy38LMoB5YZvrY45jbTZR4yfda5TfQ?e=9VhbgF" TargetMode="External"/><Relationship Id="rId6" Type="http://schemas.openxmlformats.org/officeDocument/2006/relationships/hyperlink" Target="../../../../../../../:x:/s/BHP_MedidasdeCierreBotaderos/Ee2nXAXjWrJLoARXYL11uZQBuQVp4hV4oW9f5mmAwVbn0g?e=xgiXk7" TargetMode="External"/><Relationship Id="rId11" Type="http://schemas.openxmlformats.org/officeDocument/2006/relationships/hyperlink" Target="../../../../../../../:x:/s/Alpamarca_EstudiodeEstabilidadTajo/EY7TOFiNtGpImwstKvWEcm8BbK4_Avh54LmFPa2zY8stNg?e=86qpHA" TargetMode="External"/><Relationship Id="rId5" Type="http://schemas.openxmlformats.org/officeDocument/2006/relationships/hyperlink" Target="../../../../../../../:x:/s/AuraMinerals_ExpansinMinaPaiolOP-UG/Ed8j_5ljhvtPrsgHM1D2FpgBA6aL2DuItQ0OYoailM9Tjg?e=UZFwCL" TargetMode="External"/><Relationship Id="rId15" Type="http://schemas.openxmlformats.org/officeDocument/2006/relationships/hyperlink" Target="../../../../../../../:x:/s/Volcan_EstudioEstabilidadDesmonteras/EXXrrzJ_dbVHl33dgnO6n3oBKaECqOWJIxpmTvmtp7uNWw?e=nx9Ibb" TargetMode="External"/><Relationship Id="rId10" Type="http://schemas.openxmlformats.org/officeDocument/2006/relationships/hyperlink" Target="../../../../../../../:x:/s/Alpayana_EstudiodeSismicidad/ESFfGzjPH4hOl7nFUeTv5nUBdkxDT4E3XSkuRoJCuFxFww?e=QFaPLy" TargetMode="External"/><Relationship Id="rId19" Type="http://schemas.openxmlformats.org/officeDocument/2006/relationships/hyperlink" Target="../../../../../../../:x:/s/Seligdar_Kyuchus/Eaac0_QSEa9Buy0pUBxuN4oB3CTEiXwdgbqqhuLk4SlfWQ?e=kxSKoC" TargetMode="External"/><Relationship Id="rId4" Type="http://schemas.openxmlformats.org/officeDocument/2006/relationships/hyperlink" Target="../../../../../../../:x:/s/CMP_ActualizacinCasosdeNegociosCNN/EWQKB8AJ2_lPiyukgUeyYe0BqAVthOEFS86SlIinilF05g?e=BVI0no" TargetMode="External"/><Relationship Id="rId9" Type="http://schemas.openxmlformats.org/officeDocument/2006/relationships/hyperlink" Target="../../../../../../../:x:/s/EroCopper_ScopingProyectoFurnas/EZ5yp6MsK25AiHs3rA7R4bgBf5hdNgZYNQn7kGF80Tck9g?e=0L1Dbl" TargetMode="External"/><Relationship Id="rId14" Type="http://schemas.openxmlformats.org/officeDocument/2006/relationships/hyperlink" Target="../../../../../../../:x:/s/CBMM_SIMPLANInitiativesEvaluation/EVONEMzx4FpOiS6FjXgTBWwBOniyjvS0foBy_eM7fTSRcA?e=6rTYSh" TargetMode="External"/><Relationship Id="rId2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706A-0E70-46B1-9094-EB4DA2D13952}">
  <sheetPr codeName="Hoja20">
    <tabColor theme="9" tint="-0.249977111117893"/>
    <pageSetUpPr fitToPage="1"/>
  </sheetPr>
  <dimension ref="B4:X106"/>
  <sheetViews>
    <sheetView showGridLines="0" view="pageBreakPreview" zoomScale="80" zoomScaleNormal="90" zoomScaleSheetLayoutView="80" workbookViewId="0">
      <selection sqref="A1:XFD1048576"/>
    </sheetView>
  </sheetViews>
  <sheetFormatPr baseColWidth="10" defaultColWidth="11.5" defaultRowHeight="13" outlineLevelCol="1" x14ac:dyDescent="0.2"/>
  <cols>
    <col min="1" max="1" width="11.5" style="220"/>
    <col min="2" max="2" width="33" style="220" customWidth="1"/>
    <col min="3" max="3" width="19.33203125" style="220" bestFit="1" customWidth="1"/>
    <col min="4" max="4" width="49.6640625" style="220" customWidth="1"/>
    <col min="5" max="6" width="16.6640625" style="220" bestFit="1" customWidth="1"/>
    <col min="7" max="7" width="9.33203125" style="220" hidden="1" customWidth="1" outlineLevel="1"/>
    <col min="8" max="8" width="8.6640625" style="220" hidden="1" customWidth="1" outlineLevel="1"/>
    <col min="9" max="9" width="9.33203125" style="220" hidden="1" customWidth="1" outlineLevel="1"/>
    <col min="10" max="10" width="9.33203125" style="220" bestFit="1" customWidth="1" collapsed="1"/>
    <col min="11" max="11" width="9.33203125" style="220" bestFit="1" customWidth="1"/>
    <col min="12" max="12" width="14.6640625" style="220" bestFit="1" customWidth="1"/>
    <col min="13" max="13" width="10" style="220" bestFit="1" customWidth="1"/>
    <col min="14" max="14" width="8.5" style="220" bestFit="1" customWidth="1"/>
    <col min="15" max="15" width="11.5" style="220" bestFit="1" customWidth="1"/>
    <col min="16" max="16" width="11.5" style="220" hidden="1" customWidth="1"/>
    <col min="17" max="17" width="52.6640625" style="220" customWidth="1"/>
    <col min="18" max="18" width="12.6640625" style="220" hidden="1" customWidth="1"/>
    <col min="19" max="19" width="9.5" style="220" bestFit="1" customWidth="1"/>
    <col min="20" max="20" width="10.33203125" style="220" bestFit="1" customWidth="1"/>
    <col min="21" max="21" width="12.6640625" style="220" bestFit="1" customWidth="1"/>
    <col min="22" max="16384" width="11.5" style="220"/>
  </cols>
  <sheetData>
    <row r="4" spans="2:24" x14ac:dyDescent="0.2">
      <c r="M4" s="221"/>
      <c r="N4" s="221"/>
      <c r="O4" s="221"/>
      <c r="P4" s="221"/>
      <c r="Q4" s="221"/>
      <c r="R4" s="221"/>
      <c r="S4" s="221"/>
    </row>
    <row r="10" spans="2:24" s="224" customFormat="1" ht="23.75" customHeight="1" thickBot="1" x14ac:dyDescent="0.25">
      <c r="B10" s="222" t="s">
        <v>90</v>
      </c>
      <c r="C10" s="222" t="s">
        <v>94</v>
      </c>
      <c r="D10" s="222" t="s">
        <v>91</v>
      </c>
      <c r="E10" s="222" t="s">
        <v>103</v>
      </c>
      <c r="F10" s="222" t="s">
        <v>238</v>
      </c>
      <c r="G10" s="222" t="s">
        <v>22</v>
      </c>
      <c r="H10" s="222" t="s">
        <v>69</v>
      </c>
      <c r="I10" s="222"/>
      <c r="J10" s="222" t="s">
        <v>237</v>
      </c>
      <c r="K10" s="222" t="s">
        <v>235</v>
      </c>
      <c r="L10" s="223" t="s">
        <v>236</v>
      </c>
      <c r="M10" s="222" t="s">
        <v>61</v>
      </c>
      <c r="N10" s="222" t="s">
        <v>177</v>
      </c>
      <c r="O10" s="222" t="s">
        <v>176</v>
      </c>
      <c r="P10" s="222" t="s">
        <v>171</v>
      </c>
      <c r="Q10" s="222" t="s">
        <v>72</v>
      </c>
      <c r="R10" s="222" t="s">
        <v>65</v>
      </c>
      <c r="S10" s="222" t="s">
        <v>66</v>
      </c>
      <c r="T10" s="222" t="s">
        <v>52</v>
      </c>
    </row>
    <row r="11" spans="2:24" ht="18" customHeight="1" thickBot="1" x14ac:dyDescent="0.25">
      <c r="B11" s="225" t="s">
        <v>64</v>
      </c>
      <c r="C11" s="225" t="s">
        <v>64</v>
      </c>
      <c r="D11" s="225" t="s">
        <v>64</v>
      </c>
      <c r="E11" s="225" t="s">
        <v>68</v>
      </c>
      <c r="F11" s="225" t="s">
        <v>68</v>
      </c>
      <c r="G11" s="226">
        <f>+SUM(G12:G13)</f>
        <v>985703.15</v>
      </c>
      <c r="H11" s="226">
        <f>+SUM(H12:H13)</f>
        <v>0</v>
      </c>
      <c r="I11" s="226">
        <f t="shared" ref="I11:I16" si="0">+SUM(G11:H11)</f>
        <v>985703.15</v>
      </c>
      <c r="J11" s="227">
        <f>+SUM(J12:J13)</f>
        <v>985703.15</v>
      </c>
      <c r="K11" s="228">
        <f>+SUM(K12:K13)</f>
        <v>550910.74</v>
      </c>
      <c r="L11" s="229">
        <f>+SUM(L12:L13)</f>
        <v>1054085.7064326529</v>
      </c>
      <c r="M11" s="228">
        <f>+J11-L11</f>
        <v>-68382.556432652869</v>
      </c>
      <c r="N11" s="230">
        <f>+IFERROR(((J11-L11)/L11),0)</f>
        <v>-6.4873810559560915E-2</v>
      </c>
      <c r="O11" s="228">
        <f>+SUM(O12:O13)</f>
        <v>267749.45163265301</v>
      </c>
      <c r="P11" s="228">
        <f t="shared" ref="P11:P16" si="1">+O11-L11</f>
        <v>-786336.25479999988</v>
      </c>
      <c r="Q11" s="228"/>
      <c r="R11" s="225" t="s">
        <v>68</v>
      </c>
      <c r="S11" s="225" t="s">
        <v>68</v>
      </c>
      <c r="T11" s="231" t="s">
        <v>68</v>
      </c>
      <c r="U11" s="220" t="b">
        <f t="shared" ref="U11:U16" si="2">+I11=J11</f>
        <v>1</v>
      </c>
    </row>
    <row r="12" spans="2:24" x14ac:dyDescent="0.2">
      <c r="B12" s="220" t="s">
        <v>56</v>
      </c>
      <c r="C12" s="220" t="s">
        <v>56</v>
      </c>
      <c r="D12" s="220" t="s">
        <v>56</v>
      </c>
      <c r="E12" s="220" t="s">
        <v>56</v>
      </c>
      <c r="F12" s="220" t="s">
        <v>56</v>
      </c>
      <c r="G12" s="232">
        <f>+IF($B12="En Proceso",1*SUMIF($T21:$T10018,$B12,$G21:$G10018),0)</f>
        <v>945703.15</v>
      </c>
      <c r="H12" s="232">
        <f>+IF($B12="En Proceso",1*SUMIF($T21:$T10018,$B12,$H21:$H10018),0)</f>
        <v>0</v>
      </c>
      <c r="I12" s="232">
        <f t="shared" si="0"/>
        <v>945703.15</v>
      </c>
      <c r="J12" s="233">
        <f>+G12+H12</f>
        <v>945703.15</v>
      </c>
      <c r="K12" s="234">
        <f>+IF(B12="En proceso",SUMIF(T17:T1018,B12,K$17:K$1048576),0)</f>
        <v>550910.74</v>
      </c>
      <c r="L12" s="235">
        <f>+IF(B12="En proceso",SUMIF(T17:T1018,B12,L$17:L$1048576),0)</f>
        <v>1054085.7064326529</v>
      </c>
      <c r="M12" s="234">
        <f t="shared" ref="M12:M16" si="3">+J12-L12</f>
        <v>-108382.55643265287</v>
      </c>
      <c r="N12" s="236">
        <f>+IFERROR(((J12-L12)/L12),0)</f>
        <v>-0.10282138897362764</v>
      </c>
      <c r="O12" s="234">
        <f>+IF($B12="En Proceso",1*SUMIF(T21:T10018,$B12,O21:O10018),0)</f>
        <v>261703.47163265306</v>
      </c>
      <c r="P12" s="234">
        <f t="shared" si="1"/>
        <v>-792382.23479999986</v>
      </c>
      <c r="Q12" s="234"/>
      <c r="R12" s="220" t="s">
        <v>56</v>
      </c>
      <c r="S12" s="220" t="s">
        <v>56</v>
      </c>
      <c r="T12" s="220" t="s">
        <v>56</v>
      </c>
      <c r="U12" s="220" t="b">
        <f t="shared" si="2"/>
        <v>1</v>
      </c>
      <c r="X12" s="220" t="s">
        <v>74</v>
      </c>
    </row>
    <row r="13" spans="2:24" ht="14" thickBot="1" x14ac:dyDescent="0.25">
      <c r="B13" s="237" t="s">
        <v>53</v>
      </c>
      <c r="C13" s="237" t="s">
        <v>53</v>
      </c>
      <c r="D13" s="237" t="s">
        <v>53</v>
      </c>
      <c r="E13" s="237" t="s">
        <v>53</v>
      </c>
      <c r="F13" s="237" t="s">
        <v>53</v>
      </c>
      <c r="G13" s="238">
        <f>+IF($B13="Terminado",1*SUMIF($T21:$T10018,$B13,$G21:$G10018),0)</f>
        <v>40000</v>
      </c>
      <c r="H13" s="238">
        <f>+IF($B13="Terminado",1*SUMIF($T21:$T10018,$B13,$H21:$H10018),0)</f>
        <v>0</v>
      </c>
      <c r="I13" s="238">
        <f t="shared" si="0"/>
        <v>40000</v>
      </c>
      <c r="J13" s="239">
        <f>+G13+H13</f>
        <v>40000</v>
      </c>
      <c r="K13" s="240">
        <f>+IF(B13="Terminado",SUMIF(T20:T1018,B13,K$20:K$1048576),0)</f>
        <v>0</v>
      </c>
      <c r="L13" s="241">
        <f>+IF(B13="Terminado",SUMIF(T20:T1018,B13,L$20:L$1048576),0)</f>
        <v>0</v>
      </c>
      <c r="M13" s="240">
        <f t="shared" si="3"/>
        <v>40000</v>
      </c>
      <c r="N13" s="242">
        <f>+IFERROR(((J13-L13)/L13),0)</f>
        <v>0</v>
      </c>
      <c r="O13" s="240">
        <f>+IF($B13="Terminado",1*SUMIF(T21:T10018,$B13,O21:O10018),0)</f>
        <v>6045.9799999999814</v>
      </c>
      <c r="P13" s="240">
        <f t="shared" si="1"/>
        <v>6045.9799999999814</v>
      </c>
      <c r="Q13" s="240"/>
      <c r="R13" s="237" t="s">
        <v>53</v>
      </c>
      <c r="S13" s="237" t="s">
        <v>53</v>
      </c>
      <c r="T13" s="237" t="s">
        <v>53</v>
      </c>
      <c r="U13" s="220" t="b">
        <f t="shared" si="2"/>
        <v>1</v>
      </c>
    </row>
    <row r="14" spans="2:24" x14ac:dyDescent="0.2">
      <c r="B14" s="220" t="s">
        <v>63</v>
      </c>
      <c r="C14" s="220" t="s">
        <v>63</v>
      </c>
      <c r="D14" s="220" t="s">
        <v>63</v>
      </c>
      <c r="E14" s="220" t="s">
        <v>63</v>
      </c>
      <c r="F14" s="220" t="s">
        <v>63</v>
      </c>
      <c r="G14" s="232">
        <f>+IF($B14="Ejecución",1*SUMIF($S21:$S10018,$B14,$G21:$G10018),0)</f>
        <v>887997.15</v>
      </c>
      <c r="H14" s="232">
        <f>+IF($B14="Ejecución",1*SUMIF($S21:$S10018,$B14,$H21:$H10018),0)</f>
        <v>0</v>
      </c>
      <c r="I14" s="232">
        <f t="shared" si="0"/>
        <v>887997.15</v>
      </c>
      <c r="J14" s="233">
        <f>+G14+H14</f>
        <v>887997.15</v>
      </c>
      <c r="K14" s="234">
        <f>+IF(B14="Ejecución",SUMIF(S20:S1020,B14,K$20:K$1048576),0)</f>
        <v>550910.74</v>
      </c>
      <c r="L14" s="235">
        <f>+IF(B14="Ejecución",SUMIF(S20:S1020,B14,L$20:L$1048576),0)</f>
        <v>1006721.6247999999</v>
      </c>
      <c r="M14" s="234">
        <f t="shared" si="3"/>
        <v>-118724.47479999985</v>
      </c>
      <c r="N14" s="236">
        <f t="shared" ref="N14:N16" si="4">+IFERROR(((J14-L14)/L14),0)</f>
        <v>-0.1179317816120084</v>
      </c>
      <c r="O14" s="234">
        <f>+IF($B14="Ejecución",1*SUMIF(S21:S10018,$B14,O21:O10018),0)</f>
        <v>258208.39</v>
      </c>
      <c r="P14" s="234">
        <f t="shared" si="1"/>
        <v>-748513.23479999986</v>
      </c>
      <c r="Q14" s="234"/>
      <c r="R14" s="220" t="s">
        <v>63</v>
      </c>
      <c r="S14" s="220" t="s">
        <v>63</v>
      </c>
      <c r="T14" s="220" t="s">
        <v>63</v>
      </c>
      <c r="U14" s="220" t="b">
        <f t="shared" si="2"/>
        <v>1</v>
      </c>
    </row>
    <row r="15" spans="2:24" x14ac:dyDescent="0.2">
      <c r="B15" s="220" t="s">
        <v>98</v>
      </c>
      <c r="C15" s="220" t="s">
        <v>98</v>
      </c>
      <c r="D15" s="220" t="s">
        <v>98</v>
      </c>
      <c r="E15" s="220" t="s">
        <v>98</v>
      </c>
      <c r="F15" s="220" t="s">
        <v>98</v>
      </c>
      <c r="G15" s="243">
        <f>+IF($B15="Terminal",1*SUMIF($S21:$S10018,$B15,$G21:$G10018),0)</f>
        <v>57706</v>
      </c>
      <c r="H15" s="243">
        <f>+IF($B15="Terminal",1*SUMIF($S21:$S10018,$B15,$H21:$H10018),0)</f>
        <v>0</v>
      </c>
      <c r="I15" s="243">
        <f t="shared" si="0"/>
        <v>57706</v>
      </c>
      <c r="J15" s="244">
        <f>+G15+H15</f>
        <v>57706</v>
      </c>
      <c r="K15" s="245">
        <f>+IF(B15="Terminal",SUMIF(S20:S1021,B15,K$20:K$1048576),0)</f>
        <v>0</v>
      </c>
      <c r="L15" s="246">
        <f>+IF(B15="Terminal",SUMIF(S20:S1021,B15,L$20:L$1048576),0)</f>
        <v>47364.081632653048</v>
      </c>
      <c r="M15" s="245">
        <f t="shared" si="3"/>
        <v>10341.918367346952</v>
      </c>
      <c r="N15" s="247">
        <f t="shared" si="4"/>
        <v>0.21834939073783666</v>
      </c>
      <c r="O15" s="245">
        <f>+IF($B15="Terminal",1*SUMIF(S21:S10018,$B15,O21:O10018),0)</f>
        <v>3495.0816326530476</v>
      </c>
      <c r="P15" s="245">
        <f t="shared" si="1"/>
        <v>-43869</v>
      </c>
      <c r="Q15" s="245"/>
      <c r="R15" s="220" t="s">
        <v>98</v>
      </c>
      <c r="S15" s="220" t="s">
        <v>98</v>
      </c>
      <c r="T15" s="220" t="s">
        <v>98</v>
      </c>
      <c r="U15" s="220" t="b">
        <f t="shared" si="2"/>
        <v>1</v>
      </c>
    </row>
    <row r="16" spans="2:24" ht="14" thickBot="1" x14ac:dyDescent="0.25">
      <c r="B16" s="237" t="s">
        <v>67</v>
      </c>
      <c r="C16" s="237" t="s">
        <v>67</v>
      </c>
      <c r="D16" s="237" t="s">
        <v>67</v>
      </c>
      <c r="E16" s="237" t="s">
        <v>67</v>
      </c>
      <c r="F16" s="237" t="s">
        <v>67</v>
      </c>
      <c r="G16" s="238">
        <f>+IF($B16="Rezagado",1*SUMIF($S21:$S10018,$B16,$G21:$G10018),0)</f>
        <v>40000</v>
      </c>
      <c r="H16" s="238">
        <f>+IF($B16="Rezagado",1*SUMIF($S21:$S10018,$B16,$H21:$H10018),0)</f>
        <v>0</v>
      </c>
      <c r="I16" s="238">
        <f t="shared" si="0"/>
        <v>40000</v>
      </c>
      <c r="J16" s="239">
        <f>+G16+H16</f>
        <v>40000</v>
      </c>
      <c r="K16" s="240">
        <f>+IF(B16="Rezagado",SUMIF(S20:S1022,B16,K$20:K$1048576),0)</f>
        <v>0</v>
      </c>
      <c r="L16" s="241">
        <f>+IF(B16="Rezagado",SUMIF(S20:S1022,B16,L$20:L$1048576),0)</f>
        <v>0</v>
      </c>
      <c r="M16" s="240">
        <f t="shared" si="3"/>
        <v>40000</v>
      </c>
      <c r="N16" s="242">
        <f t="shared" si="4"/>
        <v>0</v>
      </c>
      <c r="O16" s="240">
        <f>+IF($B16="Rezagado",1*SUMIF(S21:S10018,$B16,O21:O10018),0)</f>
        <v>6045.9799999999814</v>
      </c>
      <c r="P16" s="240">
        <f t="shared" si="1"/>
        <v>6045.9799999999814</v>
      </c>
      <c r="Q16" s="240"/>
      <c r="R16" s="237" t="s">
        <v>67</v>
      </c>
      <c r="S16" s="237" t="s">
        <v>67</v>
      </c>
      <c r="T16" s="237" t="s">
        <v>67</v>
      </c>
      <c r="U16" s="220" t="b">
        <f t="shared" si="2"/>
        <v>1</v>
      </c>
    </row>
    <row r="20" spans="2:21" s="224" customFormat="1" ht="15" customHeight="1" thickBot="1" x14ac:dyDescent="0.25">
      <c r="B20" s="222"/>
      <c r="C20" s="222" t="str">
        <f t="shared" ref="C20:D20" si="5">+C10</f>
        <v>Cliente</v>
      </c>
      <c r="D20" s="222" t="str">
        <f t="shared" si="5"/>
        <v>Nombre Proyecto</v>
      </c>
      <c r="E20" s="222" t="str">
        <f>+E10</f>
        <v>Director</v>
      </c>
      <c r="F20" s="222" t="str">
        <f t="shared" ref="F20:O20" si="6">+F10</f>
        <v>Ing Principal</v>
      </c>
      <c r="G20" s="222" t="str">
        <f t="shared" si="6"/>
        <v>Real</v>
      </c>
      <c r="H20" s="222" t="str">
        <f t="shared" si="6"/>
        <v>Otros</v>
      </c>
      <c r="I20" s="222">
        <f t="shared" si="6"/>
        <v>0</v>
      </c>
      <c r="J20" s="222" t="str">
        <f t="shared" si="6"/>
        <v>EDP Real</v>
      </c>
      <c r="K20" s="222" t="str">
        <f t="shared" si="6"/>
        <v>EDP POM</v>
      </c>
      <c r="L20" s="222" t="str">
        <f t="shared" si="6"/>
        <v>EDP Curva S</v>
      </c>
      <c r="M20" s="222" t="str">
        <f t="shared" si="6"/>
        <v>Dif. USD</v>
      </c>
      <c r="N20" s="222" t="str">
        <f t="shared" si="6"/>
        <v>Var. %</v>
      </c>
      <c r="O20" s="222" t="str">
        <f t="shared" si="6"/>
        <v>Saldo Actual</v>
      </c>
      <c r="P20" s="222" t="str">
        <f>+P10</f>
        <v>Saldo Proy</v>
      </c>
      <c r="Q20" s="222" t="str">
        <f>+Q10</f>
        <v>Comentarios</v>
      </c>
      <c r="R20" s="222" t="s">
        <v>65</v>
      </c>
      <c r="S20" s="222" t="s">
        <v>66</v>
      </c>
      <c r="T20" s="222" t="s">
        <v>52</v>
      </c>
    </row>
    <row r="21" spans="2:21" ht="14" x14ac:dyDescent="0.2">
      <c r="B21" s="220" t="s">
        <v>10</v>
      </c>
      <c r="C21" s="220" t="str">
        <f>+_xlfn.XLOOKUP(B21,'[1]Proyectos (NO FILTRAR)'!$F:$F,'[1]Proyectos (NO FILTRAR)'!$I:$I)</f>
        <v>Mosaic</v>
      </c>
      <c r="D21" s="248" t="s">
        <v>81</v>
      </c>
      <c r="E21" s="220" t="str">
        <f>+_xlfn.XLOOKUP(B21,'POM 2024'!B:B,'POM 2024'!F:F,"!",0,1)</f>
        <v>Alex Figueroa</v>
      </c>
      <c r="F21" s="220" t="str">
        <f>+_xlfn.XLOOKUP(B21,'POM 2024'!B:B,'POM 2024'!H:H,"!",0,1)</f>
        <v>Pablo Quiero</v>
      </c>
      <c r="G21" s="243">
        <f t="shared" ref="G21:G40" si="7">+J21</f>
        <v>15442</v>
      </c>
      <c r="H21" s="243">
        <v>0</v>
      </c>
      <c r="I21" s="243">
        <f>+SUM(G21:H21)</f>
        <v>15442</v>
      </c>
      <c r="J21" s="249">
        <f>VLOOKUP(B21,'POM 2024'!$B$2:$BI$64,48,FALSE)</f>
        <v>15442</v>
      </c>
      <c r="K21" s="250">
        <f>+_xlfn.XLOOKUP($B21,'POM 2024'!B:B,'POM 2024'!AV:AV,"!",0,1)</f>
        <v>22988.540000000037</v>
      </c>
      <c r="L21" s="251">
        <f>+_xlfn.XLOOKUP($B21,'POM 2024'!B:B,'POM 2024'!AU:AU,"!",0,1)</f>
        <v>22988.540000000037</v>
      </c>
      <c r="M21" s="252">
        <f>+J21-L21</f>
        <v>-7546.5400000000373</v>
      </c>
      <c r="N21" s="247">
        <f t="shared" ref="N21:N48" si="8">+IFERROR(((J21-K21)/K21),0)</f>
        <v>-0.3282740008717398</v>
      </c>
      <c r="O21" s="245">
        <f>IF(_xlfn.XLOOKUP($B21,'POM 2024'!B:B,'POM 2024'!L:L,"!",0,1)&lt;0,0,_xlfn.XLOOKUP($B21,'POM 2024'!B:B,'POM 2024'!L:L,"!",0,1))</f>
        <v>7546.5400000000373</v>
      </c>
      <c r="P21" s="245">
        <f t="shared" ref="P21:P36" si="9">+O21-L21</f>
        <v>-15442</v>
      </c>
      <c r="Q21" s="245"/>
      <c r="R21" s="253" t="s">
        <v>3</v>
      </c>
      <c r="S21" s="253" t="s">
        <v>63</v>
      </c>
      <c r="T21" s="254" t="s">
        <v>56</v>
      </c>
      <c r="U21" s="220" t="b">
        <f t="shared" ref="U21:U40" si="10">+I21=J21</f>
        <v>1</v>
      </c>
    </row>
    <row r="22" spans="2:21" s="255" customFormat="1" hidden="1" x14ac:dyDescent="0.2">
      <c r="B22" s="255" t="s">
        <v>55</v>
      </c>
      <c r="C22" s="255" t="str">
        <f>+_xlfn.XLOOKUP(B22,'[1]Proyectos (NO FILTRAR)'!$F:$F,'[1]Proyectos (NO FILTRAR)'!$I:$I)</f>
        <v>CMP</v>
      </c>
      <c r="D22" s="255" t="s">
        <v>77</v>
      </c>
      <c r="E22" s="255" t="str">
        <f>+_xlfn.XLOOKUP(B22,'POM 2024'!B:B,'POM 2024'!F:F,"!",0,1)</f>
        <v>Alex Figueroa</v>
      </c>
      <c r="F22" s="255" t="str">
        <f>+_xlfn.XLOOKUP(B22,'POM 2024'!B:B,'POM 2024'!H:H,"!",0,1)</f>
        <v>Felipe Matamoros</v>
      </c>
      <c r="G22" s="256">
        <f t="shared" si="7"/>
        <v>0</v>
      </c>
      <c r="H22" s="256">
        <v>0</v>
      </c>
      <c r="I22" s="256">
        <f t="shared" ref="I22:I40" si="11">+SUM(G22:H22)</f>
        <v>0</v>
      </c>
      <c r="J22" s="257">
        <f>VLOOKUP(B22,'POM 2024'!$B$2:$BI$64,48,FALSE)</f>
        <v>0</v>
      </c>
      <c r="K22" s="250">
        <f>+_xlfn.XLOOKUP($B22,'POM 2024'!B:B,'POM 2024'!AV:AV,"!",0,1)</f>
        <v>0</v>
      </c>
      <c r="L22" s="258">
        <f>+_xlfn.XLOOKUP($B22,'POM 2024'!B:B,'POM 2024'!AU:AU,"!",0,1)</f>
        <v>0</v>
      </c>
      <c r="M22" s="259">
        <f t="shared" ref="M22:M43" si="12">+J22-L22</f>
        <v>0</v>
      </c>
      <c r="N22" s="260">
        <f t="shared" si="8"/>
        <v>0</v>
      </c>
      <c r="O22" s="261">
        <f>IF(_xlfn.XLOOKUP($B22,'POM 2024'!B:B,'POM 2024'!L:L,"!",0,1)&lt;0,0,_xlfn.XLOOKUP($B22,'POM 2024'!B:B,'POM 2024'!L:L,"!",0,1))</f>
        <v>0</v>
      </c>
      <c r="P22" s="262">
        <f t="shared" si="9"/>
        <v>0</v>
      </c>
      <c r="Q22" s="262"/>
      <c r="R22" s="263" t="s">
        <v>3</v>
      </c>
      <c r="S22" s="263" t="s">
        <v>63</v>
      </c>
      <c r="T22" s="264" t="s">
        <v>56</v>
      </c>
      <c r="U22" s="255" t="b">
        <f t="shared" si="10"/>
        <v>1</v>
      </c>
    </row>
    <row r="23" spans="2:21" s="255" customFormat="1" hidden="1" x14ac:dyDescent="0.2">
      <c r="B23" s="255" t="s">
        <v>156</v>
      </c>
      <c r="C23" s="255" t="s">
        <v>99</v>
      </c>
      <c r="D23" s="255" t="s">
        <v>84</v>
      </c>
      <c r="E23" s="255" t="str">
        <f>+_xlfn.XLOOKUP(B23,'POM 2024'!B:B,'POM 2024'!F:F,"!",0,1)</f>
        <v>Matias Fuentes</v>
      </c>
      <c r="F23" s="255" t="str">
        <f>+_xlfn.XLOOKUP(B23,'POM 2024'!B:B,'POM 2024'!H:H,"!",0,1)</f>
        <v>TBD</v>
      </c>
      <c r="G23" s="256">
        <f t="shared" si="7"/>
        <v>19065</v>
      </c>
      <c r="H23" s="256">
        <v>0</v>
      </c>
      <c r="I23" s="256">
        <f t="shared" si="11"/>
        <v>19065</v>
      </c>
      <c r="J23" s="257">
        <f>VLOOKUP(B23,'POM 2024'!$B$2:$BI$64,48,FALSE)</f>
        <v>19065</v>
      </c>
      <c r="K23" s="250">
        <f>+_xlfn.XLOOKUP($B23,'POM 2024'!B:B,'POM 2024'!AV:AV,"!",0,1)</f>
        <v>0</v>
      </c>
      <c r="L23" s="258">
        <f>+_xlfn.XLOOKUP($B23,'POM 2024'!B:B,'POM 2024'!AU:AU,"!",0,1)</f>
        <v>0</v>
      </c>
      <c r="M23" s="259">
        <f t="shared" si="12"/>
        <v>19065</v>
      </c>
      <c r="N23" s="260">
        <f t="shared" si="8"/>
        <v>0</v>
      </c>
      <c r="O23" s="261">
        <f>IF(_xlfn.XLOOKUP($B23,'POM 2024'!B:B,'POM 2024'!L:L,"!",0,1)&lt;0,0,_xlfn.XLOOKUP($B23,'POM 2024'!B:B,'POM 2024'!L:L,"!",0,1))</f>
        <v>0</v>
      </c>
      <c r="P23" s="262">
        <f t="shared" si="9"/>
        <v>0</v>
      </c>
      <c r="Q23" s="262"/>
      <c r="R23" s="263" t="s">
        <v>5</v>
      </c>
      <c r="S23" s="263" t="s">
        <v>63</v>
      </c>
      <c r="T23" s="259" t="s">
        <v>56</v>
      </c>
      <c r="U23" s="255" t="b">
        <f t="shared" si="10"/>
        <v>1</v>
      </c>
    </row>
    <row r="24" spans="2:21" x14ac:dyDescent="0.2">
      <c r="B24" s="220" t="s">
        <v>157</v>
      </c>
      <c r="C24" s="220" t="s">
        <v>97</v>
      </c>
      <c r="D24" s="220" t="s">
        <v>78</v>
      </c>
      <c r="E24" s="220" t="str">
        <f>+_xlfn.XLOOKUP(B24,'POM 2024'!B:B,'POM 2024'!F:F,"!",0,1)</f>
        <v>Alex Figueroa</v>
      </c>
      <c r="F24" s="220" t="str">
        <f>+_xlfn.XLOOKUP(B24,'POM 2024'!B:B,'POM 2024'!H:H,"!",0,1)</f>
        <v>Jorman Barrera</v>
      </c>
      <c r="G24" s="243">
        <f t="shared" si="7"/>
        <v>85235</v>
      </c>
      <c r="H24" s="243">
        <v>0</v>
      </c>
      <c r="I24" s="243">
        <f t="shared" si="11"/>
        <v>85235</v>
      </c>
      <c r="J24" s="249">
        <f>VLOOKUP(B24,'POM 2024'!$B$2:$BI$64,48,FALSE)</f>
        <v>85235</v>
      </c>
      <c r="K24" s="250">
        <f>+_xlfn.XLOOKUP($B24,'POM 2024'!B:B,'POM 2024'!AV:AV,"!",0,1)</f>
        <v>90000</v>
      </c>
      <c r="L24" s="251">
        <f>+_xlfn.XLOOKUP($B24,'POM 2024'!B:B,'POM 2024'!AU:AU,"!",0,1)</f>
        <v>110447.09999999986</v>
      </c>
      <c r="M24" s="252">
        <f t="shared" si="12"/>
        <v>-25212.09999999986</v>
      </c>
      <c r="N24" s="247">
        <f t="shared" si="8"/>
        <v>-5.2944444444444447E-2</v>
      </c>
      <c r="O24" s="245">
        <f>IF(_xlfn.XLOOKUP($B24,'POM 2024'!B:B,'POM 2024'!L:L,"!",0,1)&lt;0,0,_xlfn.XLOOKUP($B24,'POM 2024'!B:B,'POM 2024'!L:L,"!",0,1))</f>
        <v>0</v>
      </c>
      <c r="P24" s="245">
        <f t="shared" si="9"/>
        <v>-110447.09999999986</v>
      </c>
      <c r="Q24" s="245"/>
      <c r="R24" s="253" t="s">
        <v>3</v>
      </c>
      <c r="S24" s="253" t="s">
        <v>63</v>
      </c>
      <c r="T24" s="254" t="s">
        <v>56</v>
      </c>
      <c r="U24" s="220" t="b">
        <f t="shared" si="10"/>
        <v>1</v>
      </c>
    </row>
    <row r="25" spans="2:21" s="255" customFormat="1" hidden="1" x14ac:dyDescent="0.2">
      <c r="B25" s="255" t="s">
        <v>60</v>
      </c>
      <c r="C25" s="255" t="str">
        <f>+_xlfn.XLOOKUP(B25,'[1]Proyectos (NO FILTRAR)'!$F:$F,'[1]Proyectos (NO FILTRAR)'!$I:$I)</f>
        <v>Ivanhoe Electric</v>
      </c>
      <c r="D25" s="255" t="s">
        <v>79</v>
      </c>
      <c r="E25" s="255" t="str">
        <f>+_xlfn.XLOOKUP(B25,'POM 2024'!B:B,'POM 2024'!F:F,"!",0,1)</f>
        <v>Matias Fuentes</v>
      </c>
      <c r="F25" s="255" t="str">
        <f>+_xlfn.XLOOKUP(B25,'POM 2024'!B:B,'POM 2024'!H:H,"!",0,1)</f>
        <v>Carlos Morante</v>
      </c>
      <c r="G25" s="256">
        <f t="shared" si="7"/>
        <v>0</v>
      </c>
      <c r="H25" s="256">
        <v>0</v>
      </c>
      <c r="I25" s="256">
        <f t="shared" si="11"/>
        <v>0</v>
      </c>
      <c r="J25" s="257">
        <f>VLOOKUP(B25,'POM 2024'!$B$2:$BI$64,48,FALSE)</f>
        <v>0</v>
      </c>
      <c r="K25" s="250">
        <f>+_xlfn.XLOOKUP($B25,'POM 2024'!B:B,'POM 2024'!AV:AV,"!",0,1)</f>
        <v>0</v>
      </c>
      <c r="L25" s="258">
        <f>+_xlfn.XLOOKUP($B25,'POM 2024'!B:B,'POM 2024'!AU:AU,"!",0,1)</f>
        <v>0</v>
      </c>
      <c r="M25" s="259">
        <f t="shared" si="12"/>
        <v>0</v>
      </c>
      <c r="N25" s="260">
        <f t="shared" si="8"/>
        <v>0</v>
      </c>
      <c r="O25" s="261">
        <f>IF(_xlfn.XLOOKUP($B25,'POM 2024'!B:B,'POM 2024'!L:L,"!",0,1)&lt;0,0,_xlfn.XLOOKUP($B25,'POM 2024'!B:B,'POM 2024'!L:L,"!",0,1))</f>
        <v>0</v>
      </c>
      <c r="P25" s="262">
        <f t="shared" si="9"/>
        <v>0</v>
      </c>
      <c r="Q25" s="262"/>
      <c r="R25" s="263" t="s">
        <v>3</v>
      </c>
      <c r="S25" s="263" t="s">
        <v>63</v>
      </c>
      <c r="T25" s="259" t="s">
        <v>56</v>
      </c>
      <c r="U25" s="255" t="b">
        <f t="shared" si="10"/>
        <v>1</v>
      </c>
    </row>
    <row r="26" spans="2:21" x14ac:dyDescent="0.2">
      <c r="B26" s="220" t="s">
        <v>57</v>
      </c>
      <c r="C26" s="220" t="str">
        <f>+_xlfn.XLOOKUP(B26,'[1]Proyectos (NO FILTRAR)'!$F:$F,'[1]Proyectos (NO FILTRAR)'!$I:$I)</f>
        <v>MMG Las Bambas</v>
      </c>
      <c r="D26" s="220" t="s">
        <v>80</v>
      </c>
      <c r="E26" s="220" t="str">
        <f>+_xlfn.XLOOKUP(B26,'POM 2024'!B:B,'POM 2024'!F:F,"!",0,1)</f>
        <v>Matias Fuentes</v>
      </c>
      <c r="F26" s="220" t="str">
        <f>+_xlfn.XLOOKUP(B26,'POM 2024'!B:B,'POM 2024'!H:H,"!",0,1)</f>
        <v>Pablo Quiero</v>
      </c>
      <c r="G26" s="243">
        <f t="shared" si="7"/>
        <v>45952</v>
      </c>
      <c r="H26" s="243">
        <v>0</v>
      </c>
      <c r="I26" s="243">
        <f t="shared" si="11"/>
        <v>45952</v>
      </c>
      <c r="J26" s="249">
        <f>VLOOKUP(B26,'POM 2024'!$B$2:$BI$64,48,FALSE)</f>
        <v>45952</v>
      </c>
      <c r="K26" s="250">
        <f>+_xlfn.XLOOKUP($B26,'POM 2024'!B:B,'POM 2024'!AV:AV,"!",0,1)</f>
        <v>0</v>
      </c>
      <c r="L26" s="251">
        <f>+_xlfn.XLOOKUP($B26,'POM 2024'!B:B,'POM 2024'!AU:AU,"!",0,1)</f>
        <v>45951.004799999995</v>
      </c>
      <c r="M26" s="252">
        <f t="shared" si="12"/>
        <v>0.99520000000484288</v>
      </c>
      <c r="N26" s="247">
        <f t="shared" si="8"/>
        <v>0</v>
      </c>
      <c r="O26" s="245">
        <f>IF(_xlfn.XLOOKUP($B26,'POM 2024'!B:B,'POM 2024'!L:L,"!",0,1)&lt;0,0,_xlfn.XLOOKUP($B26,'POM 2024'!B:B,'POM 2024'!L:L,"!",0,1))</f>
        <v>0</v>
      </c>
      <c r="P26" s="245">
        <f t="shared" si="9"/>
        <v>-45951.004799999995</v>
      </c>
      <c r="Q26" s="245"/>
      <c r="R26" s="253" t="s">
        <v>3</v>
      </c>
      <c r="S26" s="253" t="s">
        <v>63</v>
      </c>
      <c r="T26" s="254" t="s">
        <v>56</v>
      </c>
      <c r="U26" s="220" t="b">
        <f t="shared" si="10"/>
        <v>1</v>
      </c>
    </row>
    <row r="27" spans="2:21" ht="28" x14ac:dyDescent="0.2">
      <c r="B27" s="220" t="s">
        <v>58</v>
      </c>
      <c r="C27" s="220" t="str">
        <f>+_xlfn.XLOOKUP(B27,'[1]Proyectos (NO FILTRAR)'!$F:$F,'[1]Proyectos (NO FILTRAR)'!$I:$I)</f>
        <v>CMP</v>
      </c>
      <c r="D27" s="248" t="s">
        <v>85</v>
      </c>
      <c r="E27" s="220" t="str">
        <f>+_xlfn.XLOOKUP(B27,'POM 2024'!B:B,'POM 2024'!F:F,"!",0,1)</f>
        <v>Alex Figueroa</v>
      </c>
      <c r="F27" s="220" t="str">
        <f>+_xlfn.XLOOKUP(B27,'POM 2024'!B:B,'POM 2024'!H:H,"!",0,1)</f>
        <v>Felipe Matamoros</v>
      </c>
      <c r="G27" s="243">
        <f t="shared" si="7"/>
        <v>0</v>
      </c>
      <c r="H27" s="243">
        <v>0</v>
      </c>
      <c r="I27" s="243">
        <f t="shared" si="11"/>
        <v>0</v>
      </c>
      <c r="J27" s="249">
        <f>VLOOKUP(B27,'POM 2024'!$B$2:$BI$64,48,FALSE)</f>
        <v>0</v>
      </c>
      <c r="K27" s="250">
        <f>+_xlfn.XLOOKUP($B27,'POM 2024'!B:B,'POM 2024'!AV:AV,"!",0,1)</f>
        <v>0</v>
      </c>
      <c r="L27" s="251">
        <f>+_xlfn.XLOOKUP($B27,'POM 2024'!B:B,'POM 2024'!AU:AU,"!",0,1)</f>
        <v>88555.399999999965</v>
      </c>
      <c r="M27" s="252">
        <f t="shared" si="12"/>
        <v>-88555.399999999965</v>
      </c>
      <c r="N27" s="247">
        <f t="shared" si="8"/>
        <v>0</v>
      </c>
      <c r="O27" s="245">
        <f>IF(_xlfn.XLOOKUP($B27,'POM 2024'!B:B,'POM 2024'!L:L,"!",0,1)&lt;0,0,_xlfn.XLOOKUP($B27,'POM 2024'!B:B,'POM 2024'!L:L,"!",0,1))</f>
        <v>0</v>
      </c>
      <c r="P27" s="245">
        <f t="shared" si="9"/>
        <v>-88555.399999999965</v>
      </c>
      <c r="Q27" s="245"/>
      <c r="R27" s="253" t="s">
        <v>3</v>
      </c>
      <c r="S27" s="253" t="s">
        <v>63</v>
      </c>
      <c r="T27" s="254" t="s">
        <v>56</v>
      </c>
      <c r="U27" s="220" t="b">
        <f t="shared" si="10"/>
        <v>1</v>
      </c>
    </row>
    <row r="28" spans="2:21" ht="14" x14ac:dyDescent="0.2">
      <c r="B28" s="220" t="s">
        <v>105</v>
      </c>
      <c r="C28" s="220" t="str">
        <f>+_xlfn.XLOOKUP(B28,'[1]Proyectos (NO FILTRAR)'!$F:$F,'[1]Proyectos (NO FILTRAR)'!$I:$I)</f>
        <v>Lundin</v>
      </c>
      <c r="D28" s="248" t="s">
        <v>114</v>
      </c>
      <c r="E28" s="220" t="str">
        <f>+_xlfn.XLOOKUP(B28,'POM 2024'!B:B,'POM 2024'!F:F,"!",0,1)</f>
        <v>Mauricio Melendez</v>
      </c>
      <c r="F28" s="220" t="str">
        <f>+_xlfn.XLOOKUP(B28,'POM 2024'!B:B,'POM 2024'!H:H,"!",0,1)</f>
        <v>Freddy Diaz</v>
      </c>
      <c r="G28" s="243">
        <f t="shared" si="7"/>
        <v>71980</v>
      </c>
      <c r="H28" s="243">
        <v>0</v>
      </c>
      <c r="I28" s="243">
        <f t="shared" si="11"/>
        <v>71980</v>
      </c>
      <c r="J28" s="249">
        <f>VLOOKUP(B28,'POM 2024'!$B$2:$BI$64,48,FALSE)</f>
        <v>71980</v>
      </c>
      <c r="K28" s="250">
        <f>+_xlfn.XLOOKUP($B28,'POM 2024'!B:B,'POM 2024'!AV:AV,"!",0,1)</f>
        <v>50337.7</v>
      </c>
      <c r="L28" s="251">
        <f>+_xlfn.XLOOKUP($B28,'POM 2024'!B:B,'POM 2024'!AU:AU,"!",0,1)</f>
        <v>173030</v>
      </c>
      <c r="M28" s="252">
        <f t="shared" si="12"/>
        <v>-101050</v>
      </c>
      <c r="N28" s="247">
        <f t="shared" si="8"/>
        <v>0.42994217057990342</v>
      </c>
      <c r="O28" s="245">
        <f>IF(_xlfn.XLOOKUP($B28,'POM 2024'!B:B,'POM 2024'!L:L,"!",0,1)&lt;0,0,_xlfn.XLOOKUP($B28,'POM 2024'!B:B,'POM 2024'!L:L,"!",0,1))</f>
        <v>6695</v>
      </c>
      <c r="P28" s="245">
        <f t="shared" si="9"/>
        <v>-166335</v>
      </c>
      <c r="Q28" s="245"/>
      <c r="R28" s="253"/>
      <c r="S28" s="253" t="s">
        <v>63</v>
      </c>
      <c r="T28" s="254" t="s">
        <v>56</v>
      </c>
      <c r="U28" s="220" t="b">
        <f t="shared" si="10"/>
        <v>1</v>
      </c>
    </row>
    <row r="29" spans="2:21" ht="14" x14ac:dyDescent="0.2">
      <c r="B29" s="220" t="s">
        <v>108</v>
      </c>
      <c r="C29" s="220" t="str">
        <f>+_xlfn.XLOOKUP(B29,'[1]Proyectos (NO FILTRAR)'!$F:$F,'[1]Proyectos (NO FILTRAR)'!$I:$I)</f>
        <v>AMSA</v>
      </c>
      <c r="D29" s="248" t="s">
        <v>113</v>
      </c>
      <c r="E29" s="220" t="str">
        <f>+_xlfn.XLOOKUP(B29,'POM 2024'!B:B,'POM 2024'!F:F,"!",0,1)</f>
        <v>Cristian Quezada</v>
      </c>
      <c r="F29" s="220" t="str">
        <f>+_xlfn.XLOOKUP(B29,'POM 2024'!B:B,'POM 2024'!H:H,"!",0,1)</f>
        <v>Nicolás Ayarza</v>
      </c>
      <c r="G29" s="243">
        <f t="shared" si="7"/>
        <v>8760</v>
      </c>
      <c r="H29" s="243">
        <v>0</v>
      </c>
      <c r="I29" s="243">
        <f t="shared" si="11"/>
        <v>8760</v>
      </c>
      <c r="J29" s="249">
        <f>VLOOKUP(B29,'POM 2024'!$B$2:$BI$64,48,FALSE)</f>
        <v>8760</v>
      </c>
      <c r="K29" s="250">
        <f>+_xlfn.XLOOKUP($B29,'POM 2024'!B:B,'POM 2024'!AV:AV,"!",0,1)</f>
        <v>8509.5</v>
      </c>
      <c r="L29" s="251">
        <f>+_xlfn.XLOOKUP($B29,'POM 2024'!B:B,'POM 2024'!AU:AU,"!",0,1)</f>
        <v>8509.5</v>
      </c>
      <c r="M29" s="252">
        <f t="shared" si="12"/>
        <v>250.5</v>
      </c>
      <c r="N29" s="247">
        <f t="shared" si="8"/>
        <v>2.9437687290675127E-2</v>
      </c>
      <c r="O29" s="245">
        <f>IF(_xlfn.XLOOKUP($B29,'POM 2024'!B:B,'POM 2024'!L:L,"!",0,1)&lt;0,0,_xlfn.XLOOKUP($B29,'POM 2024'!B:B,'POM 2024'!L:L,"!",0,1))</f>
        <v>0</v>
      </c>
      <c r="P29" s="245">
        <f t="shared" si="9"/>
        <v>-8509.5</v>
      </c>
      <c r="Q29" s="245"/>
      <c r="R29" s="253"/>
      <c r="S29" s="253" t="s">
        <v>63</v>
      </c>
      <c r="T29" s="254" t="s">
        <v>56</v>
      </c>
      <c r="U29" s="220" t="b">
        <f t="shared" si="10"/>
        <v>1</v>
      </c>
    </row>
    <row r="30" spans="2:21" ht="14" x14ac:dyDescent="0.2">
      <c r="B30" s="220" t="s">
        <v>116</v>
      </c>
      <c r="C30" s="220" t="str">
        <f>+_xlfn.XLOOKUP(B30,'[1]Proyectos (NO FILTRAR)'!$F:$F,'[1]Proyectos (NO FILTRAR)'!$I:$I)</f>
        <v>AMSA</v>
      </c>
      <c r="D30" s="248" t="s">
        <v>117</v>
      </c>
      <c r="E30" s="220" t="str">
        <f>+_xlfn.XLOOKUP(B30,'POM 2024'!B:B,'POM 2024'!F:F,"!",0,1)</f>
        <v>Alex Figueroa</v>
      </c>
      <c r="F30" s="220" t="str">
        <f>+_xlfn.XLOOKUP(B30,'POM 2024'!B:B,'POM 2024'!H:H,"!",0,1)</f>
        <v>Cristian Alarcón</v>
      </c>
      <c r="G30" s="243">
        <f t="shared" si="7"/>
        <v>15305</v>
      </c>
      <c r="H30" s="243">
        <v>0</v>
      </c>
      <c r="I30" s="243">
        <f t="shared" si="11"/>
        <v>15305</v>
      </c>
      <c r="J30" s="249">
        <f>VLOOKUP(B30,'POM 2024'!$B$2:$BI$64,48,FALSE)</f>
        <v>15305</v>
      </c>
      <c r="K30" s="250">
        <f>+_xlfn.XLOOKUP($B30,'POM 2024'!B:B,'POM 2024'!AV:AV,"!",0,1)</f>
        <v>0</v>
      </c>
      <c r="L30" s="251">
        <f>+_xlfn.XLOOKUP($B30,'POM 2024'!B:B,'POM 2024'!AU:AU,"!",0,1)</f>
        <v>35286.5</v>
      </c>
      <c r="M30" s="252">
        <f t="shared" si="12"/>
        <v>-19981.5</v>
      </c>
      <c r="N30" s="247">
        <f t="shared" si="8"/>
        <v>0</v>
      </c>
      <c r="O30" s="245">
        <f>IF(_xlfn.XLOOKUP($B30,'POM 2024'!B:B,'POM 2024'!L:L,"!",0,1)&lt;0,0,_xlfn.XLOOKUP($B30,'POM 2024'!B:B,'POM 2024'!L:L,"!",0,1))</f>
        <v>3008</v>
      </c>
      <c r="P30" s="245">
        <f t="shared" si="9"/>
        <v>-32278.5</v>
      </c>
      <c r="Q30" s="245"/>
      <c r="R30" s="253"/>
      <c r="S30" s="253" t="s">
        <v>63</v>
      </c>
      <c r="T30" s="254" t="s">
        <v>56</v>
      </c>
      <c r="U30" s="220" t="b">
        <f t="shared" si="10"/>
        <v>1</v>
      </c>
    </row>
    <row r="31" spans="2:21" ht="14" x14ac:dyDescent="0.2">
      <c r="B31" s="220" t="s">
        <v>118</v>
      </c>
      <c r="C31" s="220" t="str">
        <f>+_xlfn.XLOOKUP(B31,'[1]Proyectos (NO FILTRAR)'!$F:$F,'[1]Proyectos (NO FILTRAR)'!$I:$I)</f>
        <v>Glencore</v>
      </c>
      <c r="D31" s="248" t="s">
        <v>122</v>
      </c>
      <c r="E31" s="220" t="str">
        <f>+_xlfn.XLOOKUP(B31,'POM 2024'!B:B,'POM 2024'!F:F,"!",0,1)</f>
        <v>Cristian Quezada</v>
      </c>
      <c r="F31" s="220" t="str">
        <f>+_xlfn.XLOOKUP(B31,'POM 2024'!B:B,'POM 2024'!H:H,"!",0,1)</f>
        <v>Kevin Rios</v>
      </c>
      <c r="G31" s="243">
        <f t="shared" si="7"/>
        <v>42188.149999999994</v>
      </c>
      <c r="H31" s="243">
        <v>0</v>
      </c>
      <c r="I31" s="243">
        <f t="shared" si="11"/>
        <v>42188.149999999994</v>
      </c>
      <c r="J31" s="249">
        <f>VLOOKUP(B31,'POM 2024'!$B$2:$BI$64,48,FALSE)</f>
        <v>42188.149999999994</v>
      </c>
      <c r="K31" s="250">
        <f>+_xlfn.XLOOKUP($B31,'POM 2024'!B:B,'POM 2024'!AV:AV,"!",0,1)</f>
        <v>38000</v>
      </c>
      <c r="L31" s="251">
        <f>+_xlfn.XLOOKUP($B31,'POM 2024'!B:B,'POM 2024'!AU:AU,"!",0,1)</f>
        <v>42188.149999999994</v>
      </c>
      <c r="M31" s="252">
        <f t="shared" si="12"/>
        <v>0</v>
      </c>
      <c r="N31" s="247">
        <f t="shared" si="8"/>
        <v>0.11021447368421038</v>
      </c>
      <c r="O31" s="245">
        <f>IF(_xlfn.XLOOKUP($B31,'POM 2024'!B:B,'POM 2024'!L:L,"!",0,1)&lt;0,0,_xlfn.XLOOKUP($B31,'POM 2024'!B:B,'POM 2024'!L:L,"!",0,1))</f>
        <v>0</v>
      </c>
      <c r="P31" s="245">
        <f t="shared" si="9"/>
        <v>-42188.149999999994</v>
      </c>
      <c r="Q31" s="245"/>
      <c r="R31" s="253"/>
      <c r="S31" s="253" t="s">
        <v>63</v>
      </c>
      <c r="T31" s="254" t="s">
        <v>56</v>
      </c>
      <c r="U31" s="220" t="b">
        <f t="shared" si="10"/>
        <v>1</v>
      </c>
    </row>
    <row r="32" spans="2:21" ht="14" x14ac:dyDescent="0.2">
      <c r="B32" s="220" t="s">
        <v>119</v>
      </c>
      <c r="C32" s="220" t="str">
        <f>+_xlfn.XLOOKUP(B32,'[1]Proyectos (NO FILTRAR)'!$F:$F,'[1]Proyectos (NO FILTRAR)'!$I:$I)</f>
        <v>Coripuno</v>
      </c>
      <c r="D32" s="248" t="s">
        <v>120</v>
      </c>
      <c r="E32" s="220" t="str">
        <f>+_xlfn.XLOOKUP(B32,'POM 2024'!B:B,'POM 2024'!F:F,"!",0,1)</f>
        <v>Claudio Hernández</v>
      </c>
      <c r="F32" s="220" t="str">
        <f>+_xlfn.XLOOKUP(B32,'POM 2024'!B:B,'POM 2024'!H:H,"!",0,1)</f>
        <v>Pablo Quiero</v>
      </c>
      <c r="G32" s="243">
        <f t="shared" si="7"/>
        <v>105000</v>
      </c>
      <c r="H32" s="243">
        <v>0</v>
      </c>
      <c r="I32" s="243">
        <f t="shared" si="11"/>
        <v>105000</v>
      </c>
      <c r="J32" s="249">
        <f>VLOOKUP(B32,'POM 2024'!$B$2:$BI$64,48,FALSE)</f>
        <v>105000</v>
      </c>
      <c r="K32" s="250">
        <f>+_xlfn.XLOOKUP($B32,'POM 2024'!B:B,'POM 2024'!AV:AV,"!",0,1)</f>
        <v>20185</v>
      </c>
      <c r="L32" s="251">
        <f>+_xlfn.XLOOKUP($B32,'POM 2024'!B:B,'POM 2024'!AU:AU,"!",0,1)</f>
        <v>105060</v>
      </c>
      <c r="M32" s="252">
        <f t="shared" si="12"/>
        <v>-60</v>
      </c>
      <c r="N32" s="247">
        <f t="shared" si="8"/>
        <v>4.2018825860787716</v>
      </c>
      <c r="O32" s="245">
        <f>IF(_xlfn.XLOOKUP($B32,'POM 2024'!B:B,'POM 2024'!L:L,"!",0,1)&lt;0,0,_xlfn.XLOOKUP($B32,'POM 2024'!B:B,'POM 2024'!L:L,"!",0,1))</f>
        <v>0</v>
      </c>
      <c r="P32" s="245">
        <f t="shared" si="9"/>
        <v>-105060</v>
      </c>
      <c r="Q32" s="245"/>
      <c r="R32" s="253"/>
      <c r="S32" s="253" t="s">
        <v>63</v>
      </c>
      <c r="T32" s="254" t="s">
        <v>56</v>
      </c>
      <c r="U32" s="220" t="b">
        <f t="shared" si="10"/>
        <v>1</v>
      </c>
    </row>
    <row r="33" spans="2:21" s="255" customFormat="1" hidden="1" x14ac:dyDescent="0.2">
      <c r="B33" s="255" t="s">
        <v>193</v>
      </c>
      <c r="C33" s="255" t="str">
        <f>+_xlfn.XLOOKUP(B33,'[1]Proyectos (NO FILTRAR)'!$F:$F,'[1]Proyectos (NO FILTRAR)'!$I:$I)</f>
        <v>Minsur</v>
      </c>
      <c r="D33" s="255" t="s">
        <v>191</v>
      </c>
      <c r="E33" s="255" t="str">
        <f>+_xlfn.XLOOKUP(B33,'POM 2024'!B:B,'POM 2024'!F:F,"!",0,1)</f>
        <v>Claudio Hernández</v>
      </c>
      <c r="F33" s="255" t="str">
        <f>+_xlfn.XLOOKUP(B33,'POM 2024'!B:B,'POM 2024'!H:H,"!",0,1)</f>
        <v>TBD</v>
      </c>
      <c r="G33" s="256">
        <f t="shared" si="7"/>
        <v>24551</v>
      </c>
      <c r="H33" s="256">
        <v>0</v>
      </c>
      <c r="I33" s="256">
        <f t="shared" si="11"/>
        <v>24551</v>
      </c>
      <c r="J33" s="257">
        <f>VLOOKUP(B33,'POM 2024'!$B$2:$BI$64,48,FALSE)</f>
        <v>24551</v>
      </c>
      <c r="K33" s="250">
        <f>+_xlfn.XLOOKUP($B33,'POM 2024'!B:B,'POM 2024'!AV:AV,"!",0,1)</f>
        <v>0</v>
      </c>
      <c r="L33" s="258">
        <f>+_xlfn.XLOOKUP($B33,'POM 2024'!B:B,'POM 2024'!AU:AU,"!",0,1)</f>
        <v>0</v>
      </c>
      <c r="M33" s="259">
        <f t="shared" si="12"/>
        <v>24551</v>
      </c>
      <c r="N33" s="260">
        <f t="shared" si="8"/>
        <v>0</v>
      </c>
      <c r="O33" s="261">
        <f>IF(_xlfn.XLOOKUP($B33,'POM 2024'!B:B,'POM 2024'!L:L,"!",0,1)&lt;0,0,_xlfn.XLOOKUP($B33,'POM 2024'!B:B,'POM 2024'!L:L,"!",0,1))</f>
        <v>0</v>
      </c>
      <c r="P33" s="262">
        <f t="shared" si="9"/>
        <v>0</v>
      </c>
      <c r="Q33" s="262"/>
      <c r="R33" s="263"/>
      <c r="S33" s="263" t="s">
        <v>63</v>
      </c>
      <c r="T33" s="259" t="s">
        <v>56</v>
      </c>
      <c r="U33" s="255" t="b">
        <f t="shared" si="10"/>
        <v>1</v>
      </c>
    </row>
    <row r="34" spans="2:21" s="255" customFormat="1" hidden="1" x14ac:dyDescent="0.2">
      <c r="B34" s="255" t="s">
        <v>107</v>
      </c>
      <c r="C34" s="255" t="str">
        <f>+_xlfn.XLOOKUP(B34,'[1]Proyectos (NO FILTRAR)'!$F:$F,'[1]Proyectos (NO FILTRAR)'!$I:$I)</f>
        <v>BHP</v>
      </c>
      <c r="D34" s="255" t="s">
        <v>112</v>
      </c>
      <c r="E34" s="255" t="str">
        <f>+_xlfn.XLOOKUP(B34,'POM 2024'!B:B,'POM 2024'!F:F,"!",0,1)</f>
        <v>Mauricio Melendez</v>
      </c>
      <c r="F34" s="255" t="str">
        <f>+_xlfn.XLOOKUP(B34,'POM 2024'!B:B,'POM 2024'!H:H,"!",0,1)</f>
        <v>Freddy Diaz</v>
      </c>
      <c r="G34" s="256">
        <f t="shared" si="7"/>
        <v>0</v>
      </c>
      <c r="H34" s="256">
        <v>0</v>
      </c>
      <c r="I34" s="256">
        <f t="shared" si="11"/>
        <v>0</v>
      </c>
      <c r="J34" s="257">
        <f>VLOOKUP(B34,'POM 2024'!$B$2:$BI$64,48,FALSE)</f>
        <v>0</v>
      </c>
      <c r="K34" s="250">
        <f>+_xlfn.XLOOKUP($B34,'POM 2024'!B:B,'POM 2024'!AV:AV,"!",0,1)</f>
        <v>0</v>
      </c>
      <c r="L34" s="258">
        <f>+_xlfn.XLOOKUP($B34,'POM 2024'!B:B,'POM 2024'!AU:AU,"!",0,1)</f>
        <v>0</v>
      </c>
      <c r="M34" s="259">
        <f t="shared" si="12"/>
        <v>0</v>
      </c>
      <c r="N34" s="260">
        <f t="shared" si="8"/>
        <v>0</v>
      </c>
      <c r="O34" s="261">
        <f>IF(_xlfn.XLOOKUP($B34,'POM 2024'!B:B,'POM 2024'!L:L,"!",0,1)&lt;0,0,_xlfn.XLOOKUP($B34,'POM 2024'!B:B,'POM 2024'!L:L,"!",0,1))</f>
        <v>0</v>
      </c>
      <c r="P34" s="262">
        <f t="shared" si="9"/>
        <v>0</v>
      </c>
      <c r="Q34" s="262"/>
      <c r="R34" s="263"/>
      <c r="S34" s="263" t="s">
        <v>63</v>
      </c>
      <c r="T34" s="259" t="s">
        <v>56</v>
      </c>
      <c r="U34" s="255" t="b">
        <f t="shared" si="10"/>
        <v>1</v>
      </c>
    </row>
    <row r="35" spans="2:21" ht="14" x14ac:dyDescent="0.2">
      <c r="B35" s="220" t="s">
        <v>184</v>
      </c>
      <c r="C35" s="220" t="s">
        <v>200</v>
      </c>
      <c r="D35" s="248" t="s">
        <v>201</v>
      </c>
      <c r="E35" s="220" t="s">
        <v>33</v>
      </c>
      <c r="F35" s="220" t="s">
        <v>35</v>
      </c>
      <c r="G35" s="243">
        <f t="shared" si="7"/>
        <v>0</v>
      </c>
      <c r="H35" s="243">
        <v>0</v>
      </c>
      <c r="I35" s="243">
        <f t="shared" si="11"/>
        <v>0</v>
      </c>
      <c r="J35" s="249">
        <f>VLOOKUP(B35,'POM 2024'!$B$2:$BI$64,48,FALSE)</f>
        <v>0</v>
      </c>
      <c r="K35" s="250">
        <f>+_xlfn.XLOOKUP($B35,'POM 2024'!B:B,'POM 2024'!AV:AV,"!",0,1)</f>
        <v>0</v>
      </c>
      <c r="L35" s="251">
        <f>+_xlfn.XLOOKUP($B35,'POM 2024'!B:B,'POM 2024'!AU:AU,"!",0,1)</f>
        <v>56177.69</v>
      </c>
      <c r="M35" s="252">
        <f t="shared" si="12"/>
        <v>-56177.69</v>
      </c>
      <c r="N35" s="247">
        <f>+IFERROR(((J35-K35)/K35),0)</f>
        <v>0</v>
      </c>
      <c r="O35" s="245">
        <f>IF(_xlfn.XLOOKUP($B35,'POM 2024'!B:B,'POM 2024'!L:L,"!",0,1)&lt;0,0,_xlfn.XLOOKUP($B35,'POM 2024'!B:B,'POM 2024'!L:L,"!",0,1))</f>
        <v>31049</v>
      </c>
      <c r="P35" s="245">
        <f>+O35-L35</f>
        <v>-25128.690000000002</v>
      </c>
      <c r="Q35" s="245"/>
      <c r="R35" s="253"/>
      <c r="S35" s="253" t="s">
        <v>63</v>
      </c>
      <c r="T35" s="254" t="s">
        <v>56</v>
      </c>
      <c r="U35" s="220" t="b">
        <f>+I35=J35</f>
        <v>1</v>
      </c>
    </row>
    <row r="36" spans="2:21" ht="56" x14ac:dyDescent="0.2">
      <c r="B36" s="265" t="s">
        <v>178</v>
      </c>
      <c r="C36" s="220" t="str">
        <f>+_xlfn.XLOOKUP(B36,'[1]Proyectos (NO FILTRAR)'!$F:$F,'[1]Proyectos (NO FILTRAR)'!$I:$I)</f>
        <v>Eurochem</v>
      </c>
      <c r="D36" s="248" t="s">
        <v>192</v>
      </c>
      <c r="E36" s="220" t="str">
        <f>+_xlfn.XLOOKUP(B36,'POM 2024'!B:B,'POM 2024'!F:F,"!",0,1)</f>
        <v>Ricardo Miranda</v>
      </c>
      <c r="F36" s="220" t="str">
        <f>+_xlfn.XLOOKUP(B36,'POM 2024'!B:B,'POM 2024'!H:H,"!",0,1)</f>
        <v>Gerson Alfaro</v>
      </c>
      <c r="G36" s="243">
        <f t="shared" si="7"/>
        <v>76050</v>
      </c>
      <c r="H36" s="243">
        <v>0</v>
      </c>
      <c r="I36" s="243">
        <f t="shared" si="11"/>
        <v>76050</v>
      </c>
      <c r="J36" s="249">
        <f>VLOOKUP(B36,'POM 2024'!$B$2:$BI$64,48,FALSE)</f>
        <v>76050</v>
      </c>
      <c r="K36" s="250">
        <f>+_xlfn.XLOOKUP($B36,'POM 2024'!B:B,'POM 2024'!AV:AV,"!",0,1)</f>
        <v>91260</v>
      </c>
      <c r="L36" s="251">
        <f>+_xlfn.XLOOKUP($B36,'POM 2024'!B:B,'POM 2024'!AU:AU,"!",0,1)</f>
        <v>105398.64000000001</v>
      </c>
      <c r="M36" s="252">
        <f t="shared" si="12"/>
        <v>-29348.640000000014</v>
      </c>
      <c r="N36" s="247">
        <f t="shared" si="8"/>
        <v>-0.16666666666666666</v>
      </c>
      <c r="O36" s="245">
        <f>IF(_xlfn.XLOOKUP($B36,'POM 2024'!B:B,'POM 2024'!L:L,"!",0,1)&lt;0,0,_xlfn.XLOOKUP($B36,'POM 2024'!B:B,'POM 2024'!L:L,"!",0,1))</f>
        <v>0</v>
      </c>
      <c r="P36" s="245">
        <f t="shared" si="9"/>
        <v>-105398.64000000001</v>
      </c>
      <c r="Q36" s="245"/>
      <c r="R36" s="252"/>
      <c r="S36" s="253" t="s">
        <v>63</v>
      </c>
      <c r="T36" s="254" t="s">
        <v>56</v>
      </c>
      <c r="U36" s="220" t="b">
        <f t="shared" si="10"/>
        <v>1</v>
      </c>
    </row>
    <row r="37" spans="2:21" hidden="1" x14ac:dyDescent="0.2">
      <c r="B37" s="220" t="s">
        <v>106</v>
      </c>
      <c r="C37" s="220" t="str">
        <f>+_xlfn.XLOOKUP(B37,'[1]Proyectos (NO FILTRAR)'!$F:$F,'[1]Proyectos (NO FILTRAR)'!$I:$I)</f>
        <v>Seligdar</v>
      </c>
      <c r="D37" s="220" t="s">
        <v>110</v>
      </c>
      <c r="E37" s="220" t="str">
        <f>+_xlfn.XLOOKUP(B37,'POM 2024'!B:B,'POM 2024'!F:F,"!",0,1)</f>
        <v>Ricardo Miranda</v>
      </c>
      <c r="F37" s="220" t="str">
        <f>+_xlfn.XLOOKUP(B37,'POM 2024'!B:B,'POM 2024'!H:H,"!",0,1)</f>
        <v>Gerson Alfaro</v>
      </c>
      <c r="G37" s="243">
        <f t="shared" si="7"/>
        <v>0</v>
      </c>
      <c r="H37" s="243">
        <v>0</v>
      </c>
      <c r="I37" s="243">
        <f t="shared" si="11"/>
        <v>0</v>
      </c>
      <c r="J37" s="249">
        <f>VLOOKUP(B37,'POM 2024'!$B$2:$BI$64,48,FALSE)</f>
        <v>0</v>
      </c>
      <c r="K37" s="250">
        <f>+_xlfn.XLOOKUP($B37,'POM 2024'!B:B,'POM 2024'!AV:AV,"!",0,1)</f>
        <v>0</v>
      </c>
      <c r="L37" s="251">
        <f>+_xlfn.XLOOKUP($B37,'POM 2024'!B:B,'POM 2024'!AU:AU,"!",0,1)</f>
        <v>0</v>
      </c>
      <c r="M37" s="252">
        <f t="shared" si="12"/>
        <v>0</v>
      </c>
      <c r="N37" s="247">
        <f t="shared" si="8"/>
        <v>0</v>
      </c>
      <c r="O37" s="245">
        <f>IF(_xlfn.XLOOKUP($B37,'POM 2024'!B:B,'POM 2024'!L:L,"!",0,1)&lt;0,0,_xlfn.XLOOKUP($B37,'POM 2024'!B:B,'POM 2024'!L:L,"!",0,1))</f>
        <v>0</v>
      </c>
      <c r="P37" s="245">
        <f>+O37-L37</f>
        <v>0</v>
      </c>
      <c r="Q37" s="245"/>
      <c r="R37" s="252" t="s">
        <v>5</v>
      </c>
      <c r="S37" s="253" t="s">
        <v>63</v>
      </c>
      <c r="T37" s="254" t="s">
        <v>56</v>
      </c>
      <c r="U37" s="220" t="b">
        <f t="shared" si="10"/>
        <v>1</v>
      </c>
    </row>
    <row r="38" spans="2:21" ht="11.75" customHeight="1" x14ac:dyDescent="0.2">
      <c r="B38" s="220" t="s">
        <v>205</v>
      </c>
      <c r="C38" s="220" t="s">
        <v>207</v>
      </c>
      <c r="D38" s="220" t="s">
        <v>206</v>
      </c>
      <c r="E38" s="220" t="s">
        <v>104</v>
      </c>
      <c r="F38" s="220" t="s">
        <v>39</v>
      </c>
      <c r="G38" s="243">
        <f t="shared" si="7"/>
        <v>0</v>
      </c>
      <c r="H38" s="243">
        <v>0</v>
      </c>
      <c r="I38" s="243">
        <f t="shared" si="11"/>
        <v>0</v>
      </c>
      <c r="J38" s="249">
        <f>VLOOKUP(B38,'POM 2024'!$B$2:$BI$64,48,FALSE)</f>
        <v>0</v>
      </c>
      <c r="K38" s="250">
        <f>+_xlfn.XLOOKUP($B38,'POM 2024'!B:B,'POM 2024'!AV:AV,"!",0,1)</f>
        <v>0</v>
      </c>
      <c r="L38" s="251">
        <f>+_xlfn.XLOOKUP($B38,'POM 2024'!B:B,'POM 2024'!AU:AU,"!",0,1)</f>
        <v>69250</v>
      </c>
      <c r="M38" s="252">
        <f t="shared" si="12"/>
        <v>-69250</v>
      </c>
      <c r="N38" s="247">
        <f t="shared" si="8"/>
        <v>0</v>
      </c>
      <c r="O38" s="245">
        <f>IF(_xlfn.XLOOKUP($B38,'POM 2024'!B:B,'POM 2024'!L:L,"!",0,1)&lt;0,0,_xlfn.XLOOKUP($B38,'POM 2024'!B:B,'POM 2024'!L:L,"!",0,1))</f>
        <v>23720</v>
      </c>
      <c r="P38" s="245">
        <f>+O38-L38</f>
        <v>-45530</v>
      </c>
      <c r="Q38" s="245" t="s">
        <v>241</v>
      </c>
      <c r="R38" s="252"/>
      <c r="S38" s="253" t="s">
        <v>63</v>
      </c>
      <c r="T38" s="254" t="s">
        <v>56</v>
      </c>
      <c r="U38" s="220" t="b">
        <f t="shared" si="10"/>
        <v>1</v>
      </c>
    </row>
    <row r="39" spans="2:21" ht="11.75" customHeight="1" x14ac:dyDescent="0.2">
      <c r="B39" s="220" t="s">
        <v>45</v>
      </c>
      <c r="C39" s="220" t="s">
        <v>208</v>
      </c>
      <c r="D39" s="220" t="s">
        <v>209</v>
      </c>
      <c r="E39" s="220" t="s">
        <v>28</v>
      </c>
      <c r="F39" s="220" t="s">
        <v>210</v>
      </c>
      <c r="G39" s="243">
        <f t="shared" si="7"/>
        <v>23980</v>
      </c>
      <c r="H39" s="243">
        <v>0</v>
      </c>
      <c r="I39" s="243">
        <f t="shared" si="11"/>
        <v>23980</v>
      </c>
      <c r="J39" s="249">
        <f>VLOOKUP(B39,'POM 2024'!$B$2:$BI$64,48,FALSE)</f>
        <v>23980</v>
      </c>
      <c r="K39" s="250">
        <f>+_xlfn.XLOOKUP($B39,'POM 2024'!B:B,'POM 2024'!AV:AV,"!",0,1)</f>
        <v>23980</v>
      </c>
      <c r="L39" s="251">
        <f>+_xlfn.XLOOKUP($B39,'POM 2024'!B:B,'POM 2024'!AU:AU,"!",0,1)</f>
        <v>47960</v>
      </c>
      <c r="M39" s="252">
        <f t="shared" si="12"/>
        <v>-23980</v>
      </c>
      <c r="N39" s="247">
        <f t="shared" si="8"/>
        <v>0</v>
      </c>
      <c r="O39" s="245">
        <f>IF(_xlfn.XLOOKUP($B39,'POM 2024'!B:B,'POM 2024'!L:L,"!",0,1)&lt;0,0,_xlfn.XLOOKUP($B39,'POM 2024'!B:B,'POM 2024'!L:L,"!",0,1))</f>
        <v>2398</v>
      </c>
      <c r="P39" s="245">
        <f>+O39-L39</f>
        <v>-45562</v>
      </c>
      <c r="Q39" s="245"/>
      <c r="R39" s="252"/>
      <c r="S39" s="253" t="s">
        <v>63</v>
      </c>
      <c r="T39" s="254" t="s">
        <v>56</v>
      </c>
      <c r="U39" s="220" t="b">
        <f t="shared" si="10"/>
        <v>1</v>
      </c>
    </row>
    <row r="40" spans="2:21" s="255" customFormat="1" ht="11.75" hidden="1" customHeight="1" x14ac:dyDescent="0.2">
      <c r="B40" s="255" t="s">
        <v>204</v>
      </c>
      <c r="C40" s="255" t="s">
        <v>211</v>
      </c>
      <c r="D40" s="255" t="s">
        <v>212</v>
      </c>
      <c r="E40" s="255" t="s">
        <v>28</v>
      </c>
      <c r="F40" s="255" t="s">
        <v>213</v>
      </c>
      <c r="G40" s="256">
        <f t="shared" si="7"/>
        <v>0</v>
      </c>
      <c r="H40" s="256">
        <v>0</v>
      </c>
      <c r="I40" s="256">
        <f t="shared" si="11"/>
        <v>0</v>
      </c>
      <c r="J40" s="257">
        <f>VLOOKUP(B40,'POM 2024'!$B$2:$BI$64,48,FALSE)</f>
        <v>0</v>
      </c>
      <c r="K40" s="250">
        <f>+_xlfn.XLOOKUP($B40,'POM 2024'!B:B,'POM 2024'!AV:AV,"!",0,1)</f>
        <v>0</v>
      </c>
      <c r="L40" s="258">
        <f>+_xlfn.XLOOKUP($B40,'POM 2024'!B:B,'POM 2024'!AU:AU,"!",0,1)</f>
        <v>0</v>
      </c>
      <c r="M40" s="252">
        <f t="shared" si="12"/>
        <v>0</v>
      </c>
      <c r="N40" s="260">
        <f t="shared" si="8"/>
        <v>0</v>
      </c>
      <c r="O40" s="261">
        <f>IF(_xlfn.XLOOKUP($B40,'POM 2024'!B:B,'POM 2024'!L:L,"!",0,1)&lt;0,0,_xlfn.XLOOKUP($B40,'POM 2024'!B:B,'POM 2024'!L:L,"!",0,1))</f>
        <v>0</v>
      </c>
      <c r="P40" s="262">
        <f>+O40-L40</f>
        <v>0</v>
      </c>
      <c r="Q40" s="262"/>
      <c r="R40" s="263"/>
      <c r="S40" s="263" t="s">
        <v>63</v>
      </c>
      <c r="T40" s="259" t="s">
        <v>56</v>
      </c>
      <c r="U40" s="255" t="b">
        <f t="shared" si="10"/>
        <v>1</v>
      </c>
    </row>
    <row r="41" spans="2:21" s="266" customFormat="1" ht="11.75" customHeight="1" x14ac:dyDescent="0.2">
      <c r="B41" s="266" t="s">
        <v>218</v>
      </c>
      <c r="C41" s="266" t="str">
        <f>+_xlfn.XLOOKUP(B41,'[1]Proyectos (NO FILTRAR)'!$F:$F,'[1]Proyectos (NO FILTRAR)'!$I:$I)</f>
        <v>EMX Royalty</v>
      </c>
      <c r="D41" s="266" t="s">
        <v>223</v>
      </c>
      <c r="E41" s="266" t="s">
        <v>213</v>
      </c>
      <c r="F41" s="266" t="s">
        <v>62</v>
      </c>
      <c r="G41" s="267">
        <f>+J41</f>
        <v>26649</v>
      </c>
      <c r="H41" s="267">
        <v>0</v>
      </c>
      <c r="I41" s="267">
        <f>+SUM(G41:H41)</f>
        <v>26649</v>
      </c>
      <c r="J41" s="268">
        <f>VLOOKUP(B41,'POM 2024'!$B$2:$BI$130,48,FALSE)</f>
        <v>26649</v>
      </c>
      <c r="K41" s="250">
        <f>+_xlfn.XLOOKUP($B41,'POM 2024'!B:B,'POM 2024'!AV:AV,"!",0,1)</f>
        <v>0</v>
      </c>
      <c r="L41" s="269">
        <f>+_xlfn.XLOOKUP($B41,'POM 2024'!B:B,'POM 2024'!AU:AU,"!",0,1)</f>
        <v>0</v>
      </c>
      <c r="M41" s="252">
        <f t="shared" si="12"/>
        <v>26649</v>
      </c>
      <c r="N41" s="270">
        <f t="shared" ref="N41:N46" si="13">+IFERROR(((J41-K41)/K41),0)</f>
        <v>0</v>
      </c>
      <c r="O41" s="271">
        <f>IF(_xlfn.XLOOKUP($B41,'POM 2024'!B:B,'POM 2024'!L:L,"!",0,1)&lt;0,0,_xlfn.XLOOKUP($B41,'POM 2024'!B:B,'POM 2024'!L:L,"!",0,1))</f>
        <v>0</v>
      </c>
      <c r="P41" s="272"/>
      <c r="Q41" s="272"/>
      <c r="R41" s="273"/>
      <c r="S41" s="263" t="s">
        <v>63</v>
      </c>
      <c r="T41" s="259" t="s">
        <v>56</v>
      </c>
      <c r="U41" s="255" t="b">
        <f t="shared" ref="U41:U47" si="14">+I41=J41</f>
        <v>1</v>
      </c>
    </row>
    <row r="42" spans="2:21" s="266" customFormat="1" ht="11.75" customHeight="1" x14ac:dyDescent="0.2">
      <c r="B42" s="266" t="s">
        <v>219</v>
      </c>
      <c r="C42" s="266" t="str">
        <f>+_xlfn.XLOOKUP(B42,'[1]Proyectos (NO FILTRAR)'!$F:$F,'[1]Proyectos (NO FILTRAR)'!$I:$I)</f>
        <v>Ivanhoe Electric</v>
      </c>
      <c r="D42" s="266" t="s">
        <v>222</v>
      </c>
      <c r="E42" s="266" t="s">
        <v>28</v>
      </c>
      <c r="F42" s="266" t="s">
        <v>41</v>
      </c>
      <c r="G42" s="267">
        <f>+J42</f>
        <v>38146</v>
      </c>
      <c r="H42" s="267">
        <v>0</v>
      </c>
      <c r="I42" s="267">
        <f>+SUM(G42:H42)</f>
        <v>38146</v>
      </c>
      <c r="J42" s="268">
        <f>VLOOKUP(B42,'POM 2024'!$B$2:$BI$130,48,FALSE)</f>
        <v>38146</v>
      </c>
      <c r="K42" s="250">
        <f>+_xlfn.XLOOKUP($B42,'POM 2024'!B:B,'POM 2024'!AV:AV,"!",0,1)</f>
        <v>0</v>
      </c>
      <c r="L42" s="269">
        <f>+_xlfn.XLOOKUP($B42,'POM 2024'!B:B,'POM 2024'!AU:AU,"!",0,1)</f>
        <v>0</v>
      </c>
      <c r="M42" s="252">
        <f t="shared" si="12"/>
        <v>38146</v>
      </c>
      <c r="N42" s="270">
        <f t="shared" si="13"/>
        <v>0</v>
      </c>
      <c r="O42" s="271">
        <f>IF(_xlfn.XLOOKUP($B42,'POM 2024'!B:B,'POM 2024'!L:L,"!",0,1)&lt;0,0,_xlfn.XLOOKUP($B42,'POM 2024'!B:B,'POM 2024'!L:L,"!",0,1))</f>
        <v>41413</v>
      </c>
      <c r="P42" s="272"/>
      <c r="Q42" s="272"/>
      <c r="R42" s="273"/>
      <c r="S42" s="263" t="s">
        <v>63</v>
      </c>
      <c r="T42" s="259" t="s">
        <v>56</v>
      </c>
      <c r="U42" s="255" t="b">
        <f t="shared" si="14"/>
        <v>1</v>
      </c>
    </row>
    <row r="43" spans="2:21" s="255" customFormat="1" ht="25.25" customHeight="1" x14ac:dyDescent="0.2">
      <c r="B43" s="220" t="s">
        <v>220</v>
      </c>
      <c r="C43" s="220" t="str">
        <f>+_xlfn.XLOOKUP(B43,'[1]Proyectos (NO FILTRAR)'!$F:$F,'[1]Proyectos (NO FILTRAR)'!$I:$I)</f>
        <v>J&amp;F</v>
      </c>
      <c r="D43" s="248" t="s">
        <v>221</v>
      </c>
      <c r="E43" s="220" t="str">
        <f>+_xlfn.XLOOKUP(B43,'POM 2024'!B:B,'POM 2024'!F:F,"!",0,1)</f>
        <v>-</v>
      </c>
      <c r="F43" s="220" t="str">
        <f>+_xlfn.XLOOKUP(B43,'POM 2024'!B:B,'POM 2024'!H:H,"!",0,1)</f>
        <v>Kevin Rios</v>
      </c>
      <c r="G43" s="243">
        <f>+J43</f>
        <v>72664</v>
      </c>
      <c r="H43" s="243">
        <v>0</v>
      </c>
      <c r="I43" s="243">
        <f>+SUM(G43:H43)</f>
        <v>72664</v>
      </c>
      <c r="J43" s="249">
        <f>VLOOKUP(B43,'POM 2024'!$B$2:$BI$129,48,FALSE)</f>
        <v>72664</v>
      </c>
      <c r="K43" s="250">
        <f>+_xlfn.XLOOKUP($B43,'POM 2024'!B:B,'POM 2024'!AV:AV,"!",0,1)</f>
        <v>0</v>
      </c>
      <c r="L43" s="251">
        <f>+_xlfn.XLOOKUP($B43,'POM 2024'!B:B,'POM 2024'!AU:AU,"!",0,1)</f>
        <v>70000</v>
      </c>
      <c r="M43" s="252">
        <f t="shared" si="12"/>
        <v>2664</v>
      </c>
      <c r="N43" s="247">
        <f t="shared" si="13"/>
        <v>0</v>
      </c>
      <c r="O43" s="245">
        <f>IF(_xlfn.XLOOKUP($B43,'POM 2024'!B:B,'POM 2024'!L:L,"!",0,1)&lt;0,0,_xlfn.XLOOKUP($B43,'POM 2024'!B:B,'POM 2024'!L:L,"!",0,1))</f>
        <v>1791</v>
      </c>
      <c r="P43" s="262"/>
      <c r="Q43" s="262"/>
      <c r="R43" s="263"/>
      <c r="S43" s="253" t="s">
        <v>63</v>
      </c>
      <c r="T43" s="274" t="s">
        <v>56</v>
      </c>
      <c r="U43" s="220" t="b">
        <f t="shared" si="14"/>
        <v>1</v>
      </c>
    </row>
    <row r="44" spans="2:21" s="255" customFormat="1" ht="25.25" customHeight="1" x14ac:dyDescent="0.2">
      <c r="B44" s="275" t="s">
        <v>224</v>
      </c>
      <c r="C44" s="220" t="str">
        <f>+_xlfn.XLOOKUP(B44,'[1]Proyectos (NO FILTRAR)'!$F:$F,'[1]Proyectos (NO FILTRAR)'!$I:$I)</f>
        <v>Sierra metals</v>
      </c>
      <c r="D44" s="248" t="s">
        <v>229</v>
      </c>
      <c r="E44" s="220" t="str">
        <f>+_xlfn.XLOOKUP(B44,'POM 2024'!B:B,'POM 2024'!F:F,"!",0,1)</f>
        <v>-</v>
      </c>
      <c r="F44" s="220" t="str">
        <f>+_xlfn.XLOOKUP(B44,'POM 2024'!B:B,'POM 2024'!H:H,"!",0,1)</f>
        <v>-</v>
      </c>
      <c r="G44" s="243">
        <f t="shared" ref="G44" si="15">+J44</f>
        <v>20941</v>
      </c>
      <c r="H44" s="243">
        <v>0</v>
      </c>
      <c r="I44" s="243">
        <f t="shared" ref="I44" si="16">+SUM(G44:H44)</f>
        <v>20941</v>
      </c>
      <c r="J44" s="249">
        <f>VLOOKUP(B44,'POM 2024'!$B$2:$BI$129,48,FALSE)</f>
        <v>20941</v>
      </c>
      <c r="K44" s="250">
        <f>+_xlfn.XLOOKUP($B44,'POM 2024'!B:B,'POM 2024'!AV:AV,"!",0,1)</f>
        <v>0</v>
      </c>
      <c r="L44" s="251">
        <f>+_xlfn.XLOOKUP($B44,'POM 2024'!B:B,'POM 2024'!AU:AU,"!",0,1)</f>
        <v>25919.1</v>
      </c>
      <c r="M44" s="252">
        <f t="shared" ref="M44" si="17">+J44-L44</f>
        <v>-4978.0999999999985</v>
      </c>
      <c r="N44" s="247">
        <f t="shared" si="13"/>
        <v>0</v>
      </c>
      <c r="O44" s="245">
        <f>IF(_xlfn.XLOOKUP($B44,'POM 2024'!B:B,'POM 2024'!L:L,"!",0,1)&lt;0,0,_xlfn.XLOOKUP($B44,'POM 2024'!B:B,'POM 2024'!L:L,"!",0,1))</f>
        <v>5647</v>
      </c>
      <c r="P44" s="262"/>
      <c r="Q44" s="262" t="s">
        <v>38</v>
      </c>
      <c r="R44" s="263"/>
      <c r="S44" s="253" t="s">
        <v>63</v>
      </c>
      <c r="T44" s="274" t="s">
        <v>56</v>
      </c>
      <c r="U44" s="220" t="b">
        <f t="shared" si="14"/>
        <v>1</v>
      </c>
    </row>
    <row r="45" spans="2:21" ht="14" x14ac:dyDescent="0.2">
      <c r="B45" s="220" t="s">
        <v>194</v>
      </c>
      <c r="C45" s="220" t="str">
        <f>+_xlfn.XLOOKUP(B45,'[1]Proyectos (NO FILTRAR)'!$F:$F,'[1]Proyectos (NO FILTRAR)'!$I:$I)</f>
        <v>CMP</v>
      </c>
      <c r="D45" s="248" t="s">
        <v>197</v>
      </c>
      <c r="E45" s="220" t="str">
        <f>+_xlfn.XLOOKUP(B45,'POM 2024'!B:B,'POM 2024'!F:F,"!",0,1)</f>
        <v>Cristian Quezada</v>
      </c>
      <c r="F45" s="220" t="str">
        <f>+_xlfn.XLOOKUP(B45,'POM 2024'!B:B,'POM 2024'!H:H,"!",0,1)</f>
        <v>TBD</v>
      </c>
      <c r="G45" s="243">
        <f>+J45</f>
        <v>34041</v>
      </c>
      <c r="H45" s="243">
        <v>0</v>
      </c>
      <c r="I45" s="243">
        <f>+SUM(G45:H45)</f>
        <v>34041</v>
      </c>
      <c r="J45" s="249">
        <f>VLOOKUP(B45,'POM 2024'!$B$2:$BI$73,48,FALSE)</f>
        <v>34041</v>
      </c>
      <c r="K45" s="250">
        <f>+_xlfn.XLOOKUP($B45,'POM 2024'!B:B,'POM 2024'!AV:AV,"!",0,1)</f>
        <v>36850</v>
      </c>
      <c r="L45" s="251">
        <f>+_xlfn.XLOOKUP($B45,'POM 2024'!B:B,'POM 2024'!AU:AU,"!",0,1)</f>
        <v>0</v>
      </c>
      <c r="M45" s="252">
        <f>+J45-L45</f>
        <v>34041</v>
      </c>
      <c r="N45" s="247">
        <f t="shared" si="13"/>
        <v>-7.6227951153324286E-2</v>
      </c>
      <c r="O45" s="245">
        <f>IF(_xlfn.XLOOKUP($B45,'POM 2024'!B:B,'POM 2024'!L:L,"!",0,1)&lt;0,0,_xlfn.XLOOKUP($B45,'POM 2024'!B:B,'POM 2024'!L:L,"!",0,1))</f>
        <v>2164</v>
      </c>
      <c r="P45" s="245">
        <f>+O45-L45</f>
        <v>2164</v>
      </c>
      <c r="Q45" s="245"/>
      <c r="R45" s="252"/>
      <c r="S45" s="253" t="s">
        <v>63</v>
      </c>
      <c r="T45" s="274" t="s">
        <v>56</v>
      </c>
      <c r="U45" s="220" t="b">
        <f t="shared" si="14"/>
        <v>1</v>
      </c>
    </row>
    <row r="46" spans="2:21" ht="14" x14ac:dyDescent="0.2">
      <c r="B46" s="220" t="s">
        <v>195</v>
      </c>
      <c r="C46" s="220" t="str">
        <f>+_xlfn.XLOOKUP(B46,'[1]Proyectos (NO FILTRAR)'!$F:$F,'[1]Proyectos (NO FILTRAR)'!$I:$I)</f>
        <v>CMP</v>
      </c>
      <c r="D46" s="248" t="s">
        <v>198</v>
      </c>
      <c r="E46" s="220" t="str">
        <f>+_xlfn.XLOOKUP(B46,'POM 2024'!B:B,'POM 2024'!F:F,"!",0,1)</f>
        <v>Cristian Quezada</v>
      </c>
      <c r="F46" s="220" t="str">
        <f>+_xlfn.XLOOKUP(B46,'POM 2024'!B:B,'POM 2024'!H:H,"!",0,1)</f>
        <v>TBD</v>
      </c>
      <c r="G46" s="243">
        <f>+J46</f>
        <v>26563</v>
      </c>
      <c r="H46" s="243">
        <v>0</v>
      </c>
      <c r="I46" s="243">
        <f>+SUM(G46:H46)</f>
        <v>26563</v>
      </c>
      <c r="J46" s="249">
        <f>VLOOKUP(B46,'POM 2024'!$B$2:$BI$73,48,FALSE)</f>
        <v>26563</v>
      </c>
      <c r="K46" s="250">
        <f>+_xlfn.XLOOKUP($B46,'POM 2024'!B:B,'POM 2024'!AV:AV,"!",0,1)</f>
        <v>28800</v>
      </c>
      <c r="L46" s="251">
        <f>+_xlfn.XLOOKUP($B46,'POM 2024'!B:B,'POM 2024'!AU:AU,"!",0,1)</f>
        <v>0</v>
      </c>
      <c r="M46" s="252">
        <f>+J46-L46</f>
        <v>26563</v>
      </c>
      <c r="N46" s="247">
        <f t="shared" si="13"/>
        <v>-7.767361111111111E-2</v>
      </c>
      <c r="O46" s="245">
        <f>IF(_xlfn.XLOOKUP($B46,'POM 2024'!B:B,'POM 2024'!L:L,"!",0,1)&lt;0,0,_xlfn.XLOOKUP($B46,'POM 2024'!B:B,'POM 2024'!L:L,"!",0,1))</f>
        <v>1836</v>
      </c>
      <c r="P46" s="245">
        <f>+O46-L46</f>
        <v>1836</v>
      </c>
      <c r="Q46" s="245"/>
      <c r="R46" s="252"/>
      <c r="S46" s="253" t="s">
        <v>63</v>
      </c>
      <c r="T46" s="274" t="s">
        <v>56</v>
      </c>
      <c r="U46" s="220" t="b">
        <f t="shared" si="14"/>
        <v>1</v>
      </c>
    </row>
    <row r="47" spans="2:21" ht="14" x14ac:dyDescent="0.2">
      <c r="B47" s="220" t="s">
        <v>196</v>
      </c>
      <c r="C47" s="220" t="str">
        <f>+_xlfn.XLOOKUP(B47,'[1]Proyectos (NO FILTRAR)'!$F:$F,'[1]Proyectos (NO FILTRAR)'!$I:$I)</f>
        <v>CMP</v>
      </c>
      <c r="D47" s="248" t="s">
        <v>199</v>
      </c>
      <c r="E47" s="220" t="str">
        <f>+_xlfn.XLOOKUP(B47,'POM 2024'!B:B,'POM 2024'!F:F,"!",0,1)</f>
        <v>Ricardo Miranda</v>
      </c>
      <c r="F47" s="220" t="str">
        <f>+_xlfn.XLOOKUP(B47,'POM 2024'!B:B,'POM 2024'!H:H,"!",0,1)</f>
        <v>Pablo Quiero</v>
      </c>
      <c r="G47" s="243">
        <f t="shared" ref="G47" si="18">+J47</f>
        <v>135485</v>
      </c>
      <c r="H47" s="243">
        <v>0</v>
      </c>
      <c r="I47" s="243">
        <f t="shared" ref="I47" si="19">+SUM(G47:H47)</f>
        <v>135485</v>
      </c>
      <c r="J47" s="249">
        <f>VLOOKUP(B47,'POM 2024'!$B$2:$BI$73,48,FALSE)</f>
        <v>135485</v>
      </c>
      <c r="K47" s="250">
        <f>+_xlfn.XLOOKUP($B47,'POM 2024'!B:B,'POM 2024'!AV:AV,"!",0,1)</f>
        <v>140000</v>
      </c>
      <c r="L47" s="251">
        <f>+_xlfn.XLOOKUP($B47,'POM 2024'!B:B,'POM 2024'!AU:AU,"!",0,1)</f>
        <v>0</v>
      </c>
      <c r="M47" s="252">
        <f>+J47-L47</f>
        <v>135485</v>
      </c>
      <c r="N47" s="247">
        <f t="shared" ref="N47" si="20">+IFERROR(((J47-K47)/K47),0)</f>
        <v>-3.2250000000000001E-2</v>
      </c>
      <c r="O47" s="245">
        <f>IF(_xlfn.XLOOKUP($B47,'POM 2024'!B:B,'POM 2024'!L:L,"!",0,1)&lt;0,0,_xlfn.XLOOKUP($B47,'POM 2024'!B:B,'POM 2024'!L:L,"!",0,1))</f>
        <v>130940.84999999998</v>
      </c>
      <c r="P47" s="245">
        <f>+O47-L47</f>
        <v>130940.84999999998</v>
      </c>
      <c r="Q47" s="245"/>
      <c r="R47" s="252"/>
      <c r="S47" s="253" t="s">
        <v>63</v>
      </c>
      <c r="T47" s="274" t="s">
        <v>56</v>
      </c>
      <c r="U47" s="220" t="b">
        <f t="shared" si="14"/>
        <v>1</v>
      </c>
    </row>
    <row r="48" spans="2:21" s="224" customFormat="1" ht="15" customHeight="1" x14ac:dyDescent="0.2">
      <c r="B48" s="276"/>
      <c r="C48" s="276"/>
      <c r="D48" s="276"/>
      <c r="E48" s="276"/>
      <c r="F48" s="276"/>
      <c r="G48" s="277">
        <f t="shared" ref="G48:M48" si="21">+SUM(G21:G47)</f>
        <v>887997.15</v>
      </c>
      <c r="H48" s="277">
        <f t="shared" si="21"/>
        <v>0</v>
      </c>
      <c r="I48" s="277">
        <f t="shared" si="21"/>
        <v>887997.15</v>
      </c>
      <c r="J48" s="277">
        <f t="shared" si="21"/>
        <v>887997.15</v>
      </c>
      <c r="K48" s="277">
        <f>+SUM(K21:K47)</f>
        <v>550910.74</v>
      </c>
      <c r="L48" s="277">
        <f t="shared" si="21"/>
        <v>1006721.6247999999</v>
      </c>
      <c r="M48" s="277">
        <f t="shared" si="21"/>
        <v>-118724.47479999985</v>
      </c>
      <c r="N48" s="278">
        <f t="shared" si="8"/>
        <v>0.61187118987732936</v>
      </c>
      <c r="O48" s="277">
        <f>+SUM(O21:O47)</f>
        <v>258208.39</v>
      </c>
      <c r="P48" s="279">
        <f>+SUM(P21:P40)</f>
        <v>-836385.98479999986</v>
      </c>
      <c r="Q48" s="279"/>
      <c r="R48" s="280"/>
      <c r="S48" s="280"/>
      <c r="T48" s="277"/>
    </row>
    <row r="49" spans="2:21" x14ac:dyDescent="0.2">
      <c r="J49" s="221"/>
      <c r="K49" s="221"/>
      <c r="L49" s="221"/>
    </row>
    <row r="52" spans="2:21" s="224" customFormat="1" ht="16" thickBot="1" x14ac:dyDescent="0.25">
      <c r="B52" s="222"/>
      <c r="C52" s="222" t="str">
        <f t="shared" ref="C52:Q52" si="22">+C20</f>
        <v>Cliente</v>
      </c>
      <c r="D52" s="222" t="str">
        <f t="shared" si="22"/>
        <v>Nombre Proyecto</v>
      </c>
      <c r="E52" s="222" t="str">
        <f t="shared" si="22"/>
        <v>Director</v>
      </c>
      <c r="F52" s="222" t="str">
        <f t="shared" si="22"/>
        <v>Ing Principal</v>
      </c>
      <c r="G52" s="222" t="str">
        <f t="shared" si="22"/>
        <v>Real</v>
      </c>
      <c r="H52" s="222" t="str">
        <f t="shared" si="22"/>
        <v>Otros</v>
      </c>
      <c r="I52" s="222">
        <f t="shared" si="22"/>
        <v>0</v>
      </c>
      <c r="J52" s="222" t="str">
        <f t="shared" si="22"/>
        <v>EDP Real</v>
      </c>
      <c r="K52" s="222" t="str">
        <f t="shared" si="22"/>
        <v>EDP POM</v>
      </c>
      <c r="L52" s="222" t="str">
        <f t="shared" si="22"/>
        <v>EDP Curva S</v>
      </c>
      <c r="M52" s="222" t="str">
        <f t="shared" si="22"/>
        <v>Dif. USD</v>
      </c>
      <c r="N52" s="222" t="str">
        <f t="shared" si="22"/>
        <v>Var. %</v>
      </c>
      <c r="O52" s="222" t="str">
        <f t="shared" si="22"/>
        <v>Saldo Actual</v>
      </c>
      <c r="P52" s="222" t="str">
        <f t="shared" si="22"/>
        <v>Saldo Proy</v>
      </c>
      <c r="Q52" s="222" t="str">
        <f t="shared" si="22"/>
        <v>Comentarios</v>
      </c>
      <c r="R52" s="222" t="s">
        <v>65</v>
      </c>
      <c r="S52" s="222" t="s">
        <v>66</v>
      </c>
      <c r="T52" s="222" t="s">
        <v>52</v>
      </c>
    </row>
    <row r="53" spans="2:21" s="255" customFormat="1" hidden="1" x14ac:dyDescent="0.2">
      <c r="B53" s="255" t="s">
        <v>2</v>
      </c>
      <c r="C53" s="255" t="s">
        <v>95</v>
      </c>
      <c r="D53" s="255" t="s">
        <v>86</v>
      </c>
      <c r="E53" s="255" t="str">
        <f>+_xlfn.XLOOKUP(B53,'POM 2024'!B:B,'POM 2024'!F:F,"!",0,1)</f>
        <v>Alex Figueroa</v>
      </c>
      <c r="F53" s="255" t="str">
        <f>+_xlfn.XLOOKUP(B53,'POM 2024'!B:B,'POM 2024'!H:H,"!",0,1)</f>
        <v>Felipe Lira</v>
      </c>
      <c r="G53" s="256">
        <f t="shared" ref="G53:G56" si="23">+J53</f>
        <v>0</v>
      </c>
      <c r="H53" s="256">
        <v>0</v>
      </c>
      <c r="I53" s="256">
        <f t="shared" ref="I53:I56" si="24">+SUM(G53:H53)</f>
        <v>0</v>
      </c>
      <c r="J53" s="257">
        <f>VLOOKUP(B53,'POM 2024'!$B$2:$BI$64,48,FALSE)</f>
        <v>0</v>
      </c>
      <c r="K53" s="259">
        <f>+_xlfn.XLOOKUP($B53,'POM 2024'!B:B,'POM 2024'!AP:AP,"!",0,1)</f>
        <v>0</v>
      </c>
      <c r="L53" s="258">
        <f>+_xlfn.XLOOKUP($B53,'POM 2024'!B:B,'POM 2024'!AU:AU,"!",0,1)</f>
        <v>0</v>
      </c>
      <c r="M53" s="259">
        <f t="shared" ref="M53:M56" si="25">+J53-L53</f>
        <v>0</v>
      </c>
      <c r="N53" s="260">
        <f t="shared" ref="N53:N57" si="26">+IFERROR(((J53-K53)/K53),0)</f>
        <v>0</v>
      </c>
      <c r="O53" s="261">
        <f>IF(_xlfn.XLOOKUP($B53,'POM 2024'!B:B,'POM 2024'!L:L,"!",0,1)&lt;0,0,_xlfn.XLOOKUP($B53,'POM 2024'!B:B,'POM 2024'!L:L,"!",0,1))</f>
        <v>0</v>
      </c>
      <c r="P53" s="262">
        <f>+O53-L53</f>
        <v>0</v>
      </c>
      <c r="Q53" s="262"/>
      <c r="R53" s="263" t="s">
        <v>3</v>
      </c>
      <c r="S53" s="263" t="s">
        <v>98</v>
      </c>
      <c r="T53" s="259" t="s">
        <v>56</v>
      </c>
      <c r="U53" s="255" t="b">
        <f t="shared" ref="U53:U56" si="27">+I53=J53</f>
        <v>1</v>
      </c>
    </row>
    <row r="54" spans="2:21" s="255" customFormat="1" hidden="1" x14ac:dyDescent="0.2">
      <c r="B54" s="255" t="s">
        <v>2</v>
      </c>
      <c r="C54" s="255" t="s">
        <v>95</v>
      </c>
      <c r="D54" s="255" t="s">
        <v>87</v>
      </c>
      <c r="E54" s="255" t="str">
        <f>+_xlfn.XLOOKUP(B54,'POM 2024'!B:B,'POM 2024'!F:F,"!",0,1)</f>
        <v>Alex Figueroa</v>
      </c>
      <c r="F54" s="255" t="str">
        <f>+_xlfn.XLOOKUP(B54,'POM 2024'!B:B,'POM 2024'!H:H,"!",0,1)</f>
        <v>Felipe Lira</v>
      </c>
      <c r="G54" s="256">
        <f t="shared" si="23"/>
        <v>0</v>
      </c>
      <c r="H54" s="256">
        <v>0</v>
      </c>
      <c r="I54" s="256">
        <f>+SUM(G54:H54)</f>
        <v>0</v>
      </c>
      <c r="J54" s="257">
        <f>'POM 2024'!AT22</f>
        <v>0</v>
      </c>
      <c r="K54" s="259">
        <f>+_xlfn.XLOOKUP($B54,'POM 2024'!B:B,'POM 2024'!AP:AP,"!",0,1)</f>
        <v>0</v>
      </c>
      <c r="L54" s="258">
        <v>0</v>
      </c>
      <c r="M54" s="259">
        <f t="shared" si="25"/>
        <v>0</v>
      </c>
      <c r="N54" s="260">
        <f t="shared" si="26"/>
        <v>0</v>
      </c>
      <c r="O54" s="261">
        <f>IF(_xlfn.XLOOKUP($B54,'POM 2024'!B:B,'POM 2024'!L:L,"!",0,-1)&lt;0,0,_xlfn.XLOOKUP($B54,'POM 2024'!B:B,'POM 2024'!L:L,"!",0,-1))</f>
        <v>0</v>
      </c>
      <c r="P54" s="262">
        <f>+O54-L54</f>
        <v>0</v>
      </c>
      <c r="Q54" s="262"/>
      <c r="R54" s="263" t="s">
        <v>3</v>
      </c>
      <c r="S54" s="263" t="s">
        <v>98</v>
      </c>
      <c r="T54" s="259" t="s">
        <v>56</v>
      </c>
      <c r="U54" s="255" t="b">
        <f t="shared" si="27"/>
        <v>1</v>
      </c>
    </row>
    <row r="55" spans="2:21" s="255" customFormat="1" hidden="1" x14ac:dyDescent="0.2">
      <c r="B55" s="255" t="s">
        <v>154</v>
      </c>
      <c r="C55" s="255" t="s">
        <v>96</v>
      </c>
      <c r="D55" s="255" t="s">
        <v>82</v>
      </c>
      <c r="E55" s="255" t="str">
        <f>+_xlfn.XLOOKUP(B55,'POM 2024'!B:B,'POM 2024'!F:F,"!",0,1)</f>
        <v>Mauricio Melendez</v>
      </c>
      <c r="F55" s="255" t="str">
        <f>+_xlfn.XLOOKUP(B55,'POM 2024'!B:B,'POM 2024'!H:H,"!",0,1)</f>
        <v>Felipe Lira</v>
      </c>
      <c r="G55" s="256">
        <f t="shared" si="23"/>
        <v>13837</v>
      </c>
      <c r="H55" s="256">
        <v>0</v>
      </c>
      <c r="I55" s="256">
        <f t="shared" si="24"/>
        <v>13837</v>
      </c>
      <c r="J55" s="257">
        <f>VLOOKUP(B55,'POM 2024'!$B$2:$BI$64,48,FALSE)</f>
        <v>13837</v>
      </c>
      <c r="K55" s="259">
        <f>+_xlfn.XLOOKUP($B55,'POM 2024'!B:B,'POM 2024'!AP:AP,"!",0,1)</f>
        <v>0</v>
      </c>
      <c r="L55" s="258">
        <f>+_xlfn.XLOOKUP($B55,'POM 2024'!B:B,'POM 2024'!AU:AU,"!",0,1)</f>
        <v>0</v>
      </c>
      <c r="M55" s="259">
        <f t="shared" si="25"/>
        <v>13837</v>
      </c>
      <c r="N55" s="260">
        <f t="shared" si="26"/>
        <v>0</v>
      </c>
      <c r="O55" s="261">
        <f>IF(_xlfn.XLOOKUP($B55,'POM 2024'!B:B,'POM 2024'!L:L,"!",0,1)&lt;0,0,_xlfn.XLOOKUP($B55,'POM 2024'!B:B,'POM 2024'!L:L,"!",0,1))</f>
        <v>0</v>
      </c>
      <c r="P55" s="262">
        <f>+O55-L55</f>
        <v>0</v>
      </c>
      <c r="Q55" s="262"/>
      <c r="R55" s="263" t="s">
        <v>3</v>
      </c>
      <c r="S55" s="263" t="s">
        <v>98</v>
      </c>
      <c r="T55" s="259" t="s">
        <v>56</v>
      </c>
      <c r="U55" s="255" t="b">
        <f t="shared" si="27"/>
        <v>1</v>
      </c>
    </row>
    <row r="56" spans="2:21" s="255" customFormat="1" hidden="1" x14ac:dyDescent="0.2">
      <c r="B56" s="255" t="s">
        <v>12</v>
      </c>
      <c r="C56" s="255" t="str">
        <f>+_xlfn.XLOOKUP(B56,'[1]Proyectos (NO FILTRAR)'!$F:$F,'[1]Proyectos (NO FILTRAR)'!$I:$I)</f>
        <v>Nexa</v>
      </c>
      <c r="D56" s="255" t="s">
        <v>83</v>
      </c>
      <c r="E56" s="255" t="str">
        <f>+_xlfn.XLOOKUP(B56,'POM 2024'!B:B,'POM 2024'!F:F,"!",0,1)</f>
        <v>Matias Fuentes</v>
      </c>
      <c r="F56" s="255" t="str">
        <f>+_xlfn.XLOOKUP(B56,'POM 2024'!B:B,'POM 2024'!H:H,"!",0,1)</f>
        <v>Andres Budini</v>
      </c>
      <c r="G56" s="256">
        <f t="shared" si="23"/>
        <v>43869</v>
      </c>
      <c r="H56" s="256">
        <v>0</v>
      </c>
      <c r="I56" s="256">
        <f t="shared" si="24"/>
        <v>43869</v>
      </c>
      <c r="J56" s="257">
        <f>VLOOKUP(B56,'POM 2024'!$B$2:$BI$64,48,FALSE)</f>
        <v>43869</v>
      </c>
      <c r="K56" s="259">
        <f>+_xlfn.XLOOKUP($B56,'POM 2024'!B:B,'POM 2024'!AP:AP,"!",0,1)</f>
        <v>0</v>
      </c>
      <c r="L56" s="258">
        <f>+_xlfn.XLOOKUP($B56,'POM 2024'!B:B,'POM 2024'!AU:AU,"!",0,1)</f>
        <v>47364.081632653048</v>
      </c>
      <c r="M56" s="259">
        <f t="shared" si="25"/>
        <v>-3495.0816326530476</v>
      </c>
      <c r="N56" s="260">
        <f t="shared" si="26"/>
        <v>0</v>
      </c>
      <c r="O56" s="261">
        <f>IF(_xlfn.XLOOKUP($B56,'POM 2024'!B:B,'POM 2024'!L:L,"!",0,1)&lt;0,0,_xlfn.XLOOKUP($B56,'POM 2024'!B:B,'POM 2024'!L:L,"!",0,1))</f>
        <v>3495.0816326530476</v>
      </c>
      <c r="P56" s="262">
        <f>+O56-L56</f>
        <v>-43869</v>
      </c>
      <c r="Q56" s="262"/>
      <c r="R56" s="263" t="s">
        <v>3</v>
      </c>
      <c r="S56" s="263" t="s">
        <v>98</v>
      </c>
      <c r="T56" s="259" t="s">
        <v>56</v>
      </c>
      <c r="U56" s="255" t="b">
        <f t="shared" si="27"/>
        <v>1</v>
      </c>
    </row>
    <row r="57" spans="2:21" s="281" customFormat="1" ht="15" customHeight="1" x14ac:dyDescent="0.2">
      <c r="B57" s="276"/>
      <c r="C57" s="276"/>
      <c r="D57" s="276"/>
      <c r="E57" s="276"/>
      <c r="F57" s="276"/>
      <c r="G57" s="277">
        <f t="shared" ref="G57:M57" si="28">+SUM(G53:G56)</f>
        <v>57706</v>
      </c>
      <c r="H57" s="277">
        <f t="shared" si="28"/>
        <v>0</v>
      </c>
      <c r="I57" s="277">
        <f t="shared" si="28"/>
        <v>57706</v>
      </c>
      <c r="J57" s="277">
        <f t="shared" si="28"/>
        <v>57706</v>
      </c>
      <c r="K57" s="277">
        <f t="shared" si="28"/>
        <v>0</v>
      </c>
      <c r="L57" s="277">
        <f t="shared" si="28"/>
        <v>47364.081632653048</v>
      </c>
      <c r="M57" s="277">
        <f t="shared" si="28"/>
        <v>10341.918367346952</v>
      </c>
      <c r="N57" s="278">
        <f t="shared" si="26"/>
        <v>0</v>
      </c>
      <c r="O57" s="279">
        <f>+SUM(O53:O56)</f>
        <v>3495.0816326530476</v>
      </c>
      <c r="P57" s="279">
        <f>+SUM(P53:P56)</f>
        <v>-43869</v>
      </c>
      <c r="Q57" s="279"/>
      <c r="R57" s="280"/>
      <c r="S57" s="280"/>
      <c r="T57" s="277"/>
    </row>
    <row r="58" spans="2:21" x14ac:dyDescent="0.2">
      <c r="J58" s="282"/>
      <c r="K58" s="282"/>
      <c r="T58" s="252"/>
    </row>
    <row r="59" spans="2:21" x14ac:dyDescent="0.2">
      <c r="J59" s="282"/>
      <c r="K59" s="282"/>
      <c r="T59" s="252"/>
    </row>
    <row r="60" spans="2:21" x14ac:dyDescent="0.2">
      <c r="J60" s="282"/>
      <c r="K60" s="282"/>
      <c r="T60" s="252"/>
    </row>
    <row r="61" spans="2:21" s="224" customFormat="1" ht="15" customHeight="1" thickBot="1" x14ac:dyDescent="0.25">
      <c r="B61" s="222"/>
      <c r="C61" s="222" t="str">
        <f t="shared" ref="C61:Q61" si="29">+C52</f>
        <v>Cliente</v>
      </c>
      <c r="D61" s="222" t="str">
        <f t="shared" si="29"/>
        <v>Nombre Proyecto</v>
      </c>
      <c r="E61" s="222" t="str">
        <f t="shared" si="29"/>
        <v>Director</v>
      </c>
      <c r="F61" s="222" t="str">
        <f t="shared" si="29"/>
        <v>Ing Principal</v>
      </c>
      <c r="G61" s="222" t="str">
        <f t="shared" si="29"/>
        <v>Real</v>
      </c>
      <c r="H61" s="222" t="str">
        <f t="shared" si="29"/>
        <v>Otros</v>
      </c>
      <c r="I61" s="222">
        <f t="shared" si="29"/>
        <v>0</v>
      </c>
      <c r="J61" s="222" t="str">
        <f t="shared" si="29"/>
        <v>EDP Real</v>
      </c>
      <c r="K61" s="222" t="str">
        <f t="shared" si="29"/>
        <v>EDP POM</v>
      </c>
      <c r="L61" s="222" t="str">
        <f t="shared" si="29"/>
        <v>EDP Curva S</v>
      </c>
      <c r="M61" s="222" t="str">
        <f t="shared" si="29"/>
        <v>Dif. USD</v>
      </c>
      <c r="N61" s="222" t="str">
        <f t="shared" si="29"/>
        <v>Var. %</v>
      </c>
      <c r="O61" s="222" t="str">
        <f t="shared" si="29"/>
        <v>Saldo Actual</v>
      </c>
      <c r="P61" s="222" t="str">
        <f t="shared" si="29"/>
        <v>Saldo Proy</v>
      </c>
      <c r="Q61" s="222" t="str">
        <f t="shared" si="29"/>
        <v>Comentarios</v>
      </c>
      <c r="R61" s="222" t="s">
        <v>65</v>
      </c>
      <c r="S61" s="222" t="s">
        <v>66</v>
      </c>
      <c r="T61" s="222" t="s">
        <v>52</v>
      </c>
    </row>
    <row r="62" spans="2:21" x14ac:dyDescent="0.2">
      <c r="B62" s="220" t="s">
        <v>19</v>
      </c>
      <c r="C62" s="220" t="str">
        <f>+_xlfn.XLOOKUP(B62,'[1]Proyectos (NO FILTRAR)'!$F:$F,'[1]Proyectos (NO FILTRAR)'!$I:$I)</f>
        <v>CMP</v>
      </c>
      <c r="D62" s="220" t="s">
        <v>88</v>
      </c>
      <c r="E62" s="220">
        <f>+_xlfn.XLOOKUP(B62,'POM 2024'!B:B,'POM 2024'!F:F,"!",0,1)</f>
        <v>0</v>
      </c>
      <c r="F62" s="220" t="str">
        <f>+_xlfn.XLOOKUP(B62,'POM 2024'!B:B,'POM 2024'!H:H,"!",0,1)</f>
        <v>Emilio Sánchez</v>
      </c>
      <c r="G62" s="243">
        <f t="shared" ref="G62:G65" si="30">+J62</f>
        <v>0</v>
      </c>
      <c r="H62" s="243">
        <f>+J62</f>
        <v>0</v>
      </c>
      <c r="I62" s="243">
        <f>+SUM(G62:H62)</f>
        <v>0</v>
      </c>
      <c r="J62" s="249">
        <f>VLOOKUP(B62,'POM 2024'!$B$2:$BI$64,48,FALSE)</f>
        <v>0</v>
      </c>
      <c r="K62" s="252">
        <f>+_xlfn.XLOOKUP($B62,'POM 2024'!B:B,'POM 2024'!AV:AV,"!",0,1)</f>
        <v>0</v>
      </c>
      <c r="L62" s="251">
        <f>+_xlfn.XLOOKUP($B62,'POM 2024'!B:B,'POM 2024'!AU:AU,"!",0,1)</f>
        <v>0</v>
      </c>
      <c r="M62" s="252">
        <f t="shared" ref="M62" si="31">+J62-L62</f>
        <v>0</v>
      </c>
      <c r="N62" s="247">
        <f t="shared" ref="N62" si="32">+IFERROR(((J62-K62)/K62),0)</f>
        <v>0</v>
      </c>
      <c r="O62" s="245">
        <f>IF(_xlfn.XLOOKUP($B62,'POM 2024'!B:B,'POM 2024'!L:L,"!",0,1)&lt;0,0,_xlfn.XLOOKUP($B62,'POM 2024'!B:B,'POM 2024'!L:L,"!",0,1))</f>
        <v>6045.9799999999814</v>
      </c>
      <c r="P62" s="245">
        <f>+O62-L62</f>
        <v>6045.9799999999814</v>
      </c>
      <c r="Q62" s="245"/>
      <c r="R62" s="252" t="s">
        <v>5</v>
      </c>
      <c r="S62" s="252" t="s">
        <v>67</v>
      </c>
      <c r="T62" s="254" t="s">
        <v>53</v>
      </c>
      <c r="U62" s="220" t="b">
        <f>+I62=J62</f>
        <v>1</v>
      </c>
    </row>
    <row r="63" spans="2:21" s="255" customFormat="1" hidden="1" x14ac:dyDescent="0.2">
      <c r="B63" s="255" t="s">
        <v>185</v>
      </c>
      <c r="C63" s="255" t="str">
        <f>+_xlfn.XLOOKUP(B63,'[1]Proyectos (NO FILTRAR)'!$F:$F,'[1]Proyectos (NO FILTRAR)'!$I:$I)</f>
        <v>Boston Consulting</v>
      </c>
      <c r="D63" s="255" t="s">
        <v>188</v>
      </c>
      <c r="E63" s="255" t="str">
        <f>+_xlfn.XLOOKUP(B63,'POM 2024'!B:B,'POM 2024'!F:F,"!",0,1)</f>
        <v>Claudio Hernández</v>
      </c>
      <c r="F63" s="255" t="str">
        <f>+_xlfn.XLOOKUP(B63,'POM 2024'!B:B,'POM 2024'!H:H,"!",0,1)</f>
        <v>Claudio Hernández</v>
      </c>
      <c r="G63" s="256">
        <f t="shared" si="30"/>
        <v>40000</v>
      </c>
      <c r="H63" s="256">
        <v>0</v>
      </c>
      <c r="I63" s="256">
        <f t="shared" ref="I63:I65" si="33">+SUM(G63:H63)</f>
        <v>40000</v>
      </c>
      <c r="J63" s="257">
        <f>VLOOKUP(B63,'POM 2024'!$B$2:$BI$64,48,FALSE)</f>
        <v>40000</v>
      </c>
      <c r="K63" s="259">
        <f>+_xlfn.XLOOKUP($B63,'POM 2024'!B:B,'POM 2024'!AP:AP,"!",0,1)</f>
        <v>0</v>
      </c>
      <c r="L63" s="258">
        <f>+_xlfn.XLOOKUP($B63,'POM 2024'!B:B,'POM 2024'!AU:AU,"!",0,1)</f>
        <v>0</v>
      </c>
      <c r="M63" s="259">
        <f t="shared" ref="M63:M66" si="34">+J63-K63</f>
        <v>40000</v>
      </c>
      <c r="N63" s="260">
        <f t="shared" ref="N63:N66" si="35">+IFERROR(((J63-K63)/K63),0)</f>
        <v>0</v>
      </c>
      <c r="O63" s="261">
        <f>IF(_xlfn.XLOOKUP($B63,'POM 2024'!B:B,'POM 2024'!L:L,"!",0,1)&lt;0,0,_xlfn.XLOOKUP($B63,'POM 2024'!B:B,'POM 2024'!L:L,"!",0,1))</f>
        <v>0</v>
      </c>
      <c r="P63" s="262">
        <f t="shared" ref="P63:P66" si="36">+O63-L63</f>
        <v>0</v>
      </c>
      <c r="Q63" s="262"/>
      <c r="R63" s="263"/>
      <c r="S63" s="263" t="s">
        <v>67</v>
      </c>
      <c r="T63" s="259" t="s">
        <v>53</v>
      </c>
      <c r="U63" s="255" t="b">
        <f t="shared" ref="U63:U65" si="37">+I63=J63</f>
        <v>1</v>
      </c>
    </row>
    <row r="64" spans="2:21" s="255" customFormat="1" hidden="1" x14ac:dyDescent="0.2">
      <c r="B64" s="255" t="s">
        <v>186</v>
      </c>
      <c r="C64" s="255" t="str">
        <f>+_xlfn.XLOOKUP(B64,'[1]Proyectos (NO FILTRAR)'!$F:$F,'[1]Proyectos (NO FILTRAR)'!$I:$I)</f>
        <v>BHP</v>
      </c>
      <c r="D64" s="255" t="s">
        <v>189</v>
      </c>
      <c r="E64" s="255" t="str">
        <f>+_xlfn.XLOOKUP(B64,'POM 2024'!B:B,'POM 2024'!F:F,"!",0,1)</f>
        <v>-</v>
      </c>
      <c r="F64" s="255" t="str">
        <f>+_xlfn.XLOOKUP(B64,'POM 2024'!B:B,'POM 2024'!H:H,"!",0,1)</f>
        <v>Felipe Matamoros</v>
      </c>
      <c r="G64" s="256">
        <f t="shared" si="30"/>
        <v>0</v>
      </c>
      <c r="H64" s="256">
        <v>0</v>
      </c>
      <c r="I64" s="256">
        <f t="shared" si="33"/>
        <v>0</v>
      </c>
      <c r="J64" s="257">
        <f>VLOOKUP(B64,'POM 2024'!$B$2:$BI$64,48,FALSE)</f>
        <v>0</v>
      </c>
      <c r="K64" s="259">
        <f>+_xlfn.XLOOKUP($B64,'POM 2024'!B:B,'POM 2024'!AP:AP,"!",0,1)</f>
        <v>0</v>
      </c>
      <c r="L64" s="258">
        <f>+_xlfn.XLOOKUP($B64,'POM 2024'!B:B,'POM 2024'!AU:AU,"!",0,1)</f>
        <v>0</v>
      </c>
      <c r="M64" s="259">
        <f t="shared" si="34"/>
        <v>0</v>
      </c>
      <c r="N64" s="260">
        <f t="shared" si="35"/>
        <v>0</v>
      </c>
      <c r="O64" s="261">
        <f>IF(_xlfn.XLOOKUP($B64,'POM 2024'!B:B,'POM 2024'!L:L,"!",0,1)&lt;0,0,_xlfn.XLOOKUP($B64,'POM 2024'!B:B,'POM 2024'!L:L,"!",0,1))</f>
        <v>0</v>
      </c>
      <c r="P64" s="262">
        <f t="shared" si="36"/>
        <v>0</v>
      </c>
      <c r="Q64" s="262"/>
      <c r="R64" s="263"/>
      <c r="S64" s="263" t="s">
        <v>67</v>
      </c>
      <c r="T64" s="259" t="s">
        <v>53</v>
      </c>
      <c r="U64" s="255" t="b">
        <f t="shared" si="37"/>
        <v>1</v>
      </c>
    </row>
    <row r="65" spans="2:21" s="255" customFormat="1" hidden="1" x14ac:dyDescent="0.2">
      <c r="B65" s="255" t="s">
        <v>187</v>
      </c>
      <c r="C65" s="255" t="str">
        <f>+_xlfn.XLOOKUP(B65,'[1]Proyectos (NO FILTRAR)'!$F:$F,'[1]Proyectos (NO FILTRAR)'!$I:$I)</f>
        <v>Minsur</v>
      </c>
      <c r="D65" s="255" t="s">
        <v>190</v>
      </c>
      <c r="E65" s="255" t="str">
        <f>+_xlfn.XLOOKUP(B65,'POM 2024'!B:B,'POM 2024'!F:F,"!",0,1)</f>
        <v>Claudio Hernández</v>
      </c>
      <c r="F65" s="255" t="str">
        <f>+_xlfn.XLOOKUP(B65,'POM 2024'!B:B,'POM 2024'!H:H,"!",0,1)</f>
        <v>TBD</v>
      </c>
      <c r="G65" s="256">
        <f t="shared" si="30"/>
        <v>0</v>
      </c>
      <c r="H65" s="256">
        <v>0</v>
      </c>
      <c r="I65" s="256">
        <f t="shared" si="33"/>
        <v>0</v>
      </c>
      <c r="J65" s="257">
        <f>VLOOKUP(B65,'POM 2024'!$B$2:$BI$64,48,FALSE)</f>
        <v>0</v>
      </c>
      <c r="K65" s="259">
        <f>+_xlfn.XLOOKUP($B65,'POM 2024'!B:B,'POM 2024'!AP:AP,"!",0,1)</f>
        <v>0</v>
      </c>
      <c r="L65" s="258">
        <f>+_xlfn.XLOOKUP($B65,'POM 2024'!B:B,'POM 2024'!AU:AU,"!",0,1)</f>
        <v>0</v>
      </c>
      <c r="M65" s="259">
        <f t="shared" si="34"/>
        <v>0</v>
      </c>
      <c r="N65" s="260">
        <f t="shared" si="35"/>
        <v>0</v>
      </c>
      <c r="O65" s="261">
        <f>IF(_xlfn.XLOOKUP($B65,'POM 2024'!B:B,'POM 2024'!L:L,"!",0,1)&lt;0,0,_xlfn.XLOOKUP($B65,'POM 2024'!B:B,'POM 2024'!L:L,"!",0,1))</f>
        <v>0</v>
      </c>
      <c r="P65" s="262">
        <f t="shared" si="36"/>
        <v>0</v>
      </c>
      <c r="Q65" s="262"/>
      <c r="R65" s="263"/>
      <c r="S65" s="263" t="s">
        <v>67</v>
      </c>
      <c r="T65" s="259" t="s">
        <v>53</v>
      </c>
      <c r="U65" s="255" t="b">
        <f t="shared" si="37"/>
        <v>1</v>
      </c>
    </row>
    <row r="66" spans="2:21" s="255" customFormat="1" hidden="1" x14ac:dyDescent="0.2">
      <c r="B66" s="255" t="s">
        <v>13</v>
      </c>
      <c r="C66" s="255" t="str">
        <f>+_xlfn.XLOOKUP(B66,'[1]Proyectos (NO FILTRAR)'!$F:$F,'[1]Proyectos (NO FILTRAR)'!$I:$I)</f>
        <v>CMP</v>
      </c>
      <c r="D66" s="255" t="s">
        <v>89</v>
      </c>
      <c r="E66" s="255" t="e">
        <f>+_xlfn.XLOOKUP(B66,#REF!,#REF!,"!",0,1)</f>
        <v>#REF!</v>
      </c>
      <c r="F66" s="255" t="e">
        <f>+_xlfn.XLOOKUP(B66,#REF!,#REF!,"!",0,1)</f>
        <v>#REF!</v>
      </c>
      <c r="G66" s="256">
        <v>0</v>
      </c>
      <c r="H66" s="256">
        <f>+J66</f>
        <v>0</v>
      </c>
      <c r="I66" s="256">
        <f>+SUM(G66:H66)</f>
        <v>0</v>
      </c>
      <c r="J66" s="257">
        <f>VLOOKUP(B66,'POM 2024'!$B$2:$BI$59,42,FALSE)</f>
        <v>0</v>
      </c>
      <c r="K66" s="259">
        <f>+_xlfn.XLOOKUP($B66,'POM 2024'!B:B,'POM 2024'!AP:AP,"!",0,1)</f>
        <v>0</v>
      </c>
      <c r="L66" s="258">
        <f>+_xlfn.XLOOKUP($B66,'POM 2024'!B:B,'POM 2024'!AO:AO,"!",0,1)</f>
        <v>0</v>
      </c>
      <c r="M66" s="259">
        <f t="shared" si="34"/>
        <v>0</v>
      </c>
      <c r="N66" s="260">
        <f t="shared" si="35"/>
        <v>0</v>
      </c>
      <c r="O66" s="261">
        <f>IF(_xlfn.XLOOKUP($B66,'POM 2024'!B:B,'POM 2024'!L:L,"!",0,1)&lt;0,0,_xlfn.XLOOKUP($B66,'POM 2024'!B:B,'POM 2024'!L:L,"!",0,1))</f>
        <v>0</v>
      </c>
      <c r="P66" s="262">
        <f t="shared" si="36"/>
        <v>0</v>
      </c>
      <c r="Q66" s="262" t="s">
        <v>76</v>
      </c>
      <c r="R66" s="263" t="s">
        <v>5</v>
      </c>
      <c r="S66" s="263" t="s">
        <v>67</v>
      </c>
      <c r="T66" s="259" t="s">
        <v>53</v>
      </c>
      <c r="U66" s="255" t="b">
        <f>+I66=J66</f>
        <v>1</v>
      </c>
    </row>
    <row r="67" spans="2:21" s="281" customFormat="1" ht="15" customHeight="1" x14ac:dyDescent="0.2">
      <c r="B67" s="276"/>
      <c r="C67" s="276"/>
      <c r="D67" s="276"/>
      <c r="E67" s="276"/>
      <c r="F67" s="276"/>
      <c r="G67" s="277">
        <f>+SUM(G62:G66)</f>
        <v>40000</v>
      </c>
      <c r="H67" s="277">
        <f>+SUM(H62:H66)</f>
        <v>0</v>
      </c>
      <c r="I67" s="277">
        <f t="shared" ref="I67:J67" si="38">+SUM(I62:I66)</f>
        <v>40000</v>
      </c>
      <c r="J67" s="277">
        <f t="shared" si="38"/>
        <v>40000</v>
      </c>
      <c r="K67" s="277">
        <f>+SUM(K62:K66)</f>
        <v>0</v>
      </c>
      <c r="L67" s="277">
        <f>+SUM(L62:L66)</f>
        <v>0</v>
      </c>
      <c r="M67" s="277">
        <f>+SUM(M62:M66)</f>
        <v>40000</v>
      </c>
      <c r="N67" s="278">
        <f>+IFERROR(((J67-K67)/K67),0)</f>
        <v>0</v>
      </c>
      <c r="O67" s="279">
        <f>+SUM(O62:O66)</f>
        <v>6045.9799999999814</v>
      </c>
      <c r="P67" s="279">
        <f>+SUM(P62:P66)</f>
        <v>6045.9799999999814</v>
      </c>
      <c r="Q67" s="279"/>
      <c r="R67" s="280"/>
      <c r="S67" s="280"/>
      <c r="T67" s="277"/>
    </row>
    <row r="68" spans="2:21" x14ac:dyDescent="0.2">
      <c r="L68" s="274"/>
      <c r="M68" s="274"/>
      <c r="N68" s="283"/>
      <c r="O68" s="274"/>
      <c r="P68" s="274"/>
      <c r="Q68" s="274"/>
      <c r="R68" s="274"/>
      <c r="S68" s="274"/>
    </row>
    <row r="69" spans="2:21" x14ac:dyDescent="0.2">
      <c r="G69" s="221"/>
    </row>
    <row r="71" spans="2:21" ht="16" thickBot="1" x14ac:dyDescent="0.25">
      <c r="C71" s="222" t="str">
        <f t="shared" ref="C71:O71" si="39">+C61</f>
        <v>Cliente</v>
      </c>
      <c r="D71" s="222" t="str">
        <f t="shared" si="39"/>
        <v>Nombre Proyecto</v>
      </c>
      <c r="E71" s="222" t="str">
        <f t="shared" si="39"/>
        <v>Director</v>
      </c>
      <c r="F71" s="222" t="str">
        <f t="shared" si="39"/>
        <v>Ing Principal</v>
      </c>
      <c r="G71" s="222" t="str">
        <f t="shared" si="39"/>
        <v>Real</v>
      </c>
      <c r="H71" s="222" t="str">
        <f t="shared" si="39"/>
        <v>Otros</v>
      </c>
      <c r="I71" s="222">
        <f t="shared" si="39"/>
        <v>0</v>
      </c>
      <c r="J71" s="222" t="str">
        <f t="shared" si="39"/>
        <v>EDP Real</v>
      </c>
      <c r="K71" s="222" t="str">
        <f t="shared" si="39"/>
        <v>EDP POM</v>
      </c>
      <c r="L71" s="222" t="str">
        <f t="shared" si="39"/>
        <v>EDP Curva S</v>
      </c>
      <c r="M71" s="222" t="str">
        <f t="shared" si="39"/>
        <v>Dif. USD</v>
      </c>
      <c r="N71" s="222" t="str">
        <f t="shared" si="39"/>
        <v>Var. %</v>
      </c>
      <c r="O71" s="222" t="str">
        <f t="shared" si="39"/>
        <v>Saldo Actual</v>
      </c>
      <c r="P71" s="222" t="str">
        <f>+P61</f>
        <v>Saldo Proy</v>
      </c>
      <c r="Q71" s="222" t="str">
        <f>+Q52</f>
        <v>Comentarios</v>
      </c>
      <c r="R71" s="222" t="s">
        <v>65</v>
      </c>
      <c r="S71" s="222" t="s">
        <v>66</v>
      </c>
      <c r="T71" s="222" t="s">
        <v>52</v>
      </c>
      <c r="U71" s="224"/>
    </row>
    <row r="72" spans="2:21" s="255" customFormat="1" ht="25.25" hidden="1" customHeight="1" x14ac:dyDescent="0.2">
      <c r="B72" s="255" t="s">
        <v>163</v>
      </c>
      <c r="C72" s="255" t="str">
        <f>+_xlfn.XLOOKUP(B72,'[1]Proyectos (NO FILTRAR)'!$F:$F,'[1]Proyectos (NO FILTRAR)'!$I:$I)</f>
        <v>Banco Santander</v>
      </c>
      <c r="D72" s="255" t="s">
        <v>172</v>
      </c>
      <c r="E72" s="255" t="str">
        <f>+_xlfn.XLOOKUP(B72,'POM 2024'!B:B,'POM 2024'!F:F,"!",0,1)</f>
        <v>Emilio Sánchez</v>
      </c>
      <c r="F72" s="255" t="str">
        <f>+_xlfn.XLOOKUP(B72,'POM 2024'!B:B,'POM 2024'!H:H,"!",0,1)</f>
        <v>TBD</v>
      </c>
      <c r="G72" s="256">
        <f t="shared" ref="G72:G81" si="40">+J72</f>
        <v>0</v>
      </c>
      <c r="H72" s="256">
        <v>0</v>
      </c>
      <c r="I72" s="256">
        <f t="shared" ref="I72:I81" si="41">+SUM(G72:H72)</f>
        <v>0</v>
      </c>
      <c r="J72" s="257">
        <f>VLOOKUP(B72,'POM 2024'!$B$2:$BI$64,48,FALSE)</f>
        <v>0</v>
      </c>
      <c r="K72" s="259">
        <f>+_xlfn.XLOOKUP($B72,'POM 2024'!B:B,'POM 2024'!AP:AP,"!",0,1)</f>
        <v>0</v>
      </c>
      <c r="L72" s="258">
        <f>+_xlfn.XLOOKUP($B72,'POM 2024'!B:B,'POM 2024'!AU:AU,"!",0,1)</f>
        <v>0</v>
      </c>
      <c r="M72" s="259">
        <f t="shared" ref="M72" si="42">+J72-K72</f>
        <v>0</v>
      </c>
      <c r="N72" s="260">
        <f t="shared" ref="N72:N81" si="43">+IFERROR(((J72-K72)/K72),0)</f>
        <v>0</v>
      </c>
      <c r="O72" s="261">
        <f>IF(_xlfn.XLOOKUP($B72,'POM 2024'!B:B,'POM 2024'!L:L,"!",0,1)&lt;0,0,_xlfn.XLOOKUP($B72,'POM 2024'!B:B,'POM 2024'!L:L,"!",0,1))</f>
        <v>0</v>
      </c>
      <c r="P72" s="262">
        <f t="shared" ref="P72:P81" si="44">+O72-L72</f>
        <v>0</v>
      </c>
      <c r="Q72" s="262"/>
      <c r="R72" s="263"/>
      <c r="S72" s="263" t="s">
        <v>63</v>
      </c>
      <c r="T72" s="259" t="s">
        <v>53</v>
      </c>
      <c r="U72" s="255" t="b">
        <f t="shared" ref="U72:U81" si="45">+I72=J72</f>
        <v>1</v>
      </c>
    </row>
    <row r="73" spans="2:21" s="255" customFormat="1" ht="25.25" customHeight="1" x14ac:dyDescent="0.2">
      <c r="B73" s="220" t="s">
        <v>226</v>
      </c>
      <c r="C73" s="220" t="str">
        <f>+_xlfn.XLOOKUP(B73,'[1]Proyectos (NO FILTRAR)'!$F:$F,'[1]Proyectos (NO FILTRAR)'!$I:$I)</f>
        <v>Glencore</v>
      </c>
      <c r="D73" s="220" t="s">
        <v>230</v>
      </c>
      <c r="E73" s="220" t="str">
        <f>+_xlfn.XLOOKUP(B73,'POM 2024'!B:B,'POM 2024'!F:F,"!",0,1)</f>
        <v>Cristian Quezada</v>
      </c>
      <c r="F73" s="220" t="str">
        <f>+_xlfn.XLOOKUP(B73,'POM 2024'!B:B,'POM 2024'!H:H,"!",0,1)</f>
        <v>-</v>
      </c>
      <c r="G73" s="243">
        <f t="shared" ref="G73:G74" si="46">+J73</f>
        <v>0</v>
      </c>
      <c r="H73" s="243">
        <v>0</v>
      </c>
      <c r="I73" s="243">
        <f t="shared" ref="I73:I74" si="47">+SUM(G73:H73)</f>
        <v>0</v>
      </c>
      <c r="J73" s="249">
        <f>VLOOKUP(B73,'POM 2024'!$B$2:$BI$73,48,FALSE)</f>
        <v>0</v>
      </c>
      <c r="K73" s="252">
        <f>+_xlfn.XLOOKUP($B73,'POM 2024'!B:B,'POM 2024'!AV:AV,"!",0,1)</f>
        <v>0</v>
      </c>
      <c r="L73" s="251">
        <f>+_xlfn.XLOOKUP($B73,'POM 2024'!B:B,'POM 2024'!AU:AU,"!",0,1)</f>
        <v>4800</v>
      </c>
      <c r="M73" s="252">
        <f t="shared" ref="M73:M74" si="48">+J73-L73</f>
        <v>-4800</v>
      </c>
      <c r="N73" s="247">
        <f t="shared" ref="N73:N74" si="49">+IFERROR(((J73-K73)/K73),0)</f>
        <v>0</v>
      </c>
      <c r="O73" s="245">
        <f>IF(_xlfn.XLOOKUP($B73,'POM 2024'!B:B,'POM 2024'!L:L,"!",0,1)&lt;0,0,_xlfn.XLOOKUP($B73,'POM 2024'!B:B,'POM 2024'!L:L,"!",0,1))</f>
        <v>0</v>
      </c>
      <c r="P73" s="262"/>
      <c r="Q73" s="262" t="s">
        <v>240</v>
      </c>
      <c r="R73" s="263"/>
      <c r="S73" s="263"/>
      <c r="T73" s="259"/>
      <c r="U73" s="220" t="b">
        <f t="shared" si="45"/>
        <v>1</v>
      </c>
    </row>
    <row r="74" spans="2:21" s="255" customFormat="1" ht="25.25" customHeight="1" x14ac:dyDescent="0.2">
      <c r="B74" s="220" t="s">
        <v>217</v>
      </c>
      <c r="C74" s="220" t="str">
        <f>+_xlfn.XLOOKUP(B74,'[1]Proyectos (NO FILTRAR)'!$F:$F,'[1]Proyectos (NO FILTRAR)'!$I:$I)</f>
        <v>Minsur</v>
      </c>
      <c r="D74" s="220" t="s">
        <v>231</v>
      </c>
      <c r="E74" s="220" t="str">
        <f>+_xlfn.XLOOKUP(B74,'POM 2024'!B:B,'POM 2024'!F:F,"!",0,1)</f>
        <v>-</v>
      </c>
      <c r="F74" s="220" t="str">
        <f>+_xlfn.XLOOKUP(B74,'POM 2024'!B:B,'POM 2024'!H:H,"!",0,1)</f>
        <v>Kevin Rios</v>
      </c>
      <c r="G74" s="243">
        <f t="shared" si="46"/>
        <v>84801.87</v>
      </c>
      <c r="H74" s="243">
        <v>0</v>
      </c>
      <c r="I74" s="243">
        <f t="shared" si="47"/>
        <v>84801.87</v>
      </c>
      <c r="J74" s="249">
        <f>VLOOKUP(B74,'POM 2024'!$B$2:$BI$73,48,FALSE)</f>
        <v>84801.87</v>
      </c>
      <c r="K74" s="252">
        <f>+_xlfn.XLOOKUP($B74,'POM 2024'!B:B,'POM 2024'!AV:AV,"!",0,1)</f>
        <v>0</v>
      </c>
      <c r="L74" s="251">
        <f>+_xlfn.XLOOKUP($B74,'POM 2024'!B:B,'POM 2024'!AU:AU,"!",0,1)</f>
        <v>0</v>
      </c>
      <c r="M74" s="252">
        <f t="shared" si="48"/>
        <v>84801.87</v>
      </c>
      <c r="N74" s="247">
        <f t="shared" si="49"/>
        <v>0</v>
      </c>
      <c r="O74" s="245">
        <f>IF(_xlfn.XLOOKUP($B74,'POM 2024'!B:B,'POM 2024'!L:L,"!",0,1)&lt;0,0,_xlfn.XLOOKUP($B74,'POM 2024'!B:B,'POM 2024'!L:L,"!",0,1))</f>
        <v>0</v>
      </c>
      <c r="P74" s="262"/>
      <c r="Q74" s="262" t="s">
        <v>242</v>
      </c>
      <c r="R74" s="263"/>
      <c r="S74" s="263"/>
      <c r="T74" s="259"/>
      <c r="U74" s="220"/>
    </row>
    <row r="75" spans="2:21" s="255" customFormat="1" ht="25.25" customHeight="1" x14ac:dyDescent="0.2">
      <c r="B75" s="220" t="s">
        <v>225</v>
      </c>
      <c r="C75" s="220" t="str">
        <f>+_xlfn.XLOOKUP(B75,'[1]Proyectos (NO FILTRAR)'!$F:$F,'[1]Proyectos (NO FILTRAR)'!$I:$I)</f>
        <v>Mosaic</v>
      </c>
      <c r="D75" s="248" t="s">
        <v>233</v>
      </c>
      <c r="E75" s="220" t="str">
        <f>+_xlfn.XLOOKUP(B75,'POM 2024'!B:B,'POM 2024'!F:F,"!",0,1)</f>
        <v>-</v>
      </c>
      <c r="F75" s="220" t="str">
        <f>+_xlfn.XLOOKUP(B75,'POM 2024'!B:B,'POM 2024'!H:H,"!",0,1)</f>
        <v>-</v>
      </c>
      <c r="G75" s="243">
        <f t="shared" ref="G75:G77" si="50">+J75</f>
        <v>0</v>
      </c>
      <c r="H75" s="243">
        <v>0</v>
      </c>
      <c r="I75" s="243">
        <f t="shared" ref="I75:I77" si="51">+SUM(G75:H75)</f>
        <v>0</v>
      </c>
      <c r="J75" s="249">
        <f>VLOOKUP(B75,'POM 2024'!$B$2:$BI$73,48,FALSE)</f>
        <v>0</v>
      </c>
      <c r="K75" s="252">
        <f>+_xlfn.XLOOKUP($B75,'POM 2024'!B:B,'POM 2024'!AV:AV,"!",0,1)</f>
        <v>0</v>
      </c>
      <c r="L75" s="251">
        <f>+_xlfn.XLOOKUP($B75,'POM 2024'!B:B,'POM 2024'!AU:AU,"!",0,1)</f>
        <v>0</v>
      </c>
      <c r="M75" s="252">
        <f t="shared" ref="M75:M77" si="52">+J75-L75</f>
        <v>0</v>
      </c>
      <c r="N75" s="247">
        <f t="shared" ref="N75:N77" si="53">+IFERROR(((J75-K75)/K75),0)</f>
        <v>0</v>
      </c>
      <c r="O75" s="245">
        <f>IF(_xlfn.XLOOKUP($B75,'POM 2024'!B:B,'POM 2024'!L:L,"!",0,1)&lt;0,0,_xlfn.XLOOKUP($B75,'POM 2024'!B:B,'POM 2024'!L:L,"!",0,1))</f>
        <v>4771</v>
      </c>
      <c r="P75" s="262"/>
      <c r="Q75" s="262" t="s">
        <v>243</v>
      </c>
      <c r="R75" s="263"/>
      <c r="S75" s="263"/>
      <c r="T75" s="259"/>
      <c r="U75" s="220"/>
    </row>
    <row r="76" spans="2:21" s="255" customFormat="1" ht="25.25" customHeight="1" x14ac:dyDescent="0.2">
      <c r="B76" s="220" t="s">
        <v>227</v>
      </c>
      <c r="C76" s="220" t="str">
        <f>+_xlfn.XLOOKUP(B76,'[1]Proyectos (NO FILTRAR)'!$F:$F,'[1]Proyectos (NO FILTRAR)'!$I:$I)</f>
        <v>BHP</v>
      </c>
      <c r="D76" s="248" t="s">
        <v>234</v>
      </c>
      <c r="E76" s="220" t="str">
        <f>+_xlfn.XLOOKUP(B76,'POM 2024'!B:B,'POM 2024'!F:F,"!",0,1)</f>
        <v>-</v>
      </c>
      <c r="F76" s="220" t="str">
        <f>+_xlfn.XLOOKUP(B76,'POM 2024'!B:B,'POM 2024'!H:H,"!",0,1)</f>
        <v>-</v>
      </c>
      <c r="G76" s="243">
        <f t="shared" si="50"/>
        <v>0</v>
      </c>
      <c r="H76" s="243">
        <v>0</v>
      </c>
      <c r="I76" s="243">
        <f t="shared" si="51"/>
        <v>0</v>
      </c>
      <c r="J76" s="249">
        <f>VLOOKUP(B76,'POM 2024'!$B$2:$BI$73,48,FALSE)</f>
        <v>0</v>
      </c>
      <c r="K76" s="252">
        <f>+_xlfn.XLOOKUP($B76,'POM 2024'!B:B,'POM 2024'!AV:AV,"!",0,1)</f>
        <v>0</v>
      </c>
      <c r="L76" s="251">
        <f>+_xlfn.XLOOKUP($B76,'POM 2024'!B:B,'POM 2024'!AU:AU,"!",0,1)</f>
        <v>0</v>
      </c>
      <c r="M76" s="252">
        <f t="shared" si="52"/>
        <v>0</v>
      </c>
      <c r="N76" s="247">
        <f t="shared" si="53"/>
        <v>0</v>
      </c>
      <c r="O76" s="245">
        <f>IF(_xlfn.XLOOKUP($B76,'POM 2024'!B:B,'POM 2024'!L:L,"!",0,1)&lt;0,0,_xlfn.XLOOKUP($B76,'POM 2024'!B:B,'POM 2024'!L:L,"!",0,1))</f>
        <v>23795</v>
      </c>
      <c r="P76" s="262"/>
      <c r="Q76" s="262" t="s">
        <v>244</v>
      </c>
      <c r="R76" s="263"/>
      <c r="S76" s="263"/>
      <c r="T76" s="259"/>
      <c r="U76" s="220"/>
    </row>
    <row r="77" spans="2:21" s="255" customFormat="1" ht="25.25" customHeight="1" x14ac:dyDescent="0.2">
      <c r="B77" s="220" t="s">
        <v>239</v>
      </c>
      <c r="C77" s="220" t="str">
        <f>+_xlfn.XLOOKUP(B77,'[1]Proyectos (NO FILTRAR)'!$F:$F,'[1]Proyectos (NO FILTRAR)'!$I:$I)</f>
        <v>CMP</v>
      </c>
      <c r="D77" s="248" t="s">
        <v>232</v>
      </c>
      <c r="E77" s="220" t="str">
        <f>+_xlfn.XLOOKUP(B77,'POM 2024'!B:B,'POM 2024'!F:F,"!",0,1)</f>
        <v>Claudio Hernández</v>
      </c>
      <c r="F77" s="220" t="str">
        <f>+_xlfn.XLOOKUP(B77,'POM 2024'!B:B,'POM 2024'!H:H,"!",0,1)</f>
        <v>Jorman Barrera</v>
      </c>
      <c r="G77" s="243">
        <f t="shared" si="50"/>
        <v>0</v>
      </c>
      <c r="H77" s="243">
        <v>0</v>
      </c>
      <c r="I77" s="243">
        <f t="shared" si="51"/>
        <v>0</v>
      </c>
      <c r="J77" s="249">
        <f>VLOOKUP(B77,'POM 2024'!$B$2:$BI$73,48,FALSE)</f>
        <v>0</v>
      </c>
      <c r="K77" s="252">
        <f>+_xlfn.XLOOKUP($B77,'POM 2024'!B:B,'POM 2024'!AV:AV,"!",0,1)</f>
        <v>0</v>
      </c>
      <c r="L77" s="251">
        <f>+_xlfn.XLOOKUP($B77,'POM 2024'!B:B,'POM 2024'!AU:AU,"!",0,1)</f>
        <v>0</v>
      </c>
      <c r="M77" s="252">
        <f t="shared" si="52"/>
        <v>0</v>
      </c>
      <c r="N77" s="247">
        <f t="shared" si="53"/>
        <v>0</v>
      </c>
      <c r="O77" s="245">
        <f>IF(_xlfn.XLOOKUP($B77,'POM 2024'!B:B,'POM 2024'!L:L,"!",0,1)&lt;0,0,_xlfn.XLOOKUP($B77,'POM 2024'!B:B,'POM 2024'!L:L,"!",0,1))</f>
        <v>112506</v>
      </c>
      <c r="P77" s="262"/>
      <c r="Q77" s="262" t="s">
        <v>101</v>
      </c>
      <c r="R77" s="263"/>
      <c r="S77" s="263"/>
      <c r="T77" s="259"/>
      <c r="U77" s="220"/>
    </row>
    <row r="78" spans="2:21" ht="15" x14ac:dyDescent="0.2">
      <c r="B78" s="220" t="s">
        <v>164</v>
      </c>
      <c r="C78" s="220" t="str">
        <f>+_xlfn.XLOOKUP(B78,'[1]Proyectos (NO FILTRAR)'!$F:$F,'[1]Proyectos (NO FILTRAR)'!$I:$I)</f>
        <v>Minsur</v>
      </c>
      <c r="D78" s="220" t="s">
        <v>173</v>
      </c>
      <c r="E78" s="220" t="str">
        <f>+_xlfn.XLOOKUP(B78,'POM 2024'!B:B,'POM 2024'!F:F,"!",0,1)</f>
        <v>Matias Fuentes</v>
      </c>
      <c r="F78" s="220" t="str">
        <f>+_xlfn.XLOOKUP(B78,'POM 2024'!B:B,'POM 2024'!H:H,"!",0,1)</f>
        <v>Kevin Rios</v>
      </c>
      <c r="G78" s="243">
        <f t="shared" si="40"/>
        <v>32242</v>
      </c>
      <c r="H78" s="243">
        <v>0</v>
      </c>
      <c r="I78" s="243">
        <f t="shared" si="41"/>
        <v>32242</v>
      </c>
      <c r="J78" s="249">
        <f>VLOOKUP(B78,'POM 2024'!$B$2:$BI$73,48,FALSE)</f>
        <v>32242</v>
      </c>
      <c r="K78" s="252">
        <f>+_xlfn.XLOOKUP($B78,'POM 2024'!B:B,'POM 2024'!AV:AV,"!",0,1)</f>
        <v>0</v>
      </c>
      <c r="L78" s="251">
        <f>+_xlfn.XLOOKUP($B78,'POM 2024'!B:B,'POM 2024'!AU:AU,"!",0,1)</f>
        <v>47545.26</v>
      </c>
      <c r="M78" s="252">
        <f t="shared" ref="M78:M81" si="54">+J78-L78</f>
        <v>-15303.260000000002</v>
      </c>
      <c r="N78" s="247">
        <f t="shared" si="43"/>
        <v>0</v>
      </c>
      <c r="O78" s="245">
        <f>IF(_xlfn.XLOOKUP($B78,'POM 2024'!B:B,'POM 2024'!L:L,"!",0,1)&lt;0,0,_xlfn.XLOOKUP($B78,'POM 2024'!B:B,'POM 2024'!L:L,"!",0,1))</f>
        <v>0</v>
      </c>
      <c r="P78" s="245">
        <f t="shared" si="44"/>
        <v>-47545.26</v>
      </c>
      <c r="Q78" s="245" t="s">
        <v>245</v>
      </c>
      <c r="R78" s="284"/>
      <c r="S78" s="253"/>
      <c r="T78" s="254"/>
      <c r="U78" s="220" t="b">
        <f t="shared" si="45"/>
        <v>1</v>
      </c>
    </row>
    <row r="79" spans="2:21" ht="15" x14ac:dyDescent="0.2">
      <c r="B79" s="220" t="s">
        <v>165</v>
      </c>
      <c r="C79" s="220" t="str">
        <f>+_xlfn.XLOOKUP(B79,'[1]Proyectos (NO FILTRAR)'!$F:$F,'[1]Proyectos (NO FILTRAR)'!$I:$I)</f>
        <v>Capstone Copper</v>
      </c>
      <c r="D79" s="220" t="s">
        <v>170</v>
      </c>
      <c r="E79" s="220" t="str">
        <f>+_xlfn.XLOOKUP(B79,'POM 2024'!B:B,'POM 2024'!F:F,"!",0,1)</f>
        <v>Cristian Quezada</v>
      </c>
      <c r="F79" s="220" t="str">
        <f>+_xlfn.XLOOKUP(B79,'POM 2024'!B:B,'POM 2024'!H:H,"!",0,1)</f>
        <v>TBD</v>
      </c>
      <c r="G79" s="243">
        <f t="shared" si="40"/>
        <v>62422</v>
      </c>
      <c r="H79" s="243">
        <v>0</v>
      </c>
      <c r="I79" s="243">
        <f t="shared" si="41"/>
        <v>62422</v>
      </c>
      <c r="J79" s="249">
        <f>VLOOKUP(B79,'POM 2024'!$B$2:$BI$73,48,FALSE)</f>
        <v>62422</v>
      </c>
      <c r="K79" s="252">
        <f>+_xlfn.XLOOKUP($B79,'POM 2024'!B:B,'POM 2024'!AV:AV,"!",0,1)</f>
        <v>0</v>
      </c>
      <c r="L79" s="251">
        <f>+_xlfn.XLOOKUP($B79,'POM 2024'!B:B,'POM 2024'!AU:AU,"!",0,1)</f>
        <v>54551.280000000006</v>
      </c>
      <c r="M79" s="252">
        <f t="shared" si="54"/>
        <v>7870.7199999999939</v>
      </c>
      <c r="N79" s="247">
        <f t="shared" si="43"/>
        <v>0</v>
      </c>
      <c r="O79" s="245">
        <f>IF(_xlfn.XLOOKUP($B79,'POM 2024'!B:B,'POM 2024'!L:L,"!",0,1)&lt;0,0,_xlfn.XLOOKUP($B79,'POM 2024'!B:B,'POM 2024'!L:L,"!",0,1))</f>
        <v>200</v>
      </c>
      <c r="P79" s="245">
        <f t="shared" si="44"/>
        <v>-54351.280000000006</v>
      </c>
      <c r="Q79" s="245" t="s">
        <v>247</v>
      </c>
      <c r="R79" s="284"/>
      <c r="S79" s="253"/>
      <c r="T79" s="254"/>
      <c r="U79" s="220" t="b">
        <f t="shared" si="45"/>
        <v>1</v>
      </c>
    </row>
    <row r="80" spans="2:21" ht="15" x14ac:dyDescent="0.2">
      <c r="B80" s="220" t="s">
        <v>166</v>
      </c>
      <c r="C80" s="220" t="str">
        <f>+_xlfn.XLOOKUP(B80,'[1]Proyectos (NO FILTRAR)'!$F:$F,'[1]Proyectos (NO FILTRAR)'!$I:$I)</f>
        <v>Minsur</v>
      </c>
      <c r="D80" s="248" t="s">
        <v>174</v>
      </c>
      <c r="E80" s="220" t="str">
        <f>+_xlfn.XLOOKUP(B80,'POM 2024'!B:B,'POM 2024'!F:F,"!",0,1)</f>
        <v>Matias Fuentes</v>
      </c>
      <c r="F80" s="220" t="str">
        <f>+_xlfn.XLOOKUP(B80,'POM 2024'!B:B,'POM 2024'!H:H,"!",0,1)</f>
        <v>Kevin Rios</v>
      </c>
      <c r="G80" s="243">
        <f t="shared" si="40"/>
        <v>53339</v>
      </c>
      <c r="H80" s="243">
        <v>0</v>
      </c>
      <c r="I80" s="243">
        <f t="shared" si="41"/>
        <v>53339</v>
      </c>
      <c r="J80" s="249">
        <f>VLOOKUP(B80,'POM 2024'!$B$2:$BI$73,48,FALSE)</f>
        <v>53339</v>
      </c>
      <c r="K80" s="252">
        <f>+_xlfn.XLOOKUP($B80,'POM 2024'!B:B,'POM 2024'!AV:AV,"!",0,1)</f>
        <v>0</v>
      </c>
      <c r="L80" s="251">
        <f>+_xlfn.XLOOKUP($B80,'POM 2024'!B:B,'POM 2024'!AU:AU,"!",0,1)</f>
        <v>64710</v>
      </c>
      <c r="M80" s="252">
        <f t="shared" si="54"/>
        <v>-11371</v>
      </c>
      <c r="N80" s="247">
        <f t="shared" si="43"/>
        <v>0</v>
      </c>
      <c r="O80" s="245">
        <f>IF(_xlfn.XLOOKUP($B80,'POM 2024'!B:B,'POM 2024'!L:L,"!",0,1)&lt;0,0,_xlfn.XLOOKUP($B80,'POM 2024'!B:B,'POM 2024'!L:L,"!",0,1))</f>
        <v>0</v>
      </c>
      <c r="P80" s="245">
        <f t="shared" si="44"/>
        <v>-64710</v>
      </c>
      <c r="Q80" s="245" t="s">
        <v>38</v>
      </c>
      <c r="R80" s="284"/>
      <c r="S80" s="253"/>
      <c r="T80" s="254"/>
      <c r="U80" s="220" t="b">
        <f t="shared" si="45"/>
        <v>1</v>
      </c>
    </row>
    <row r="81" spans="2:21" ht="15" x14ac:dyDescent="0.2">
      <c r="B81" s="220" t="s">
        <v>167</v>
      </c>
      <c r="C81" s="220" t="str">
        <f>+_xlfn.XLOOKUP(B81,'[1]Proyectos (NO FILTRAR)'!$F:$F,'[1]Proyectos (NO FILTRAR)'!$I:$I)</f>
        <v>McCarthy</v>
      </c>
      <c r="D81" s="220" t="s">
        <v>175</v>
      </c>
      <c r="E81" s="220" t="str">
        <f>+_xlfn.XLOOKUP(B81,'POM 2024'!B:B,'POM 2024'!F:F,"!",0,1)</f>
        <v>Mauricio Melendez</v>
      </c>
      <c r="F81" s="220" t="str">
        <f>+_xlfn.XLOOKUP(B81,'POM 2024'!B:B,'POM 2024'!H:H,"!",0,1)</f>
        <v>TBD</v>
      </c>
      <c r="G81" s="243">
        <f t="shared" si="40"/>
        <v>283900</v>
      </c>
      <c r="H81" s="243">
        <v>0</v>
      </c>
      <c r="I81" s="243">
        <f t="shared" si="41"/>
        <v>283900</v>
      </c>
      <c r="J81" s="249">
        <f>VLOOKUP(B81,'POM 2024'!$B$2:$BI$73,48,FALSE)</f>
        <v>283900</v>
      </c>
      <c r="K81" s="252">
        <f>+_xlfn.XLOOKUP($B81,'POM 2024'!B:B,'POM 2024'!AV:AV,"!",0,1)</f>
        <v>0</v>
      </c>
      <c r="L81" s="251">
        <f>+_xlfn.XLOOKUP($B81,'POM 2024'!B:B,'POM 2024'!AU:AU,"!",0,1)</f>
        <v>0</v>
      </c>
      <c r="M81" s="252">
        <f t="shared" si="54"/>
        <v>283900</v>
      </c>
      <c r="N81" s="247">
        <f t="shared" si="43"/>
        <v>0</v>
      </c>
      <c r="O81" s="245">
        <f>IF(_xlfn.XLOOKUP($B81,'POM 2024'!B:B,'POM 2024'!L:L,"!",0,1)&lt;0,0,_xlfn.XLOOKUP($B81,'POM 2024'!B:B,'POM 2024'!L:L,"!",0,1))</f>
        <v>38700</v>
      </c>
      <c r="P81" s="245">
        <f t="shared" si="44"/>
        <v>38700</v>
      </c>
      <c r="Q81" s="245" t="s">
        <v>246</v>
      </c>
      <c r="R81" s="284"/>
      <c r="S81" s="253"/>
      <c r="T81" s="254"/>
      <c r="U81" s="220" t="b">
        <f t="shared" si="45"/>
        <v>1</v>
      </c>
    </row>
    <row r="82" spans="2:21" ht="15" x14ac:dyDescent="0.2">
      <c r="C82" s="276"/>
      <c r="D82" s="276"/>
      <c r="E82" s="276"/>
      <c r="F82" s="276"/>
      <c r="G82" s="277">
        <f t="shared" ref="G82:M82" si="55">+SUM(G72:G81)</f>
        <v>516704.87</v>
      </c>
      <c r="H82" s="277">
        <f t="shared" si="55"/>
        <v>0</v>
      </c>
      <c r="I82" s="277">
        <f t="shared" si="55"/>
        <v>516704.87</v>
      </c>
      <c r="J82" s="277">
        <f t="shared" si="55"/>
        <v>516704.87</v>
      </c>
      <c r="K82" s="277">
        <f t="shared" si="55"/>
        <v>0</v>
      </c>
      <c r="L82" s="277">
        <f t="shared" si="55"/>
        <v>171606.54</v>
      </c>
      <c r="M82" s="277">
        <f t="shared" si="55"/>
        <v>345098.32999999996</v>
      </c>
      <c r="N82" s="278">
        <f>+IFERROR(((J82-K82)/K82),0)</f>
        <v>0</v>
      </c>
      <c r="O82" s="279">
        <f>+SUM(O72:O81)</f>
        <v>179972</v>
      </c>
      <c r="P82" s="279">
        <f>+SUM(P72:P81)</f>
        <v>-127906.54000000001</v>
      </c>
      <c r="Q82" s="279"/>
      <c r="R82" s="280"/>
      <c r="S82" s="280"/>
      <c r="T82" s="277"/>
      <c r="U82" s="281"/>
    </row>
    <row r="83" spans="2:21" x14ac:dyDescent="0.2">
      <c r="E83" s="245"/>
    </row>
    <row r="84" spans="2:21" x14ac:dyDescent="0.2">
      <c r="E84" s="245"/>
    </row>
    <row r="85" spans="2:21" x14ac:dyDescent="0.2">
      <c r="E85" s="245"/>
    </row>
    <row r="86" spans="2:21" x14ac:dyDescent="0.2">
      <c r="E86" s="245"/>
    </row>
    <row r="87" spans="2:21" x14ac:dyDescent="0.2">
      <c r="E87" s="245"/>
    </row>
    <row r="88" spans="2:21" x14ac:dyDescent="0.2">
      <c r="E88" s="245"/>
    </row>
    <row r="89" spans="2:21" x14ac:dyDescent="0.2">
      <c r="E89" s="245"/>
    </row>
    <row r="90" spans="2:21" x14ac:dyDescent="0.2">
      <c r="E90" s="245"/>
    </row>
    <row r="91" spans="2:21" x14ac:dyDescent="0.2">
      <c r="E91" s="245"/>
    </row>
    <row r="92" spans="2:21" x14ac:dyDescent="0.2">
      <c r="E92" s="245"/>
    </row>
    <row r="93" spans="2:21" x14ac:dyDescent="0.2">
      <c r="E93" s="245"/>
    </row>
    <row r="94" spans="2:21" x14ac:dyDescent="0.2">
      <c r="E94" s="245"/>
    </row>
    <row r="95" spans="2:21" x14ac:dyDescent="0.2">
      <c r="E95" s="245"/>
    </row>
    <row r="96" spans="2:21" x14ac:dyDescent="0.2">
      <c r="E96" s="245"/>
    </row>
    <row r="97" spans="5:5" x14ac:dyDescent="0.2">
      <c r="E97" s="245"/>
    </row>
    <row r="98" spans="5:5" x14ac:dyDescent="0.2">
      <c r="E98" s="245"/>
    </row>
    <row r="99" spans="5:5" x14ac:dyDescent="0.2">
      <c r="E99" s="245"/>
    </row>
    <row r="100" spans="5:5" x14ac:dyDescent="0.2">
      <c r="E100" s="245"/>
    </row>
    <row r="101" spans="5:5" x14ac:dyDescent="0.2">
      <c r="E101" s="245"/>
    </row>
    <row r="102" spans="5:5" x14ac:dyDescent="0.2">
      <c r="E102" s="245"/>
    </row>
    <row r="103" spans="5:5" x14ac:dyDescent="0.2">
      <c r="E103" s="245"/>
    </row>
    <row r="104" spans="5:5" x14ac:dyDescent="0.2">
      <c r="E104" s="245"/>
    </row>
    <row r="105" spans="5:5" x14ac:dyDescent="0.2">
      <c r="E105" s="245"/>
    </row>
    <row r="106" spans="5:5" x14ac:dyDescent="0.2">
      <c r="E106" s="245"/>
    </row>
  </sheetData>
  <conditionalFormatting sqref="F1:I10 F11:M11 F12:I14 M12:M16 G15:I15 F16:I19 F21:I40 E41 G41:I41 F42:I47 F48 F49:I51 F53:I56 F57 F58:I60 F62:I66 F67 F68:I70 F72:I81 F82 F83:I1048576">
    <cfRule type="containsText" dxfId="71" priority="29" operator="containsText" text="Sebastián">
      <formula>NOT(ISERROR(SEARCH("Sebastián",E1)))</formula>
    </cfRule>
    <cfRule type="containsText" dxfId="70" priority="30" operator="containsText" text="Guillermo">
      <formula>NOT(ISERROR(SEARCH("Guillermo",E1)))</formula>
    </cfRule>
  </conditionalFormatting>
  <conditionalFormatting sqref="T21:T47 C36:I39 C43:I47 C73:I81">
    <cfRule type="cellIs" dxfId="69" priority="18" operator="lessThan">
      <formula>0</formula>
    </cfRule>
  </conditionalFormatting>
  <conditionalFormatting sqref="T21:T47 T53:T56 T62:T66">
    <cfRule type="containsText" dxfId="68" priority="31" operator="containsText" text="No iniciado">
      <formula>NOT(ISERROR(SEARCH("No iniciado",T21)))</formula>
    </cfRule>
    <cfRule type="containsText" dxfId="67" priority="32" operator="containsText" text="En Proceso">
      <formula>NOT(ISERROR(SEARCH("En Proceso",T21)))</formula>
    </cfRule>
    <cfRule type="containsText" dxfId="66" priority="33" operator="containsText" text="Terminado">
      <formula>NOT(ISERROR(SEARCH("Terminado",T21)))</formula>
    </cfRule>
  </conditionalFormatting>
  <conditionalFormatting sqref="T36:T39">
    <cfRule type="containsText" dxfId="65" priority="22" operator="containsText" text="No iniciado">
      <formula>NOT(ISERROR(SEARCH("No iniciado",T36)))</formula>
    </cfRule>
    <cfRule type="containsText" dxfId="64" priority="23" operator="containsText" text="En Proceso">
      <formula>NOT(ISERROR(SEARCH("En Proceso",T36)))</formula>
    </cfRule>
    <cfRule type="containsText" dxfId="63" priority="24" operator="containsText" text="Terminado">
      <formula>NOT(ISERROR(SEARCH("Terminado",T36)))</formula>
    </cfRule>
    <cfRule type="cellIs" dxfId="62" priority="25" operator="lessThan">
      <formula>0</formula>
    </cfRule>
  </conditionalFormatting>
  <conditionalFormatting sqref="T43:T47 T72:T81">
    <cfRule type="cellIs" dxfId="61" priority="1" operator="lessThan">
      <formula>0</formula>
    </cfRule>
    <cfRule type="containsText" dxfId="60" priority="4" operator="containsText" text="No iniciado">
      <formula>NOT(ISERROR(SEARCH("No iniciado",T43)))</formula>
    </cfRule>
    <cfRule type="containsText" dxfId="59" priority="5" operator="containsText" text="En Proceso">
      <formula>NOT(ISERROR(SEARCH("En Proceso",T43)))</formula>
    </cfRule>
    <cfRule type="containsText" dxfId="58" priority="6" operator="containsText" text="Terminado">
      <formula>NOT(ISERROR(SEARCH("Terminado",T43)))</formula>
    </cfRule>
  </conditionalFormatting>
  <conditionalFormatting sqref="T53:T56">
    <cfRule type="cellIs" dxfId="57" priority="21" operator="lessThan">
      <formula>0</formula>
    </cfRule>
  </conditionalFormatting>
  <conditionalFormatting sqref="T62 B62:I62 L68:S68">
    <cfRule type="cellIs" dxfId="56" priority="34" operator="lessThan">
      <formula>0</formula>
    </cfRule>
  </conditionalFormatting>
  <conditionalFormatting sqref="T63:T66">
    <cfRule type="cellIs" dxfId="55" priority="7" operator="lessThan">
      <formula>0</formula>
    </cfRule>
  </conditionalFormatting>
  <pageMargins left="0.25" right="0.25" top="0.75" bottom="0.75" header="0.3" footer="0.3"/>
  <pageSetup scale="57" orientation="portrait" r:id="rId1"/>
  <colBreaks count="1" manualBreakCount="1">
    <brk id="20" max="56"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5F7DC-C61A-4267-8CC7-7EA50E5EB05B}">
  <sheetPr codeName="Hoja6"/>
  <dimension ref="A1:V74"/>
  <sheetViews>
    <sheetView zoomScale="80" zoomScaleNormal="80" workbookViewId="0">
      <selection activeCell="L76" sqref="L76"/>
    </sheetView>
  </sheetViews>
  <sheetFormatPr baseColWidth="10" defaultRowHeight="15" outlineLevelCol="1" x14ac:dyDescent="0.2"/>
  <cols>
    <col min="2" max="2" width="47" style="2" bestFit="1" customWidth="1"/>
    <col min="3" max="3" width="9.5" style="2" customWidth="1" outlineLevel="1"/>
    <col min="4" max="4" width="10.33203125" style="2" customWidth="1" outlineLevel="1"/>
    <col min="5" max="5" width="9.33203125" style="2" customWidth="1" outlineLevel="1"/>
    <col min="6" max="6" width="9.5" style="2" customWidth="1" outlineLevel="1"/>
    <col min="7" max="7" width="9.33203125" style="2" customWidth="1" outlineLevel="1"/>
    <col min="8" max="8" width="9.6640625" style="2" customWidth="1" outlineLevel="1"/>
    <col min="9" max="9" width="9.33203125" style="2" customWidth="1" outlineLevel="1"/>
    <col min="10" max="10" width="9.6640625" style="2" customWidth="1" outlineLevel="1"/>
    <col min="11" max="11" width="9.33203125" style="2" customWidth="1" outlineLevel="1"/>
    <col min="12" max="12" width="10" customWidth="1" outlineLevel="1"/>
    <col min="13" max="13" width="9.33203125" customWidth="1" outlineLevel="1"/>
    <col min="14" max="14" width="8.6640625" bestFit="1" customWidth="1"/>
    <col min="15" max="15" width="9.5" bestFit="1" customWidth="1"/>
    <col min="16" max="16" width="10.33203125" bestFit="1" customWidth="1"/>
    <col min="17" max="17" width="9.33203125" bestFit="1" customWidth="1"/>
    <col min="18" max="18" width="9.5" bestFit="1" customWidth="1"/>
    <col min="19" max="19" width="9.33203125" bestFit="1" customWidth="1"/>
    <col min="20" max="20" width="20.6640625" bestFit="1" customWidth="1"/>
  </cols>
  <sheetData>
    <row r="1" spans="1:19" ht="17" thickTop="1" thickBot="1" x14ac:dyDescent="0.25">
      <c r="A1" s="40" t="s">
        <v>125</v>
      </c>
      <c r="B1" s="40" t="s">
        <v>0</v>
      </c>
      <c r="C1" s="43">
        <v>45139</v>
      </c>
      <c r="D1" s="43">
        <v>45170</v>
      </c>
      <c r="E1" s="43">
        <v>45200</v>
      </c>
      <c r="F1" s="43">
        <v>45231</v>
      </c>
      <c r="G1" s="43">
        <v>45261</v>
      </c>
      <c r="H1" s="43">
        <v>45292</v>
      </c>
      <c r="I1" s="43">
        <v>45323</v>
      </c>
      <c r="J1" s="43">
        <v>45352</v>
      </c>
      <c r="K1" s="43">
        <v>45383</v>
      </c>
      <c r="L1" s="43">
        <v>45413</v>
      </c>
      <c r="M1" s="43">
        <v>45444</v>
      </c>
      <c r="N1" s="43">
        <v>45474</v>
      </c>
      <c r="O1" s="43">
        <v>45505</v>
      </c>
      <c r="P1" s="43">
        <v>45536</v>
      </c>
      <c r="Q1" s="43">
        <v>45566</v>
      </c>
      <c r="R1" s="43">
        <v>45597</v>
      </c>
      <c r="S1" s="43">
        <v>45627</v>
      </c>
    </row>
    <row r="2" spans="1:19" ht="16" thickTop="1" x14ac:dyDescent="0.2">
      <c r="B2" s="5" t="s">
        <v>21</v>
      </c>
      <c r="C2" s="10">
        <v>0</v>
      </c>
      <c r="D2" s="10">
        <v>1</v>
      </c>
      <c r="E2" s="11">
        <v>1</v>
      </c>
      <c r="F2" s="11">
        <v>1</v>
      </c>
      <c r="G2" s="11">
        <v>1</v>
      </c>
      <c r="H2" s="11">
        <v>1</v>
      </c>
      <c r="I2" s="36"/>
      <c r="J2" s="36"/>
      <c r="K2" s="36"/>
      <c r="L2" s="36"/>
      <c r="M2" s="36"/>
      <c r="N2" s="36"/>
      <c r="O2" s="36"/>
      <c r="P2" s="36"/>
      <c r="Q2" s="36"/>
      <c r="R2" s="36"/>
      <c r="S2" s="36"/>
    </row>
    <row r="3" spans="1:19" x14ac:dyDescent="0.2">
      <c r="B3" s="5" t="s">
        <v>152</v>
      </c>
      <c r="C3" s="10">
        <v>0.56000000000000005</v>
      </c>
      <c r="D3" s="10">
        <v>0.56000000000000005</v>
      </c>
      <c r="E3" s="10">
        <v>0.56000000000000005</v>
      </c>
      <c r="F3" s="10">
        <v>0.56000000000000005</v>
      </c>
      <c r="G3" s="10">
        <v>0.56000000000000005</v>
      </c>
      <c r="H3" s="10">
        <v>0.56000000000000005</v>
      </c>
      <c r="I3" s="36"/>
      <c r="J3" s="36"/>
      <c r="K3" s="36"/>
      <c r="L3" s="36"/>
      <c r="M3" s="36"/>
      <c r="N3" s="36"/>
      <c r="O3" s="36"/>
      <c r="P3" s="36"/>
      <c r="Q3" s="36"/>
      <c r="R3" s="36"/>
      <c r="S3" s="36"/>
    </row>
    <row r="4" spans="1:19" x14ac:dyDescent="0.2">
      <c r="B4" s="5" t="s">
        <v>2</v>
      </c>
      <c r="C4" s="15">
        <v>0.94</v>
      </c>
      <c r="D4" s="15">
        <v>0.95605710406364386</v>
      </c>
      <c r="E4" s="11">
        <v>1</v>
      </c>
      <c r="F4" s="11">
        <v>1</v>
      </c>
      <c r="G4" s="11">
        <v>1</v>
      </c>
      <c r="H4" s="11">
        <v>1</v>
      </c>
      <c r="I4" s="11">
        <v>1</v>
      </c>
      <c r="J4" s="11">
        <v>1</v>
      </c>
      <c r="K4" s="11">
        <v>1</v>
      </c>
      <c r="L4" s="11">
        <v>1</v>
      </c>
      <c r="M4" s="11">
        <v>1</v>
      </c>
      <c r="N4" s="11">
        <v>1</v>
      </c>
      <c r="O4" s="11">
        <v>1</v>
      </c>
      <c r="P4" s="11">
        <v>1</v>
      </c>
      <c r="Q4" s="11">
        <v>1</v>
      </c>
      <c r="R4" s="11">
        <v>1</v>
      </c>
      <c r="S4" s="11">
        <v>1</v>
      </c>
    </row>
    <row r="5" spans="1:19" x14ac:dyDescent="0.2">
      <c r="B5" s="5" t="s">
        <v>4</v>
      </c>
      <c r="C5" s="10">
        <v>1</v>
      </c>
      <c r="D5" s="10">
        <v>1</v>
      </c>
      <c r="E5" s="11">
        <v>1</v>
      </c>
      <c r="F5" s="11">
        <v>1</v>
      </c>
      <c r="G5" s="11">
        <v>1</v>
      </c>
      <c r="H5" s="11">
        <v>1</v>
      </c>
      <c r="I5" s="36"/>
      <c r="J5" s="36"/>
      <c r="K5" s="36"/>
      <c r="L5" s="36"/>
      <c r="M5" s="36"/>
      <c r="N5" s="36"/>
      <c r="O5" s="36"/>
      <c r="P5" s="36"/>
      <c r="Q5" s="36"/>
      <c r="R5" s="36"/>
      <c r="S5" s="36"/>
    </row>
    <row r="6" spans="1:19" x14ac:dyDescent="0.2">
      <c r="B6" s="5" t="s">
        <v>6</v>
      </c>
      <c r="C6" s="15">
        <v>0.16</v>
      </c>
      <c r="D6" s="15">
        <v>0.66</v>
      </c>
      <c r="E6" s="16">
        <v>0.88</v>
      </c>
      <c r="F6" s="16">
        <v>1</v>
      </c>
      <c r="G6" s="16">
        <v>1</v>
      </c>
      <c r="H6" s="16">
        <v>1</v>
      </c>
      <c r="I6" s="41"/>
      <c r="J6" s="41"/>
      <c r="K6" s="41"/>
      <c r="L6" s="41"/>
      <c r="M6" s="41"/>
      <c r="N6" s="41"/>
      <c r="O6" s="41"/>
      <c r="P6" s="41"/>
      <c r="Q6" s="41"/>
      <c r="R6" s="41"/>
      <c r="S6" s="41"/>
    </row>
    <row r="7" spans="1:19" x14ac:dyDescent="0.2">
      <c r="B7" s="5" t="s">
        <v>7</v>
      </c>
      <c r="C7" s="15">
        <v>0.22</v>
      </c>
      <c r="D7" s="15">
        <v>0.63</v>
      </c>
      <c r="E7" s="16">
        <v>0.85</v>
      </c>
      <c r="F7" s="16">
        <v>1</v>
      </c>
      <c r="G7" s="16">
        <v>1</v>
      </c>
      <c r="H7" s="16">
        <v>1</v>
      </c>
      <c r="I7" s="41"/>
      <c r="J7" s="41"/>
      <c r="K7" s="41"/>
      <c r="L7" s="41"/>
      <c r="M7" s="41"/>
      <c r="N7" s="41"/>
      <c r="O7" s="41"/>
      <c r="P7" s="41"/>
      <c r="Q7" s="41"/>
      <c r="R7" s="41"/>
      <c r="S7" s="41"/>
    </row>
    <row r="8" spans="1:19" x14ac:dyDescent="0.2">
      <c r="B8" s="5" t="s">
        <v>8</v>
      </c>
      <c r="C8" s="10">
        <v>0.95</v>
      </c>
      <c r="D8" s="10">
        <v>1</v>
      </c>
      <c r="E8" s="11">
        <v>1</v>
      </c>
      <c r="F8" s="11">
        <v>1</v>
      </c>
      <c r="G8" s="11">
        <v>1</v>
      </c>
      <c r="H8" s="11">
        <v>1</v>
      </c>
      <c r="I8" s="36"/>
      <c r="J8" s="36"/>
      <c r="K8" s="36"/>
      <c r="L8" s="36"/>
      <c r="M8" s="36"/>
      <c r="N8" s="36"/>
      <c r="O8" s="36"/>
      <c r="P8" s="36"/>
      <c r="Q8" s="36"/>
      <c r="R8" s="36"/>
      <c r="S8" s="36"/>
    </row>
    <row r="9" spans="1:19" x14ac:dyDescent="0.2">
      <c r="B9" s="5" t="s">
        <v>9</v>
      </c>
      <c r="C9" s="15">
        <v>0</v>
      </c>
      <c r="D9" s="15">
        <v>0.49</v>
      </c>
      <c r="E9" s="16">
        <v>0.78</v>
      </c>
      <c r="F9" s="16">
        <v>1</v>
      </c>
      <c r="G9" s="16">
        <v>1</v>
      </c>
      <c r="H9" s="16">
        <v>1</v>
      </c>
      <c r="I9" s="16">
        <v>1</v>
      </c>
      <c r="J9" s="41"/>
      <c r="K9" s="41"/>
      <c r="L9" s="41"/>
      <c r="M9" s="41"/>
      <c r="N9" s="41"/>
      <c r="O9" s="41"/>
      <c r="P9" s="41"/>
      <c r="Q9" s="41"/>
      <c r="R9" s="41"/>
      <c r="S9" s="41"/>
    </row>
    <row r="10" spans="1:19" x14ac:dyDescent="0.2">
      <c r="B10" s="5" t="s">
        <v>10</v>
      </c>
      <c r="C10" s="15">
        <v>0.34</v>
      </c>
      <c r="D10" s="15">
        <v>0.45313994978194799</v>
      </c>
      <c r="E10" s="16">
        <v>0.24</v>
      </c>
      <c r="F10" s="18">
        <v>0.52</v>
      </c>
      <c r="G10" s="18">
        <v>0.8</v>
      </c>
      <c r="H10" s="18">
        <v>0.6</v>
      </c>
      <c r="I10" s="18">
        <v>0.76</v>
      </c>
      <c r="J10" s="18">
        <v>0.9</v>
      </c>
      <c r="K10" s="18">
        <v>1</v>
      </c>
      <c r="L10" s="63">
        <v>1</v>
      </c>
      <c r="M10" s="15">
        <v>1</v>
      </c>
      <c r="N10" s="15">
        <v>1</v>
      </c>
      <c r="O10" s="15">
        <v>1</v>
      </c>
      <c r="P10" s="15">
        <v>1</v>
      </c>
      <c r="Q10" s="15">
        <v>1</v>
      </c>
      <c r="R10" s="15">
        <v>1</v>
      </c>
      <c r="S10" s="15">
        <v>1</v>
      </c>
    </row>
    <row r="11" spans="1:19" x14ac:dyDescent="0.2">
      <c r="B11" s="5" t="s">
        <v>11</v>
      </c>
      <c r="C11" s="15">
        <v>0</v>
      </c>
      <c r="D11" s="15">
        <v>0.06</v>
      </c>
      <c r="E11" s="16">
        <v>0.41</v>
      </c>
      <c r="F11" s="18">
        <v>0.62</v>
      </c>
      <c r="G11" s="18">
        <v>0.88</v>
      </c>
      <c r="H11" s="18">
        <v>1</v>
      </c>
      <c r="I11" s="18">
        <v>1</v>
      </c>
      <c r="J11" s="18">
        <v>1</v>
      </c>
      <c r="K11" s="18">
        <v>1</v>
      </c>
      <c r="L11" s="45"/>
      <c r="M11" s="45"/>
      <c r="N11" s="45"/>
      <c r="O11" s="45"/>
      <c r="P11" s="45"/>
      <c r="Q11" s="45"/>
      <c r="R11" s="45"/>
      <c r="S11" s="45"/>
    </row>
    <row r="12" spans="1:19" x14ac:dyDescent="0.2">
      <c r="B12" s="5" t="s">
        <v>12</v>
      </c>
      <c r="C12" s="15">
        <v>0</v>
      </c>
      <c r="D12" s="15">
        <v>0.09</v>
      </c>
      <c r="E12" s="16">
        <v>0.43</v>
      </c>
      <c r="F12" s="18">
        <v>0.44</v>
      </c>
      <c r="G12" s="18">
        <v>1</v>
      </c>
      <c r="H12" s="18">
        <v>1</v>
      </c>
      <c r="I12" s="18">
        <v>1</v>
      </c>
      <c r="J12" s="18">
        <v>1</v>
      </c>
      <c r="K12" s="18">
        <v>1</v>
      </c>
      <c r="L12" s="63">
        <v>1</v>
      </c>
      <c r="M12" s="15">
        <v>1</v>
      </c>
      <c r="N12" s="15">
        <v>1</v>
      </c>
      <c r="O12" s="15">
        <v>1</v>
      </c>
      <c r="P12" s="15">
        <v>1</v>
      </c>
      <c r="Q12" s="15">
        <v>1</v>
      </c>
      <c r="R12" s="15">
        <v>1</v>
      </c>
      <c r="S12" s="15">
        <v>1</v>
      </c>
    </row>
    <row r="13" spans="1:19" x14ac:dyDescent="0.2">
      <c r="B13" s="5" t="s">
        <v>13</v>
      </c>
      <c r="C13" s="10">
        <v>0.89</v>
      </c>
      <c r="D13" s="10">
        <v>1</v>
      </c>
      <c r="E13" s="11">
        <v>1</v>
      </c>
      <c r="F13" s="11">
        <v>1</v>
      </c>
      <c r="G13" s="11">
        <v>1</v>
      </c>
      <c r="H13" s="11">
        <v>1</v>
      </c>
      <c r="I13" s="36"/>
      <c r="J13" s="36"/>
      <c r="K13" s="36"/>
      <c r="L13" s="45"/>
      <c r="M13" s="45"/>
      <c r="N13" s="45"/>
      <c r="O13" s="45"/>
      <c r="P13" s="45"/>
      <c r="Q13" s="45"/>
      <c r="R13" s="45"/>
      <c r="S13" s="45"/>
    </row>
    <row r="14" spans="1:19" x14ac:dyDescent="0.2">
      <c r="B14" s="5" t="s">
        <v>14</v>
      </c>
      <c r="C14" s="15">
        <v>0</v>
      </c>
      <c r="D14" s="15">
        <v>0.69</v>
      </c>
      <c r="E14" s="16">
        <v>1</v>
      </c>
      <c r="F14" s="16">
        <v>1</v>
      </c>
      <c r="G14" s="16">
        <v>1</v>
      </c>
      <c r="H14" s="16">
        <v>1</v>
      </c>
      <c r="I14" s="41"/>
      <c r="J14" s="41"/>
      <c r="K14" s="41"/>
      <c r="L14" s="41"/>
      <c r="M14" s="41"/>
      <c r="N14" s="41"/>
      <c r="O14" s="41"/>
      <c r="P14" s="41"/>
      <c r="Q14" s="41"/>
      <c r="R14" s="41"/>
      <c r="S14" s="41"/>
    </row>
    <row r="15" spans="1:19" x14ac:dyDescent="0.2">
      <c r="B15" s="5" t="s">
        <v>161</v>
      </c>
      <c r="C15" s="19">
        <v>0.09</v>
      </c>
      <c r="D15" s="19">
        <v>0.24</v>
      </c>
      <c r="E15" s="20">
        <v>0.85</v>
      </c>
      <c r="F15" s="20">
        <v>1</v>
      </c>
      <c r="G15" s="20">
        <v>1</v>
      </c>
      <c r="H15" s="20">
        <v>1</v>
      </c>
      <c r="I15" s="42"/>
      <c r="J15" s="42"/>
      <c r="K15" s="42"/>
      <c r="L15" s="42"/>
      <c r="M15" s="42"/>
      <c r="N15" s="42"/>
      <c r="O15" s="42"/>
      <c r="P15" s="42"/>
      <c r="Q15" s="42"/>
      <c r="R15" s="42"/>
      <c r="S15" s="42"/>
    </row>
    <row r="16" spans="1:19" x14ac:dyDescent="0.2">
      <c r="B16" s="5" t="s">
        <v>15</v>
      </c>
      <c r="C16" s="10">
        <v>1</v>
      </c>
      <c r="D16" s="10">
        <v>1</v>
      </c>
      <c r="E16" s="11">
        <v>1</v>
      </c>
      <c r="F16" s="11">
        <v>1</v>
      </c>
      <c r="G16" s="11">
        <v>1</v>
      </c>
      <c r="H16" s="11">
        <v>1</v>
      </c>
      <c r="I16" s="36"/>
      <c r="J16" s="36"/>
      <c r="K16" s="36"/>
      <c r="L16" s="36"/>
      <c r="M16" s="36"/>
      <c r="N16" s="36"/>
      <c r="O16" s="36"/>
      <c r="P16" s="36"/>
      <c r="Q16" s="36"/>
      <c r="R16" s="36"/>
      <c r="S16" s="36"/>
    </row>
    <row r="17" spans="2:20" x14ac:dyDescent="0.2">
      <c r="B17" s="5" t="s">
        <v>16</v>
      </c>
      <c r="C17" s="10">
        <v>1</v>
      </c>
      <c r="D17" s="10">
        <v>1</v>
      </c>
      <c r="E17" s="11">
        <v>1</v>
      </c>
      <c r="F17" s="11">
        <v>1</v>
      </c>
      <c r="G17" s="11">
        <v>1</v>
      </c>
      <c r="H17" s="11">
        <v>1</v>
      </c>
      <c r="I17" s="36"/>
      <c r="J17" s="36"/>
      <c r="K17" s="36"/>
      <c r="L17" s="36"/>
      <c r="M17" s="36"/>
      <c r="N17" s="36"/>
      <c r="O17" s="36"/>
      <c r="P17" s="36"/>
      <c r="Q17" s="36"/>
      <c r="R17" s="36"/>
      <c r="S17" s="36"/>
    </row>
    <row r="18" spans="2:20" x14ac:dyDescent="0.2">
      <c r="B18" s="5" t="s">
        <v>17</v>
      </c>
      <c r="C18" s="10">
        <v>1</v>
      </c>
      <c r="D18" s="10">
        <v>1</v>
      </c>
      <c r="E18" s="11">
        <v>1</v>
      </c>
      <c r="F18" s="11">
        <v>1</v>
      </c>
      <c r="G18" s="11">
        <v>1</v>
      </c>
      <c r="H18" s="11">
        <v>1</v>
      </c>
      <c r="I18" s="36"/>
      <c r="J18" s="36"/>
      <c r="K18" s="36"/>
      <c r="L18" s="36"/>
      <c r="M18" s="36"/>
      <c r="N18" s="36"/>
      <c r="O18" s="36"/>
      <c r="P18" s="36"/>
      <c r="Q18" s="36"/>
      <c r="R18" s="36"/>
      <c r="S18" s="36"/>
    </row>
    <row r="19" spans="2:20" x14ac:dyDescent="0.2">
      <c r="B19" s="5" t="s">
        <v>18</v>
      </c>
      <c r="C19" s="10">
        <v>1</v>
      </c>
      <c r="D19" s="10">
        <v>1</v>
      </c>
      <c r="E19" s="11">
        <v>1</v>
      </c>
      <c r="F19" s="11">
        <v>1</v>
      </c>
      <c r="G19" s="11">
        <v>1</v>
      </c>
      <c r="H19" s="11">
        <v>1</v>
      </c>
      <c r="I19" s="36"/>
      <c r="J19" s="36"/>
      <c r="K19" s="36"/>
      <c r="L19" s="36"/>
      <c r="M19" s="36"/>
      <c r="N19" s="36"/>
      <c r="O19" s="36"/>
      <c r="P19" s="36"/>
      <c r="Q19" s="36"/>
      <c r="R19" s="36"/>
      <c r="S19" s="36"/>
    </row>
    <row r="20" spans="2:20" x14ac:dyDescent="0.2">
      <c r="B20" s="5" t="s">
        <v>19</v>
      </c>
      <c r="C20" s="10">
        <v>1</v>
      </c>
      <c r="D20" s="10">
        <v>1</v>
      </c>
      <c r="E20" s="11">
        <v>1</v>
      </c>
      <c r="F20" s="11">
        <v>0.4</v>
      </c>
      <c r="G20" s="11">
        <v>1</v>
      </c>
      <c r="H20" s="11">
        <v>1</v>
      </c>
      <c r="I20" s="36"/>
      <c r="J20" s="36"/>
      <c r="K20" s="36"/>
      <c r="L20" s="45"/>
      <c r="M20" s="45"/>
      <c r="N20" s="45"/>
      <c r="O20" s="45"/>
      <c r="P20" s="45"/>
      <c r="Q20" s="45"/>
      <c r="R20" s="45"/>
      <c r="S20" s="45"/>
    </row>
    <row r="21" spans="2:20" x14ac:dyDescent="0.2">
      <c r="B21" s="5" t="s">
        <v>2</v>
      </c>
      <c r="C21" s="10">
        <v>0</v>
      </c>
      <c r="D21" s="10">
        <v>0.12</v>
      </c>
      <c r="E21" s="12">
        <v>0.3</v>
      </c>
      <c r="F21" s="12">
        <v>1</v>
      </c>
      <c r="G21" s="12">
        <v>1</v>
      </c>
      <c r="H21" s="12">
        <v>1</v>
      </c>
      <c r="I21" s="12">
        <v>1</v>
      </c>
      <c r="J21" s="12">
        <v>1</v>
      </c>
      <c r="K21" s="12">
        <v>1</v>
      </c>
      <c r="L21" s="63">
        <v>1</v>
      </c>
      <c r="M21" s="15">
        <v>1</v>
      </c>
      <c r="N21" s="15">
        <v>1</v>
      </c>
      <c r="O21" s="15">
        <v>1</v>
      </c>
      <c r="P21" s="15">
        <v>1</v>
      </c>
      <c r="Q21" s="15">
        <v>1</v>
      </c>
      <c r="R21" s="15">
        <v>1</v>
      </c>
      <c r="S21" s="15">
        <v>1</v>
      </c>
      <c r="T21" s="1" t="s">
        <v>168</v>
      </c>
    </row>
    <row r="22" spans="2:20" x14ac:dyDescent="0.2">
      <c r="B22" s="5" t="s">
        <v>20</v>
      </c>
      <c r="C22" s="10">
        <v>1</v>
      </c>
      <c r="D22" s="10">
        <v>1</v>
      </c>
      <c r="E22" s="11">
        <v>1</v>
      </c>
      <c r="F22" s="11">
        <v>1</v>
      </c>
      <c r="G22" s="11">
        <v>1</v>
      </c>
      <c r="H22" s="11">
        <v>1</v>
      </c>
      <c r="I22" s="36"/>
      <c r="J22" s="36"/>
      <c r="K22" s="36"/>
      <c r="L22" s="36"/>
      <c r="M22" s="36"/>
      <c r="N22" s="36"/>
      <c r="O22" s="36"/>
      <c r="P22" s="36"/>
      <c r="Q22" s="36"/>
      <c r="R22" s="36"/>
      <c r="S22" s="36"/>
    </row>
    <row r="23" spans="2:20" x14ac:dyDescent="0.2">
      <c r="B23" s="5" t="s">
        <v>160</v>
      </c>
      <c r="C23" s="10">
        <v>1</v>
      </c>
      <c r="D23" s="10">
        <v>1</v>
      </c>
      <c r="E23" s="11">
        <v>1</v>
      </c>
      <c r="F23" s="11">
        <v>1</v>
      </c>
      <c r="G23" s="11">
        <v>1</v>
      </c>
      <c r="H23" s="11">
        <v>1</v>
      </c>
      <c r="I23" s="36"/>
      <c r="J23" s="36"/>
      <c r="K23" s="36"/>
      <c r="L23" s="36"/>
      <c r="M23" s="36"/>
      <c r="N23" s="36"/>
      <c r="O23" s="36"/>
      <c r="P23" s="36"/>
      <c r="Q23" s="36"/>
      <c r="R23" s="36"/>
      <c r="S23" s="36"/>
    </row>
    <row r="24" spans="2:20" x14ac:dyDescent="0.2">
      <c r="B24" s="5" t="s">
        <v>159</v>
      </c>
      <c r="C24" s="10">
        <v>1</v>
      </c>
      <c r="D24" s="10">
        <v>1</v>
      </c>
      <c r="E24" s="11">
        <v>1</v>
      </c>
      <c r="F24" s="11">
        <v>1</v>
      </c>
      <c r="G24" s="11">
        <v>1</v>
      </c>
      <c r="H24" s="11">
        <v>1</v>
      </c>
      <c r="I24" s="36"/>
      <c r="J24" s="36"/>
      <c r="K24" s="36"/>
      <c r="L24" s="36"/>
      <c r="M24" s="36"/>
      <c r="N24" s="36"/>
      <c r="O24" s="36"/>
      <c r="P24" s="36"/>
      <c r="Q24" s="36"/>
      <c r="R24" s="36"/>
      <c r="S24" s="36"/>
    </row>
    <row r="25" spans="2:20" x14ac:dyDescent="0.2">
      <c r="B25" s="5" t="s">
        <v>158</v>
      </c>
      <c r="C25" s="10">
        <v>1</v>
      </c>
      <c r="D25" s="10">
        <v>1</v>
      </c>
      <c r="E25" s="11">
        <v>1</v>
      </c>
      <c r="F25" s="11">
        <v>1</v>
      </c>
      <c r="G25" s="11">
        <v>1</v>
      </c>
      <c r="H25" s="11">
        <v>1</v>
      </c>
      <c r="I25" s="36"/>
      <c r="J25" s="36"/>
      <c r="K25" s="36"/>
      <c r="L25" s="36"/>
      <c r="M25" s="36"/>
      <c r="N25" s="36"/>
      <c r="O25" s="36"/>
      <c r="P25" s="36"/>
      <c r="Q25" s="36"/>
      <c r="R25" s="36"/>
      <c r="S25" s="36"/>
    </row>
    <row r="26" spans="2:20" x14ac:dyDescent="0.2">
      <c r="B26" s="5" t="s">
        <v>157</v>
      </c>
      <c r="C26" s="22"/>
      <c r="D26" s="22"/>
      <c r="E26" s="10"/>
      <c r="F26" s="10">
        <v>0.1</v>
      </c>
      <c r="G26" s="10">
        <v>0.19</v>
      </c>
      <c r="H26" s="12">
        <v>0.22</v>
      </c>
      <c r="I26" s="12">
        <v>0.23</v>
      </c>
      <c r="J26" s="12">
        <v>0.34</v>
      </c>
      <c r="K26" s="12">
        <v>0.49</v>
      </c>
      <c r="L26" s="64">
        <v>0.54</v>
      </c>
      <c r="M26" s="64">
        <v>0.7</v>
      </c>
      <c r="N26" s="64">
        <v>0.82</v>
      </c>
      <c r="O26" s="64">
        <f>94%</f>
        <v>0.94</v>
      </c>
      <c r="P26" s="64">
        <v>1</v>
      </c>
      <c r="Q26" s="64">
        <v>1</v>
      </c>
      <c r="R26" s="64">
        <v>1</v>
      </c>
      <c r="S26" s="64">
        <v>1</v>
      </c>
    </row>
    <row r="27" spans="2:20" x14ac:dyDescent="0.2">
      <c r="B27" s="5" t="s">
        <v>156</v>
      </c>
      <c r="C27" s="22"/>
      <c r="D27" s="22"/>
      <c r="E27" s="22"/>
      <c r="F27" s="22"/>
      <c r="G27" s="22"/>
      <c r="H27" s="32"/>
      <c r="I27" s="32"/>
      <c r="J27" s="33"/>
      <c r="K27" s="33"/>
      <c r="L27" s="33"/>
      <c r="M27" s="33"/>
      <c r="N27" s="33"/>
      <c r="O27" s="33"/>
      <c r="P27" s="33"/>
      <c r="Q27" s="33"/>
      <c r="R27" s="33"/>
      <c r="S27" s="33"/>
    </row>
    <row r="28" spans="2:20" x14ac:dyDescent="0.2">
      <c r="B28" s="5" t="s">
        <v>155</v>
      </c>
      <c r="C28" s="22"/>
      <c r="D28" s="22"/>
      <c r="E28" s="22"/>
      <c r="F28" s="10">
        <v>0.15</v>
      </c>
      <c r="G28" s="10">
        <v>0.92</v>
      </c>
      <c r="H28" s="10">
        <v>1</v>
      </c>
      <c r="I28" s="36"/>
      <c r="J28" s="36"/>
      <c r="K28" s="36"/>
      <c r="L28" s="36"/>
      <c r="M28" s="36"/>
      <c r="N28" s="36"/>
      <c r="O28" s="36"/>
      <c r="P28" s="36"/>
      <c r="Q28" s="36"/>
      <c r="R28" s="36"/>
      <c r="S28" s="36"/>
    </row>
    <row r="29" spans="2:20" x14ac:dyDescent="0.2">
      <c r="B29" s="5" t="s">
        <v>45</v>
      </c>
      <c r="C29" s="23"/>
      <c r="D29" s="23"/>
      <c r="E29" s="23">
        <v>0.24</v>
      </c>
      <c r="F29" s="23">
        <v>0.89</v>
      </c>
      <c r="G29" s="23">
        <v>1</v>
      </c>
      <c r="H29" s="35"/>
      <c r="I29" s="35"/>
      <c r="J29" s="35"/>
      <c r="K29" s="35"/>
      <c r="L29" s="29"/>
      <c r="M29" s="44"/>
      <c r="N29" s="64">
        <v>1</v>
      </c>
      <c r="O29" s="44"/>
      <c r="P29" s="44"/>
      <c r="Q29" s="44"/>
      <c r="R29" s="44"/>
      <c r="S29" s="44"/>
    </row>
    <row r="30" spans="2:20" x14ac:dyDescent="0.2">
      <c r="B30" s="5" t="s">
        <v>154</v>
      </c>
      <c r="C30" s="23"/>
      <c r="D30" s="23"/>
      <c r="E30" s="23"/>
      <c r="F30" s="23">
        <v>0.43</v>
      </c>
      <c r="G30" s="23">
        <v>0.87</v>
      </c>
      <c r="H30" s="23">
        <v>1</v>
      </c>
      <c r="I30" s="23">
        <v>0.89</v>
      </c>
      <c r="J30" s="35"/>
      <c r="K30" s="29">
        <v>0.94</v>
      </c>
      <c r="L30" s="29">
        <v>1</v>
      </c>
      <c r="M30" s="45"/>
      <c r="N30" s="45"/>
      <c r="O30" s="45"/>
      <c r="P30" s="45"/>
      <c r="Q30" s="45"/>
      <c r="R30" s="45"/>
      <c r="S30" s="45"/>
    </row>
    <row r="31" spans="2:20" x14ac:dyDescent="0.2">
      <c r="B31" s="5" t="s">
        <v>153</v>
      </c>
      <c r="C31" s="23"/>
      <c r="D31" s="23"/>
      <c r="E31" s="23"/>
      <c r="F31" s="29"/>
      <c r="G31" s="29"/>
      <c r="H31" s="23">
        <v>0.6</v>
      </c>
      <c r="I31" s="23">
        <v>0.84</v>
      </c>
      <c r="J31" s="23">
        <v>1</v>
      </c>
      <c r="K31" s="35"/>
      <c r="L31" s="35"/>
      <c r="M31" s="35"/>
      <c r="N31" s="35"/>
      <c r="O31" s="35"/>
      <c r="P31" s="35"/>
      <c r="Q31" s="35"/>
      <c r="R31" s="35"/>
      <c r="S31" s="35"/>
    </row>
    <row r="32" spans="2:20" x14ac:dyDescent="0.2">
      <c r="B32" s="5" t="s">
        <v>54</v>
      </c>
      <c r="C32" s="23"/>
      <c r="D32" s="23"/>
      <c r="E32" s="23"/>
      <c r="F32" s="29"/>
      <c r="G32" s="29"/>
      <c r="H32" s="23">
        <v>0.5</v>
      </c>
      <c r="I32" s="23">
        <v>0.65</v>
      </c>
      <c r="J32" s="23">
        <v>0.87</v>
      </c>
      <c r="K32" s="23">
        <v>0.85</v>
      </c>
      <c r="L32" s="29">
        <v>1</v>
      </c>
      <c r="M32" s="45"/>
      <c r="N32" s="45"/>
      <c r="O32" s="45"/>
      <c r="P32" s="45"/>
      <c r="Q32" s="45"/>
      <c r="R32" s="45"/>
      <c r="S32" s="45"/>
    </row>
    <row r="33" spans="2:19" x14ac:dyDescent="0.2">
      <c r="B33" s="5" t="s">
        <v>70</v>
      </c>
      <c r="C33" s="23"/>
      <c r="D33" s="23"/>
      <c r="E33" s="23"/>
      <c r="F33" s="29"/>
      <c r="G33" s="29"/>
      <c r="H33" s="23">
        <v>1</v>
      </c>
      <c r="I33" s="23">
        <v>1</v>
      </c>
      <c r="J33" s="23">
        <v>1</v>
      </c>
      <c r="K33" s="35"/>
      <c r="L33" s="35"/>
      <c r="M33" s="35"/>
      <c r="N33" s="35"/>
      <c r="O33" s="35"/>
      <c r="P33" s="35"/>
      <c r="Q33" s="35"/>
      <c r="R33" s="35"/>
      <c r="S33" s="35"/>
    </row>
    <row r="34" spans="2:19" x14ac:dyDescent="0.2">
      <c r="B34" s="5" t="s">
        <v>55</v>
      </c>
      <c r="C34" s="23"/>
      <c r="D34" s="23"/>
      <c r="E34" s="23"/>
      <c r="F34" s="29"/>
      <c r="G34" s="29"/>
      <c r="H34" s="28">
        <v>0.43</v>
      </c>
      <c r="I34" s="28">
        <v>1</v>
      </c>
      <c r="J34" s="28">
        <v>1</v>
      </c>
      <c r="K34" s="28">
        <v>1</v>
      </c>
      <c r="L34" s="29">
        <v>1</v>
      </c>
      <c r="M34" s="45"/>
      <c r="N34" s="45"/>
      <c r="O34" s="45"/>
      <c r="P34" s="45"/>
      <c r="Q34" s="45"/>
      <c r="R34" s="45"/>
      <c r="S34" s="45"/>
    </row>
    <row r="35" spans="2:19" x14ac:dyDescent="0.2">
      <c r="B35" s="37" t="s">
        <v>57</v>
      </c>
      <c r="C35" s="23"/>
      <c r="D35" s="23"/>
      <c r="E35" s="23"/>
      <c r="F35" s="29"/>
      <c r="G35" s="29"/>
      <c r="H35" s="23">
        <v>0.5</v>
      </c>
      <c r="I35" s="23">
        <v>0.63</v>
      </c>
      <c r="J35" s="23">
        <v>0.79</v>
      </c>
      <c r="K35" s="23">
        <v>0.54</v>
      </c>
      <c r="L35" s="64">
        <v>0.82</v>
      </c>
      <c r="M35" s="64">
        <v>0.91</v>
      </c>
      <c r="N35" s="64">
        <v>1</v>
      </c>
      <c r="O35" s="45"/>
      <c r="P35" s="45"/>
      <c r="Q35" s="45"/>
      <c r="R35" s="45"/>
      <c r="S35" s="45"/>
    </row>
    <row r="36" spans="2:19" x14ac:dyDescent="0.2">
      <c r="B36" s="5" t="s">
        <v>58</v>
      </c>
      <c r="C36" s="23"/>
      <c r="D36" s="23"/>
      <c r="E36" s="23"/>
      <c r="F36" s="29"/>
      <c r="G36" s="29"/>
      <c r="H36" s="23">
        <v>0.08</v>
      </c>
      <c r="I36" s="23">
        <v>0.31</v>
      </c>
      <c r="J36" s="23">
        <v>0.53</v>
      </c>
      <c r="K36" s="23">
        <v>0.67</v>
      </c>
      <c r="L36" s="64">
        <v>0.56000000000000005</v>
      </c>
      <c r="M36" s="64">
        <v>0.9</v>
      </c>
      <c r="N36" s="64">
        <v>1</v>
      </c>
      <c r="O36" s="45"/>
      <c r="P36" s="45"/>
      <c r="Q36" s="45"/>
      <c r="R36" s="45"/>
      <c r="S36" s="45"/>
    </row>
    <row r="37" spans="2:19" x14ac:dyDescent="0.2">
      <c r="B37" s="5" t="s">
        <v>59</v>
      </c>
      <c r="C37" s="23"/>
      <c r="D37" s="23"/>
      <c r="E37" s="23"/>
      <c r="F37" s="29"/>
      <c r="G37" s="29"/>
      <c r="H37" s="28">
        <v>1</v>
      </c>
      <c r="I37" s="28">
        <v>1</v>
      </c>
      <c r="J37" s="28">
        <v>1</v>
      </c>
      <c r="K37" s="35"/>
      <c r="L37" s="35"/>
      <c r="M37" s="35"/>
      <c r="N37" s="35"/>
      <c r="O37" s="35"/>
      <c r="P37" s="35"/>
      <c r="Q37" s="35"/>
      <c r="R37" s="35"/>
      <c r="S37" s="35"/>
    </row>
    <row r="38" spans="2:19" x14ac:dyDescent="0.2">
      <c r="B38" s="5" t="s">
        <v>60</v>
      </c>
      <c r="C38" s="23"/>
      <c r="D38" s="23"/>
      <c r="E38" s="23"/>
      <c r="F38" s="29"/>
      <c r="G38" s="29"/>
      <c r="H38" s="23">
        <v>0.34</v>
      </c>
      <c r="I38" s="23">
        <v>0.61</v>
      </c>
      <c r="J38" s="23">
        <v>0.87</v>
      </c>
      <c r="K38" s="23">
        <v>0.93</v>
      </c>
      <c r="L38" s="64">
        <v>1</v>
      </c>
      <c r="M38" s="64">
        <v>1</v>
      </c>
      <c r="N38" s="35"/>
      <c r="O38" s="35"/>
      <c r="P38" s="35"/>
      <c r="Q38" s="35"/>
      <c r="R38" s="35"/>
      <c r="S38" s="35"/>
    </row>
    <row r="39" spans="2:19" x14ac:dyDescent="0.2">
      <c r="B39" s="5" t="s">
        <v>100</v>
      </c>
      <c r="C39" s="23"/>
      <c r="D39" s="23"/>
      <c r="E39" s="23"/>
      <c r="F39" s="29"/>
      <c r="G39" s="29"/>
      <c r="H39" s="23"/>
      <c r="I39" s="23"/>
      <c r="J39" s="23">
        <v>1</v>
      </c>
      <c r="K39" s="35"/>
      <c r="L39" s="35"/>
      <c r="M39" s="35"/>
      <c r="N39" s="35"/>
      <c r="O39" s="35"/>
      <c r="P39" s="35"/>
      <c r="Q39" s="35"/>
      <c r="R39" s="35"/>
      <c r="S39" s="35"/>
    </row>
    <row r="40" spans="2:19" x14ac:dyDescent="0.2">
      <c r="B40" s="5" t="s">
        <v>93</v>
      </c>
      <c r="C40" s="23"/>
      <c r="D40" s="23"/>
      <c r="E40" s="23"/>
      <c r="F40" s="29"/>
      <c r="G40" s="29"/>
      <c r="H40" s="23"/>
      <c r="I40" s="23">
        <v>1</v>
      </c>
      <c r="J40" s="35"/>
      <c r="K40" s="35"/>
      <c r="L40" s="35"/>
      <c r="M40" s="35"/>
      <c r="N40" s="35"/>
      <c r="O40" s="35"/>
      <c r="P40" s="35"/>
      <c r="Q40" s="35"/>
      <c r="R40" s="35"/>
      <c r="S40" s="35"/>
    </row>
    <row r="41" spans="2:19" x14ac:dyDescent="0.2">
      <c r="B41" s="5" t="s">
        <v>105</v>
      </c>
      <c r="C41" s="23"/>
      <c r="D41" s="23"/>
      <c r="E41" s="23"/>
      <c r="F41" s="29"/>
      <c r="G41" s="29"/>
      <c r="H41" s="23"/>
      <c r="I41" s="23"/>
      <c r="J41" s="23">
        <v>0.06</v>
      </c>
      <c r="K41" s="23">
        <v>0.62</v>
      </c>
      <c r="L41" s="64">
        <v>0.93</v>
      </c>
      <c r="M41" s="64">
        <v>1</v>
      </c>
      <c r="N41" s="64">
        <v>1</v>
      </c>
      <c r="O41" s="45"/>
      <c r="P41" s="45"/>
      <c r="Q41" s="45"/>
      <c r="R41" s="45"/>
      <c r="S41" s="45"/>
    </row>
    <row r="42" spans="2:19" x14ac:dyDescent="0.2">
      <c r="B42" s="17" t="s">
        <v>106</v>
      </c>
      <c r="C42" s="23"/>
      <c r="D42" s="23"/>
      <c r="E42" s="23"/>
      <c r="F42" s="29"/>
      <c r="G42" s="29"/>
      <c r="H42" s="23"/>
      <c r="I42" s="23"/>
      <c r="J42" s="23">
        <v>0.03</v>
      </c>
      <c r="K42" s="23">
        <v>0.06</v>
      </c>
      <c r="L42" s="44"/>
      <c r="M42" s="64">
        <v>0.21</v>
      </c>
      <c r="N42" s="64">
        <v>0.26</v>
      </c>
      <c r="O42" s="64">
        <v>0.31</v>
      </c>
      <c r="P42" s="64">
        <v>0.38</v>
      </c>
      <c r="Q42" s="64">
        <v>0.42</v>
      </c>
      <c r="R42" s="64">
        <v>0.48</v>
      </c>
      <c r="S42" s="64">
        <v>0.62</v>
      </c>
    </row>
    <row r="43" spans="2:19" x14ac:dyDescent="0.2">
      <c r="B43" s="17" t="s">
        <v>107</v>
      </c>
      <c r="C43" s="23"/>
      <c r="D43" s="23"/>
      <c r="E43" s="23"/>
      <c r="F43" s="29"/>
      <c r="G43" s="29"/>
      <c r="H43" s="23"/>
      <c r="I43" s="23"/>
      <c r="J43" s="23"/>
      <c r="K43" s="23"/>
      <c r="L43" s="35"/>
      <c r="M43" s="45"/>
      <c r="N43" s="45"/>
      <c r="O43" s="45"/>
      <c r="P43" s="45"/>
      <c r="Q43" s="45"/>
      <c r="R43" s="45"/>
      <c r="S43" s="45"/>
    </row>
    <row r="44" spans="2:19" x14ac:dyDescent="0.2">
      <c r="B44" s="37" t="s">
        <v>108</v>
      </c>
      <c r="C44" s="23"/>
      <c r="D44" s="23"/>
      <c r="E44" s="23"/>
      <c r="F44" s="29"/>
      <c r="G44" s="29"/>
      <c r="H44" s="23"/>
      <c r="I44" s="23"/>
      <c r="J44" s="23">
        <v>0.27600000000000002</v>
      </c>
      <c r="K44" s="23">
        <v>0.71</v>
      </c>
      <c r="L44" s="64">
        <v>1</v>
      </c>
      <c r="M44" s="64">
        <v>1</v>
      </c>
      <c r="N44" s="64">
        <v>1</v>
      </c>
      <c r="O44" s="45"/>
      <c r="P44" s="45"/>
      <c r="Q44" s="45"/>
      <c r="R44" s="45"/>
      <c r="S44" s="45"/>
    </row>
    <row r="45" spans="2:19" x14ac:dyDescent="0.2">
      <c r="B45" s="5" t="s">
        <v>116</v>
      </c>
      <c r="C45" s="23"/>
      <c r="D45" s="23"/>
      <c r="E45" s="23"/>
      <c r="F45" s="29"/>
      <c r="G45" s="29"/>
      <c r="H45" s="23"/>
      <c r="I45" s="23"/>
      <c r="J45" s="23"/>
      <c r="K45" s="23">
        <v>0.6</v>
      </c>
      <c r="L45" s="66">
        <v>0.7</v>
      </c>
      <c r="M45" s="64">
        <v>0.71</v>
      </c>
      <c r="N45" s="64">
        <v>0.97</v>
      </c>
      <c r="O45" s="64">
        <v>1</v>
      </c>
      <c r="P45" s="45"/>
      <c r="Q45" s="45"/>
      <c r="R45" s="45"/>
      <c r="S45" s="45"/>
    </row>
    <row r="46" spans="2:19" x14ac:dyDescent="0.2">
      <c r="B46" s="5" t="s">
        <v>118</v>
      </c>
      <c r="C46" s="23"/>
      <c r="D46" s="23"/>
      <c r="E46" s="23"/>
      <c r="F46" s="29"/>
      <c r="G46" s="29"/>
      <c r="H46" s="23"/>
      <c r="I46" s="23"/>
      <c r="J46" s="23"/>
      <c r="K46" s="23">
        <v>0.37</v>
      </c>
      <c r="L46" s="64">
        <v>0.85</v>
      </c>
      <c r="M46" s="64">
        <v>1</v>
      </c>
      <c r="N46" s="64">
        <v>1</v>
      </c>
      <c r="O46" s="45"/>
      <c r="P46" s="45"/>
      <c r="Q46" s="45"/>
      <c r="R46" s="45"/>
      <c r="S46" s="45"/>
    </row>
    <row r="47" spans="2:19" x14ac:dyDescent="0.2">
      <c r="B47" s="5" t="s">
        <v>119</v>
      </c>
      <c r="C47" s="23"/>
      <c r="D47" s="23"/>
      <c r="E47" s="23"/>
      <c r="F47" s="29"/>
      <c r="G47" s="29"/>
      <c r="H47" s="23"/>
      <c r="I47" s="23"/>
      <c r="J47" s="23"/>
      <c r="K47" s="23">
        <v>0.06</v>
      </c>
      <c r="L47" s="64">
        <v>0.55000000000000004</v>
      </c>
      <c r="M47" s="64">
        <v>0.76</v>
      </c>
      <c r="N47" s="64">
        <v>1</v>
      </c>
      <c r="O47" s="45"/>
      <c r="P47" s="45"/>
      <c r="Q47" s="45"/>
      <c r="R47" s="45"/>
      <c r="S47" s="45"/>
    </row>
    <row r="48" spans="2:19" x14ac:dyDescent="0.2">
      <c r="B48" s="5" t="str">
        <f>+'POM 2024'!B49</f>
        <v>Banco Santander_Yauricocha y Bolivar</v>
      </c>
      <c r="C48" s="23"/>
      <c r="D48" s="23"/>
      <c r="E48" s="23"/>
      <c r="F48" s="29"/>
      <c r="G48" s="29"/>
      <c r="H48" s="23"/>
      <c r="I48" s="23"/>
      <c r="J48" s="23"/>
      <c r="K48" s="23"/>
      <c r="L48" s="64">
        <f>AVERAGE(0.1,0.15,0.21)</f>
        <v>0.15333333333333332</v>
      </c>
      <c r="M48" s="64">
        <f>AVERAGE(0.1,0.15,0.21)</f>
        <v>0.15333333333333332</v>
      </c>
      <c r="N48" s="64">
        <f>AVERAGE(0.3,0.58,0.62)</f>
        <v>0.5</v>
      </c>
      <c r="O48" s="64">
        <f>AVERAGE(0.84,0.82,0.69)</f>
        <v>0.78333333333333321</v>
      </c>
      <c r="P48" s="64">
        <v>1</v>
      </c>
      <c r="Q48" s="45"/>
      <c r="R48" s="45"/>
      <c r="S48" s="45"/>
    </row>
    <row r="49" spans="2:22" x14ac:dyDescent="0.2">
      <c r="B49" s="5" t="str">
        <f>+'POM 2024'!B50</f>
        <v>Minsur_Apoyo Planificacion San Rafael</v>
      </c>
      <c r="C49" s="23"/>
      <c r="D49" s="23"/>
      <c r="E49" s="23"/>
      <c r="F49" s="29"/>
      <c r="G49" s="29"/>
      <c r="H49" s="23"/>
      <c r="I49" s="23"/>
      <c r="J49" s="23"/>
      <c r="K49" s="23"/>
      <c r="L49" s="64">
        <f>AVERAGE(0.14,0.17,0.11)</f>
        <v>0.14000000000000001</v>
      </c>
      <c r="M49" s="64">
        <f>AVERAGE(0.14,0.17,0.11)</f>
        <v>0.14000000000000001</v>
      </c>
      <c r="N49" s="64">
        <f>AVERAGE(0.38,0.57,0.24)</f>
        <v>0.39666666666666667</v>
      </c>
      <c r="O49" s="64">
        <f>AVERAGE(0.8,0.65,0.47)</f>
        <v>0.64</v>
      </c>
      <c r="P49" s="64">
        <f>AVERAGE(0.89,0.71,0.58)</f>
        <v>0.72666666666666668</v>
      </c>
      <c r="Q49" s="64">
        <f>AVERAGE(0.96,0.77,0.78)</f>
        <v>0.83666666666666656</v>
      </c>
      <c r="R49" s="64">
        <v>1</v>
      </c>
      <c r="S49" s="45"/>
      <c r="U49" s="74"/>
    </row>
    <row r="50" spans="2:22" x14ac:dyDescent="0.2">
      <c r="B50" s="5" t="s">
        <v>184</v>
      </c>
      <c r="C50" s="23"/>
      <c r="D50" s="23"/>
      <c r="E50" s="23"/>
      <c r="F50" s="29"/>
      <c r="G50" s="29"/>
      <c r="H50" s="23"/>
      <c r="I50" s="23"/>
      <c r="J50" s="23"/>
      <c r="K50" s="23"/>
      <c r="L50" s="64">
        <v>0.23</v>
      </c>
      <c r="M50" s="64">
        <v>0.5</v>
      </c>
      <c r="N50" s="64">
        <v>0.71</v>
      </c>
      <c r="O50" s="64">
        <v>0.76</v>
      </c>
      <c r="P50" s="64">
        <v>0.85</v>
      </c>
      <c r="Q50" s="64">
        <v>0.96</v>
      </c>
      <c r="R50" s="64">
        <v>1</v>
      </c>
      <c r="S50" s="45"/>
      <c r="U50" s="74"/>
    </row>
    <row r="51" spans="2:22" x14ac:dyDescent="0.2">
      <c r="B51" s="5" t="str">
        <f>+'POM 2024'!B51</f>
        <v>Capstone Copper_Estimacion confiabilidad de planes</v>
      </c>
      <c r="C51" s="23"/>
      <c r="D51" s="23"/>
      <c r="E51" s="23"/>
      <c r="F51" s="29"/>
      <c r="G51" s="29"/>
      <c r="H51" s="23"/>
      <c r="I51" s="23"/>
      <c r="J51" s="23"/>
      <c r="K51" s="23"/>
      <c r="L51" s="64"/>
      <c r="N51" s="64">
        <v>0.28000000000000003</v>
      </c>
      <c r="O51" s="64">
        <v>0.59</v>
      </c>
      <c r="P51" s="64">
        <v>0.79</v>
      </c>
      <c r="Q51" s="64">
        <v>1</v>
      </c>
      <c r="R51" s="45"/>
      <c r="S51" s="45"/>
    </row>
    <row r="52" spans="2:22" x14ac:dyDescent="0.2">
      <c r="B52" s="5" t="str">
        <f>+'POM 2024'!B52</f>
        <v>Minsur_Rampa de acceso San German</v>
      </c>
      <c r="C52" s="23"/>
      <c r="D52" s="23"/>
      <c r="E52" s="23"/>
      <c r="F52" s="29"/>
      <c r="G52" s="29"/>
      <c r="H52" s="23"/>
      <c r="I52" s="23"/>
      <c r="J52" s="23"/>
      <c r="K52" s="23"/>
      <c r="L52" s="64">
        <f>AVERAGE(0.1,0.2,0.53)</f>
        <v>0.27666666666666667</v>
      </c>
      <c r="M52" s="64">
        <v>0.89</v>
      </c>
      <c r="N52" s="64">
        <v>1</v>
      </c>
      <c r="O52" s="45"/>
      <c r="P52" s="45"/>
      <c r="Q52" s="45"/>
      <c r="R52" s="45"/>
      <c r="S52" s="45"/>
    </row>
    <row r="53" spans="2:22" x14ac:dyDescent="0.2">
      <c r="B53" s="5" t="str">
        <f>+'POM 2024'!B53</f>
        <v>McCarthy_Litigio Rio Tinto</v>
      </c>
      <c r="C53" s="23"/>
      <c r="D53" s="23"/>
      <c r="E53" s="23"/>
      <c r="F53" s="29"/>
      <c r="G53" s="29"/>
      <c r="H53" s="23"/>
      <c r="I53" s="23"/>
      <c r="J53" s="23"/>
      <c r="K53" s="23"/>
      <c r="L53" s="64">
        <v>0.14000000000000001</v>
      </c>
      <c r="M53" s="64">
        <v>0.14000000000000001</v>
      </c>
      <c r="N53" s="64">
        <v>0.39666666666666667</v>
      </c>
      <c r="O53" s="64">
        <v>0.64</v>
      </c>
      <c r="P53" s="64">
        <v>0.72666666666666668</v>
      </c>
      <c r="Q53" s="64">
        <v>0.83666666666666656</v>
      </c>
      <c r="R53" s="64">
        <v>1</v>
      </c>
      <c r="S53" s="45"/>
      <c r="V53">
        <f>40-14</f>
        <v>26</v>
      </c>
    </row>
    <row r="54" spans="2:22" x14ac:dyDescent="0.2">
      <c r="B54" s="5" t="str">
        <f>+'POM 2024'!B54</f>
        <v>Eurochem_Himmelfarb Deposit</v>
      </c>
      <c r="C54" s="22"/>
      <c r="D54" s="22"/>
      <c r="E54" s="22"/>
      <c r="F54" s="22"/>
      <c r="G54" s="22"/>
      <c r="H54" s="22"/>
      <c r="I54" s="22"/>
      <c r="J54" s="22"/>
      <c r="K54" s="22"/>
      <c r="L54" s="64">
        <v>0.03</v>
      </c>
      <c r="M54" s="64">
        <v>0.1</v>
      </c>
      <c r="N54" s="64">
        <v>0.68</v>
      </c>
      <c r="O54" s="64">
        <v>0.97</v>
      </c>
      <c r="P54" s="64">
        <v>1</v>
      </c>
      <c r="Q54" s="45"/>
      <c r="R54" s="45"/>
      <c r="S54" s="45"/>
    </row>
    <row r="55" spans="2:22" x14ac:dyDescent="0.2">
      <c r="B55" s="5" t="str">
        <f>+'POM 2024'!B55</f>
        <v>J&amp;F_Urucrum_RecuperacionPilares</v>
      </c>
      <c r="C55" s="22"/>
      <c r="D55" s="22"/>
      <c r="E55" s="22"/>
      <c r="F55" s="22"/>
      <c r="G55" s="22"/>
      <c r="H55" s="22"/>
      <c r="I55" s="22"/>
      <c r="J55" s="22"/>
      <c r="K55" s="22"/>
      <c r="L55" s="64">
        <v>0.2</v>
      </c>
      <c r="M55" s="64">
        <v>0.55000000000000004</v>
      </c>
      <c r="N55" s="64"/>
      <c r="O55" s="64"/>
      <c r="P55" s="64"/>
      <c r="Q55" s="45"/>
      <c r="R55" s="45"/>
      <c r="S55" s="45"/>
    </row>
    <row r="56" spans="2:22" x14ac:dyDescent="0.2">
      <c r="B56" s="5" t="str">
        <f>+'POM 2024'!B56</f>
        <v>Boston_Inmaculada Hochschild II</v>
      </c>
      <c r="C56" s="22"/>
      <c r="D56" s="22"/>
      <c r="E56" s="22"/>
      <c r="F56" s="22"/>
      <c r="G56" s="22"/>
      <c r="H56" s="22"/>
      <c r="I56" s="22"/>
      <c r="J56" s="22"/>
      <c r="K56" s="22"/>
      <c r="L56" s="64"/>
      <c r="M56" s="64">
        <v>1</v>
      </c>
      <c r="N56" s="64"/>
      <c r="O56" s="64"/>
      <c r="P56" s="64"/>
      <c r="Q56" s="45"/>
      <c r="R56" s="45"/>
      <c r="S56" s="45"/>
    </row>
    <row r="57" spans="2:22" x14ac:dyDescent="0.2">
      <c r="B57" s="5" t="str">
        <f>+'POM 2024'!B57</f>
        <v>Spence_Confiabilidad Plan 2YB 2025</v>
      </c>
      <c r="C57" s="22"/>
      <c r="D57" s="22"/>
      <c r="E57" s="22"/>
      <c r="F57" s="22"/>
      <c r="G57" s="22"/>
      <c r="H57" s="22"/>
      <c r="I57" s="22"/>
      <c r="J57" s="22"/>
      <c r="K57" s="22"/>
      <c r="L57" s="64">
        <v>1</v>
      </c>
      <c r="M57" s="45"/>
      <c r="N57" s="45"/>
      <c r="O57" s="45"/>
      <c r="P57" s="45"/>
      <c r="Q57" s="45"/>
      <c r="R57" s="45"/>
      <c r="S57" s="45"/>
      <c r="V57" s="73"/>
    </row>
    <row r="58" spans="2:22" x14ac:dyDescent="0.2">
      <c r="B58" s="5" t="str">
        <f>+'POM 2024'!B58</f>
        <v>Minsur_Mejoramiento datos geotecnicos SR</v>
      </c>
      <c r="C58" s="22"/>
      <c r="D58" s="22"/>
      <c r="E58" s="22"/>
      <c r="F58" s="22"/>
      <c r="G58" s="22"/>
      <c r="H58" s="22"/>
      <c r="I58" s="22"/>
      <c r="J58" s="22"/>
      <c r="K58" s="22"/>
      <c r="L58" s="64"/>
      <c r="M58" s="64"/>
      <c r="N58" s="64"/>
      <c r="O58" s="64"/>
      <c r="P58" s="64"/>
      <c r="Q58" s="45"/>
      <c r="R58" s="45"/>
      <c r="S58" s="45"/>
    </row>
    <row r="59" spans="2:22" x14ac:dyDescent="0.2">
      <c r="B59" s="5" t="str">
        <f>+'POM 2024'!B59</f>
        <v>Minsur_Apoyo MEIA Raura</v>
      </c>
      <c r="C59" s="22"/>
      <c r="D59" s="22"/>
      <c r="E59" s="22"/>
      <c r="F59" s="22"/>
      <c r="G59" s="22"/>
      <c r="H59" s="22"/>
      <c r="I59" s="22"/>
      <c r="J59" s="22"/>
      <c r="K59" s="22"/>
      <c r="L59" s="64">
        <v>1</v>
      </c>
      <c r="M59" s="45"/>
      <c r="N59" s="45"/>
      <c r="O59" s="45"/>
      <c r="P59" s="45"/>
      <c r="Q59" s="45"/>
      <c r="R59" s="45"/>
      <c r="S59" s="45"/>
    </row>
    <row r="60" spans="2:22" x14ac:dyDescent="0.2">
      <c r="B60" s="5" t="str">
        <f>+'POM 2024'!B60</f>
        <v>LOM CNN 2023</v>
      </c>
      <c r="C60" s="22"/>
      <c r="D60" s="22"/>
      <c r="E60" s="22"/>
      <c r="F60" s="22"/>
      <c r="G60" s="22"/>
      <c r="H60" s="22"/>
      <c r="I60" s="22"/>
      <c r="J60" s="22"/>
      <c r="K60" s="22"/>
      <c r="L60" s="64"/>
      <c r="M60" s="64"/>
      <c r="N60" s="64"/>
      <c r="O60" s="64"/>
      <c r="P60" s="64"/>
      <c r="Q60" s="45"/>
      <c r="R60" s="45"/>
      <c r="S60" s="45"/>
    </row>
    <row r="61" spans="2:22" x14ac:dyDescent="0.2">
      <c r="B61" s="5" t="str">
        <f>+'POM 2024'!B61</f>
        <v>CMP_LOM MLC 2024</v>
      </c>
      <c r="C61" s="22"/>
      <c r="D61" s="22"/>
      <c r="E61" s="22"/>
      <c r="F61" s="22"/>
      <c r="G61" s="22"/>
      <c r="H61" s="22"/>
      <c r="I61" s="22"/>
      <c r="J61" s="22"/>
      <c r="K61" s="22"/>
      <c r="L61" s="64"/>
      <c r="M61" s="64"/>
      <c r="N61" s="64"/>
      <c r="O61" s="64"/>
      <c r="P61" s="64"/>
      <c r="Q61" s="45"/>
      <c r="R61" s="45"/>
      <c r="S61" s="45"/>
    </row>
    <row r="62" spans="2:22" x14ac:dyDescent="0.2">
      <c r="B62" s="5" t="str">
        <f>+'POM 2024'!B62</f>
        <v>CMP_Puesta en marcha SLS Romeral</v>
      </c>
      <c r="C62" s="22"/>
      <c r="D62" s="22"/>
      <c r="E62" s="22"/>
      <c r="F62" s="22"/>
      <c r="G62" s="22"/>
      <c r="H62" s="22"/>
      <c r="I62" s="22"/>
      <c r="J62" s="22"/>
      <c r="K62" s="22"/>
      <c r="L62" s="64"/>
      <c r="M62" s="64"/>
      <c r="N62" s="64"/>
      <c r="O62" s="64"/>
      <c r="P62" s="64"/>
      <c r="Q62" s="45"/>
      <c r="R62" s="45"/>
      <c r="S62" s="45"/>
    </row>
    <row r="63" spans="2:22" x14ac:dyDescent="0.2">
      <c r="B63" s="5" t="s">
        <v>205</v>
      </c>
      <c r="C63" s="22"/>
      <c r="D63" s="22"/>
      <c r="E63" s="22"/>
      <c r="F63" s="22"/>
      <c r="G63" s="22"/>
      <c r="H63" s="22"/>
      <c r="I63" s="22"/>
      <c r="J63" s="22"/>
      <c r="K63" s="22"/>
      <c r="L63" s="64"/>
      <c r="M63" s="64">
        <v>0.28000000000000003</v>
      </c>
      <c r="N63" s="64">
        <v>0.59</v>
      </c>
      <c r="O63" s="64">
        <v>0.79</v>
      </c>
      <c r="P63" s="64">
        <v>1</v>
      </c>
      <c r="Q63" s="45"/>
      <c r="R63" s="45"/>
      <c r="S63" s="45"/>
    </row>
    <row r="64" spans="2:22" x14ac:dyDescent="0.2">
      <c r="B64" s="22" t="s">
        <v>217</v>
      </c>
      <c r="C64" s="22"/>
      <c r="D64" s="22"/>
      <c r="E64" s="22"/>
      <c r="F64" s="22"/>
      <c r="G64" s="22"/>
      <c r="H64" s="22"/>
      <c r="I64" s="22"/>
      <c r="J64" s="22"/>
      <c r="K64" s="22"/>
      <c r="L64" s="64"/>
      <c r="M64" s="64"/>
      <c r="N64" s="64"/>
      <c r="O64" s="64"/>
      <c r="P64" s="64"/>
      <c r="Q64" s="45"/>
      <c r="R64" s="45"/>
      <c r="S64" s="45"/>
    </row>
    <row r="65" spans="2:19" x14ac:dyDescent="0.2">
      <c r="B65" s="22" t="s">
        <v>218</v>
      </c>
      <c r="C65" s="22"/>
      <c r="D65" s="22"/>
      <c r="E65" s="22"/>
      <c r="F65" s="22"/>
      <c r="G65" s="22"/>
      <c r="H65" s="22"/>
      <c r="I65" s="22"/>
      <c r="J65" s="22"/>
      <c r="K65" s="22"/>
      <c r="L65" s="64"/>
      <c r="M65" s="64"/>
      <c r="N65" s="64"/>
      <c r="O65" s="64"/>
      <c r="P65" s="64"/>
      <c r="Q65" s="45"/>
      <c r="R65" s="45"/>
      <c r="S65" s="45"/>
    </row>
    <row r="66" spans="2:19" x14ac:dyDescent="0.2">
      <c r="B66" s="22" t="s">
        <v>219</v>
      </c>
      <c r="C66" s="22"/>
      <c r="D66" s="22"/>
      <c r="E66" s="22"/>
      <c r="F66" s="22"/>
      <c r="G66" s="22"/>
      <c r="H66" s="22"/>
      <c r="I66" s="22"/>
      <c r="J66" s="22"/>
      <c r="K66" s="22"/>
      <c r="L66" s="64"/>
      <c r="M66" s="64"/>
      <c r="N66" s="64"/>
      <c r="O66" s="64"/>
      <c r="P66" s="64"/>
      <c r="Q66" s="45"/>
      <c r="R66" s="45"/>
      <c r="S66" s="45"/>
    </row>
    <row r="67" spans="2:19" x14ac:dyDescent="0.2">
      <c r="B67" s="22" t="s">
        <v>220</v>
      </c>
      <c r="C67" s="22"/>
      <c r="D67" s="22"/>
      <c r="E67" s="22"/>
      <c r="F67" s="22"/>
      <c r="G67" s="22"/>
      <c r="H67" s="22"/>
      <c r="I67" s="22"/>
      <c r="J67" s="22"/>
      <c r="K67" s="22"/>
      <c r="L67" s="64"/>
      <c r="M67" s="64"/>
      <c r="N67" s="64">
        <v>1</v>
      </c>
      <c r="O67" s="64"/>
      <c r="P67" s="64"/>
      <c r="Q67" s="45"/>
      <c r="R67" s="45"/>
      <c r="S67" s="45"/>
    </row>
    <row r="68" spans="2:19" x14ac:dyDescent="0.2">
      <c r="B68" s="22" t="s">
        <v>224</v>
      </c>
      <c r="C68" s="22"/>
      <c r="D68" s="22"/>
      <c r="E68" s="22"/>
      <c r="F68" s="22"/>
      <c r="G68" s="22"/>
      <c r="H68" s="22"/>
      <c r="I68" s="22"/>
      <c r="J68" s="22"/>
      <c r="K68" s="22"/>
      <c r="L68" s="64"/>
      <c r="M68" s="64"/>
      <c r="N68" s="64">
        <v>0.31</v>
      </c>
      <c r="O68" s="64">
        <v>0.83</v>
      </c>
      <c r="P68" s="64">
        <v>1</v>
      </c>
      <c r="Q68" s="45"/>
      <c r="R68" s="45"/>
      <c r="S68" s="45"/>
    </row>
    <row r="69" spans="2:19" x14ac:dyDescent="0.2">
      <c r="B69" s="22" t="s">
        <v>226</v>
      </c>
      <c r="C69" s="22"/>
      <c r="D69" s="22"/>
      <c r="E69" s="22"/>
      <c r="F69" s="22"/>
      <c r="G69" s="22"/>
      <c r="H69" s="22"/>
      <c r="I69" s="22"/>
      <c r="J69" s="22"/>
      <c r="K69" s="22"/>
      <c r="L69" s="64"/>
      <c r="M69" s="64"/>
      <c r="N69" s="64">
        <v>0.4</v>
      </c>
      <c r="O69" s="64">
        <v>1</v>
      </c>
      <c r="P69" s="64"/>
      <c r="Q69" s="45"/>
      <c r="R69" s="45"/>
      <c r="S69" s="45"/>
    </row>
    <row r="70" spans="2:19" x14ac:dyDescent="0.2">
      <c r="B70" s="22" t="s">
        <v>218</v>
      </c>
      <c r="C70" s="22"/>
      <c r="D70" s="22"/>
      <c r="E70" s="22"/>
      <c r="F70" s="22"/>
      <c r="G70" s="22"/>
      <c r="H70" s="22"/>
      <c r="I70" s="22"/>
      <c r="J70" s="22"/>
      <c r="K70" s="22"/>
      <c r="L70" s="64"/>
      <c r="M70" s="64"/>
      <c r="N70" s="64"/>
      <c r="O70" s="64"/>
      <c r="P70" s="64"/>
      <c r="Q70" s="45"/>
      <c r="R70" s="45"/>
      <c r="S70" s="45"/>
    </row>
    <row r="71" spans="2:19" x14ac:dyDescent="0.2">
      <c r="B71" s="22" t="s">
        <v>217</v>
      </c>
      <c r="C71" s="22"/>
      <c r="D71" s="22"/>
      <c r="E71" s="22"/>
      <c r="F71" s="22"/>
      <c r="G71" s="22"/>
      <c r="H71" s="22"/>
      <c r="I71" s="22"/>
      <c r="J71" s="22"/>
      <c r="K71" s="22"/>
      <c r="L71" s="64"/>
      <c r="M71" s="64"/>
      <c r="N71" s="64"/>
      <c r="O71" s="64"/>
      <c r="P71" s="64"/>
      <c r="Q71" s="45"/>
      <c r="R71" s="45"/>
      <c r="S71" s="45"/>
    </row>
    <row r="72" spans="2:19" x14ac:dyDescent="0.2">
      <c r="B72" s="22" t="s">
        <v>225</v>
      </c>
      <c r="C72" s="22"/>
      <c r="D72" s="22"/>
      <c r="E72" s="22"/>
      <c r="F72" s="22"/>
      <c r="G72" s="22"/>
      <c r="H72" s="22"/>
      <c r="I72" s="22"/>
      <c r="J72" s="22"/>
      <c r="K72" s="22"/>
      <c r="L72" s="64"/>
      <c r="M72" s="64"/>
      <c r="N72" s="64"/>
      <c r="O72" s="64"/>
      <c r="P72" s="64"/>
      <c r="Q72" s="45"/>
      <c r="R72" s="45"/>
      <c r="S72" s="45"/>
    </row>
    <row r="73" spans="2:19" x14ac:dyDescent="0.2">
      <c r="B73" s="22" t="s">
        <v>227</v>
      </c>
      <c r="C73" s="22"/>
      <c r="D73" s="22"/>
      <c r="E73" s="22"/>
      <c r="F73" s="22"/>
      <c r="G73" s="22"/>
      <c r="H73" s="22"/>
      <c r="I73" s="22"/>
      <c r="J73" s="22"/>
      <c r="K73" s="22"/>
      <c r="L73" s="64"/>
      <c r="M73" s="64"/>
      <c r="N73" s="64"/>
      <c r="O73" s="64"/>
      <c r="P73" s="64"/>
      <c r="Q73" s="45"/>
      <c r="R73" s="45"/>
      <c r="S73" s="45"/>
    </row>
    <row r="74" spans="2:19" x14ac:dyDescent="0.2">
      <c r="B74" s="22" t="s">
        <v>228</v>
      </c>
      <c r="C74" s="22"/>
      <c r="D74" s="22"/>
      <c r="E74" s="22"/>
      <c r="F74" s="22"/>
      <c r="G74" s="22"/>
      <c r="H74" s="22"/>
      <c r="I74" s="22"/>
      <c r="J74" s="22"/>
      <c r="K74" s="22"/>
      <c r="L74" s="64"/>
      <c r="M74" s="64"/>
      <c r="N74" s="64"/>
      <c r="O74" s="64"/>
      <c r="P74" s="64"/>
      <c r="Q74" s="45"/>
      <c r="R74" s="45"/>
      <c r="S74" s="45"/>
    </row>
  </sheetData>
  <autoFilter ref="A1:S1" xr:uid="{9BB5F7DC-C61A-4267-8CC7-7EA50E5EB05B}"/>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C00A6-6E16-41C1-90B5-F8D10D136866}">
  <sheetPr codeName="Hoja25">
    <tabColor theme="9" tint="-0.249977111117893"/>
  </sheetPr>
  <dimension ref="A1:L80"/>
  <sheetViews>
    <sheetView topLeftCell="A13" zoomScale="80" zoomScaleNormal="80" workbookViewId="0">
      <selection activeCell="I35" sqref="I35"/>
    </sheetView>
  </sheetViews>
  <sheetFormatPr baseColWidth="10" defaultRowHeight="15" x14ac:dyDescent="0.2"/>
  <cols>
    <col min="1" max="1" width="19.5" bestFit="1" customWidth="1"/>
    <col min="2" max="2" width="41.6640625" bestFit="1" customWidth="1"/>
    <col min="3" max="3" width="22.6640625" bestFit="1" customWidth="1"/>
    <col min="4" max="4" width="13.5" bestFit="1" customWidth="1"/>
    <col min="5" max="5" width="19.5" bestFit="1" customWidth="1"/>
    <col min="6" max="6" width="16.33203125" bestFit="1" customWidth="1"/>
    <col min="7" max="7" width="15.5" bestFit="1" customWidth="1"/>
    <col min="8" max="8" width="22.6640625" bestFit="1" customWidth="1"/>
    <col min="9" max="9" width="13.6640625" bestFit="1" customWidth="1"/>
    <col min="10" max="10" width="11.33203125" bestFit="1" customWidth="1"/>
    <col min="11" max="11" width="12.6640625" bestFit="1" customWidth="1"/>
  </cols>
  <sheetData>
    <row r="1" spans="1:12" x14ac:dyDescent="0.2">
      <c r="F1" s="111">
        <f>SUM(F22:F25)</f>
        <v>366737</v>
      </c>
      <c r="G1" s="111">
        <f>SUM(G22:G25)</f>
        <v>297004</v>
      </c>
      <c r="H1" s="137">
        <f>+G1/F1</f>
        <v>0.809855564069074</v>
      </c>
      <c r="I1" s="111">
        <f>SUM(I22:I25)</f>
        <v>69733</v>
      </c>
      <c r="J1" s="137">
        <f>+I1/F1</f>
        <v>0.19014443593092598</v>
      </c>
    </row>
    <row r="3" spans="1:12" s="138" customFormat="1" x14ac:dyDescent="0.2">
      <c r="A3" s="138" t="s">
        <v>125</v>
      </c>
      <c r="B3" s="138" t="s">
        <v>127</v>
      </c>
      <c r="C3" s="138" t="s">
        <v>169</v>
      </c>
      <c r="D3" s="138" t="s">
        <v>297</v>
      </c>
      <c r="E3" s="138" t="s">
        <v>103</v>
      </c>
      <c r="F3" s="138" t="s">
        <v>431</v>
      </c>
      <c r="G3" s="138" t="s">
        <v>432</v>
      </c>
      <c r="H3" s="138" t="s">
        <v>366</v>
      </c>
      <c r="I3" s="138" t="s">
        <v>430</v>
      </c>
      <c r="J3" s="138" t="s">
        <v>427</v>
      </c>
      <c r="K3" s="139" t="s">
        <v>428</v>
      </c>
      <c r="L3" s="138" t="s">
        <v>429</v>
      </c>
    </row>
    <row r="4" spans="1:12" s="138" customFormat="1" x14ac:dyDescent="0.2">
      <c r="A4" t="s">
        <v>419</v>
      </c>
      <c r="B4" t="s">
        <v>410</v>
      </c>
      <c r="C4" t="s">
        <v>308</v>
      </c>
      <c r="D4">
        <v>2025</v>
      </c>
      <c r="E4" t="s">
        <v>33</v>
      </c>
      <c r="F4" s="107">
        <v>330237.61</v>
      </c>
      <c r="G4" s="107">
        <v>12415</v>
      </c>
      <c r="H4" s="148">
        <f t="shared" ref="H4:H24" si="0">+G4/F4</f>
        <v>3.7594143198892462E-2</v>
      </c>
      <c r="I4" s="107">
        <f t="shared" ref="I4:I24" si="1">+F4-G4</f>
        <v>317822.61</v>
      </c>
      <c r="J4" s="148">
        <f t="shared" ref="J4:J24" si="2">+I4/F4</f>
        <v>0.96240585680110757</v>
      </c>
      <c r="K4" s="74">
        <f>+L4/$L$24</f>
        <v>0.14236106271020055</v>
      </c>
      <c r="L4" s="107">
        <f>+I4</f>
        <v>317822.61</v>
      </c>
    </row>
    <row r="5" spans="1:12" s="138" customFormat="1" x14ac:dyDescent="0.2">
      <c r="A5" t="s">
        <v>335</v>
      </c>
      <c r="B5" t="s">
        <v>319</v>
      </c>
      <c r="C5" t="s">
        <v>308</v>
      </c>
      <c r="D5">
        <v>2025</v>
      </c>
      <c r="E5" t="s">
        <v>33</v>
      </c>
      <c r="F5" s="107">
        <v>484000</v>
      </c>
      <c r="G5" s="107">
        <v>223644</v>
      </c>
      <c r="H5" s="148">
        <f t="shared" si="0"/>
        <v>0.46207438016528923</v>
      </c>
      <c r="I5" s="107">
        <f t="shared" si="1"/>
        <v>260356</v>
      </c>
      <c r="J5" s="148">
        <f t="shared" si="2"/>
        <v>0.53792561983471077</v>
      </c>
      <c r="K5" s="74">
        <f t="shared" ref="K5:K23" si="3">+L5/$L$24</f>
        <v>0.25898132721239242</v>
      </c>
      <c r="L5" s="107">
        <f>+L4+I5</f>
        <v>578178.61</v>
      </c>
    </row>
    <row r="6" spans="1:12" s="138" customFormat="1" x14ac:dyDescent="0.2">
      <c r="A6" t="s">
        <v>329</v>
      </c>
      <c r="B6" t="s">
        <v>306</v>
      </c>
      <c r="C6" t="s">
        <v>309</v>
      </c>
      <c r="D6">
        <v>2025</v>
      </c>
      <c r="E6" t="s">
        <v>443</v>
      </c>
      <c r="F6" s="107">
        <v>920000</v>
      </c>
      <c r="G6" s="107">
        <v>665060.59000000008</v>
      </c>
      <c r="H6" s="148">
        <f t="shared" si="0"/>
        <v>0.72289194565217396</v>
      </c>
      <c r="I6" s="107">
        <f t="shared" si="1"/>
        <v>254939.40999999992</v>
      </c>
      <c r="J6" s="148">
        <f t="shared" si="2"/>
        <v>0.27710805434782598</v>
      </c>
      <c r="K6" s="74">
        <f t="shared" si="3"/>
        <v>0.37317535933084844</v>
      </c>
      <c r="L6" s="107">
        <f t="shared" ref="L6:L24" si="4">+L5+I6</f>
        <v>833118.0199999999</v>
      </c>
    </row>
    <row r="7" spans="1:12" s="138" customFormat="1" x14ac:dyDescent="0.2">
      <c r="A7" t="s">
        <v>441</v>
      </c>
      <c r="B7" t="s">
        <v>437</v>
      </c>
      <c r="C7" t="s">
        <v>69</v>
      </c>
      <c r="D7">
        <v>2025</v>
      </c>
      <c r="E7" t="s">
        <v>315</v>
      </c>
      <c r="F7" s="107">
        <v>185615</v>
      </c>
      <c r="G7" s="107">
        <v>0</v>
      </c>
      <c r="H7" s="148">
        <f t="shared" si="0"/>
        <v>0</v>
      </c>
      <c r="I7" s="107">
        <f t="shared" si="1"/>
        <v>185615</v>
      </c>
      <c r="J7" s="148">
        <f t="shared" si="2"/>
        <v>1</v>
      </c>
      <c r="K7" s="74">
        <f t="shared" si="3"/>
        <v>0.4563171743670848</v>
      </c>
      <c r="L7" s="107">
        <f t="shared" si="4"/>
        <v>1018733.0199999999</v>
      </c>
    </row>
    <row r="8" spans="1:12" s="138" customFormat="1" x14ac:dyDescent="0.2">
      <c r="A8" t="s">
        <v>338</v>
      </c>
      <c r="B8" t="s">
        <v>323</v>
      </c>
      <c r="C8" t="s">
        <v>309</v>
      </c>
      <c r="D8">
        <v>2025</v>
      </c>
      <c r="E8" t="s">
        <v>162</v>
      </c>
      <c r="F8" s="107">
        <v>197494</v>
      </c>
      <c r="G8" s="107">
        <v>43788</v>
      </c>
      <c r="H8" s="148">
        <f t="shared" si="0"/>
        <v>0.22171812814566519</v>
      </c>
      <c r="I8" s="107">
        <f t="shared" si="1"/>
        <v>153706</v>
      </c>
      <c r="J8" s="148">
        <f t="shared" si="2"/>
        <v>0.77828187185433484</v>
      </c>
      <c r="K8" s="74">
        <f t="shared" si="3"/>
        <v>0.52516611341813002</v>
      </c>
      <c r="L8" s="107">
        <f t="shared" si="4"/>
        <v>1172439.02</v>
      </c>
    </row>
    <row r="9" spans="1:12" s="138" customFormat="1" x14ac:dyDescent="0.2">
      <c r="A9" t="s">
        <v>418</v>
      </c>
      <c r="B9" t="s">
        <v>409</v>
      </c>
      <c r="C9" t="s">
        <v>216</v>
      </c>
      <c r="D9">
        <v>2025</v>
      </c>
      <c r="E9" t="s">
        <v>32</v>
      </c>
      <c r="F9" s="107">
        <v>141656.26</v>
      </c>
      <c r="G9" s="107">
        <v>0</v>
      </c>
      <c r="H9" s="148">
        <f t="shared" si="0"/>
        <v>0</v>
      </c>
      <c r="I9" s="107">
        <f t="shared" si="1"/>
        <v>141656.26</v>
      </c>
      <c r="J9" s="148">
        <f t="shared" si="2"/>
        <v>1</v>
      </c>
      <c r="K9" s="74">
        <f t="shared" si="3"/>
        <v>0.58861765864693694</v>
      </c>
      <c r="L9" s="107">
        <f t="shared" si="4"/>
        <v>1314095.28</v>
      </c>
    </row>
    <row r="10" spans="1:12" s="138" customFormat="1" x14ac:dyDescent="0.2">
      <c r="A10" t="s">
        <v>364</v>
      </c>
      <c r="B10" t="s">
        <v>356</v>
      </c>
      <c r="C10" t="s">
        <v>216</v>
      </c>
      <c r="D10">
        <v>2025</v>
      </c>
      <c r="E10" t="s">
        <v>315</v>
      </c>
      <c r="F10" s="107">
        <v>123838.96</v>
      </c>
      <c r="G10" s="107">
        <v>0</v>
      </c>
      <c r="H10" s="148">
        <f t="shared" si="0"/>
        <v>0</v>
      </c>
      <c r="I10" s="107">
        <f t="shared" si="1"/>
        <v>123838.96</v>
      </c>
      <c r="J10" s="148">
        <f t="shared" si="2"/>
        <v>1</v>
      </c>
      <c r="K10" s="74">
        <f t="shared" si="3"/>
        <v>0.64408836902379152</v>
      </c>
      <c r="L10" s="107">
        <f t="shared" si="4"/>
        <v>1437934.24</v>
      </c>
    </row>
    <row r="11" spans="1:12" s="138" customFormat="1" x14ac:dyDescent="0.2">
      <c r="A11" t="s">
        <v>342</v>
      </c>
      <c r="B11" t="s">
        <v>327</v>
      </c>
      <c r="C11" t="s">
        <v>309</v>
      </c>
      <c r="D11">
        <v>2025</v>
      </c>
      <c r="E11" t="s">
        <v>439</v>
      </c>
      <c r="F11" s="107">
        <v>99244</v>
      </c>
      <c r="G11" s="107">
        <v>0</v>
      </c>
      <c r="H11" s="148">
        <f t="shared" si="0"/>
        <v>0</v>
      </c>
      <c r="I11" s="107">
        <f t="shared" si="1"/>
        <v>99244</v>
      </c>
      <c r="J11" s="148">
        <f t="shared" si="2"/>
        <v>1</v>
      </c>
      <c r="K11" s="74">
        <f t="shared" si="3"/>
        <v>0.68854235330014979</v>
      </c>
      <c r="L11" s="107">
        <f t="shared" si="4"/>
        <v>1537178.24</v>
      </c>
    </row>
    <row r="12" spans="1:12" s="138" customFormat="1" x14ac:dyDescent="0.2">
      <c r="A12" t="s">
        <v>331</v>
      </c>
      <c r="B12" t="s">
        <v>282</v>
      </c>
      <c r="C12" t="s">
        <v>308</v>
      </c>
      <c r="D12">
        <v>2024</v>
      </c>
      <c r="E12" t="s">
        <v>162</v>
      </c>
      <c r="F12" s="107">
        <v>330410</v>
      </c>
      <c r="G12" s="107">
        <v>242146.09</v>
      </c>
      <c r="H12" s="148">
        <f t="shared" si="0"/>
        <v>0.73286550043884868</v>
      </c>
      <c r="I12" s="107">
        <f t="shared" si="1"/>
        <v>88263.91</v>
      </c>
      <c r="J12" s="148">
        <f t="shared" si="2"/>
        <v>0.26713449956115132</v>
      </c>
      <c r="K12" s="74">
        <f t="shared" si="3"/>
        <v>0.72807806797619978</v>
      </c>
      <c r="L12" s="107">
        <f t="shared" si="4"/>
        <v>1625442.15</v>
      </c>
    </row>
    <row r="13" spans="1:12" s="138" customFormat="1" x14ac:dyDescent="0.2">
      <c r="A13" t="s">
        <v>353</v>
      </c>
      <c r="B13" t="s">
        <v>347</v>
      </c>
      <c r="C13" t="s">
        <v>309</v>
      </c>
      <c r="D13">
        <v>2025</v>
      </c>
      <c r="E13" t="s">
        <v>162</v>
      </c>
      <c r="F13" s="107">
        <v>80283</v>
      </c>
      <c r="G13" s="107">
        <v>0</v>
      </c>
      <c r="H13" s="148">
        <f t="shared" si="0"/>
        <v>0</v>
      </c>
      <c r="I13" s="107">
        <f t="shared" si="1"/>
        <v>80283</v>
      </c>
      <c r="J13" s="148">
        <f t="shared" si="2"/>
        <v>1</v>
      </c>
      <c r="K13" s="74">
        <f t="shared" si="3"/>
        <v>0.76403892424618958</v>
      </c>
      <c r="L13" s="107">
        <f t="shared" si="4"/>
        <v>1705725.15</v>
      </c>
    </row>
    <row r="14" spans="1:12" s="138" customFormat="1" x14ac:dyDescent="0.2">
      <c r="A14" s="140" t="s">
        <v>351</v>
      </c>
      <c r="B14" s="140" t="s">
        <v>345</v>
      </c>
      <c r="C14" s="140" t="s">
        <v>216</v>
      </c>
      <c r="D14" s="140">
        <v>2025</v>
      </c>
      <c r="E14" s="140" t="s">
        <v>32</v>
      </c>
      <c r="F14" s="141">
        <v>80125</v>
      </c>
      <c r="G14" s="141">
        <v>0</v>
      </c>
      <c r="H14" s="149">
        <f t="shared" si="0"/>
        <v>0</v>
      </c>
      <c r="I14" s="141">
        <f t="shared" si="1"/>
        <v>80125</v>
      </c>
      <c r="J14" s="149">
        <f t="shared" si="2"/>
        <v>1</v>
      </c>
      <c r="K14" s="142">
        <f t="shared" si="3"/>
        <v>0.79992900818217771</v>
      </c>
      <c r="L14" s="141">
        <f t="shared" si="4"/>
        <v>1785850.15</v>
      </c>
    </row>
    <row r="15" spans="1:12" s="138" customFormat="1" x14ac:dyDescent="0.2">
      <c r="A15" t="s">
        <v>341</v>
      </c>
      <c r="B15" t="s">
        <v>326</v>
      </c>
      <c r="C15" t="s">
        <v>216</v>
      </c>
      <c r="D15">
        <v>2025</v>
      </c>
      <c r="E15" t="s">
        <v>254</v>
      </c>
      <c r="F15" s="107">
        <v>148240</v>
      </c>
      <c r="G15" s="107">
        <v>88297</v>
      </c>
      <c r="H15" s="148">
        <f t="shared" si="0"/>
        <v>0.5956354560172693</v>
      </c>
      <c r="I15" s="107">
        <f t="shared" si="1"/>
        <v>59943</v>
      </c>
      <c r="J15" s="148">
        <f t="shared" si="2"/>
        <v>0.4043645439827307</v>
      </c>
      <c r="K15" s="74">
        <f t="shared" si="3"/>
        <v>0.82677904626486021</v>
      </c>
      <c r="L15" s="107">
        <f t="shared" si="4"/>
        <v>1845793.15</v>
      </c>
    </row>
    <row r="16" spans="1:12" s="138" customFormat="1" x14ac:dyDescent="0.2">
      <c r="A16" t="s">
        <v>440</v>
      </c>
      <c r="B16" t="s">
        <v>436</v>
      </c>
      <c r="C16" t="s">
        <v>216</v>
      </c>
      <c r="D16">
        <v>2025</v>
      </c>
      <c r="E16" t="s">
        <v>254</v>
      </c>
      <c r="F16" s="107">
        <v>84870</v>
      </c>
      <c r="G16" s="107">
        <v>26973</v>
      </c>
      <c r="H16" s="148">
        <f t="shared" si="0"/>
        <v>0.31781548250265113</v>
      </c>
      <c r="I16" s="107">
        <f t="shared" si="1"/>
        <v>57897</v>
      </c>
      <c r="J16" s="148">
        <f t="shared" si="2"/>
        <v>0.68218451749734887</v>
      </c>
      <c r="K16" s="74">
        <f t="shared" si="3"/>
        <v>0.85271262741483722</v>
      </c>
      <c r="L16" s="107">
        <f t="shared" si="4"/>
        <v>1903690.15</v>
      </c>
    </row>
    <row r="17" spans="1:12" s="138" customFormat="1" x14ac:dyDescent="0.2">
      <c r="A17" t="s">
        <v>421</v>
      </c>
      <c r="B17" t="s">
        <v>412</v>
      </c>
      <c r="C17" t="s">
        <v>216</v>
      </c>
      <c r="D17">
        <v>2025</v>
      </c>
      <c r="E17" t="s">
        <v>439</v>
      </c>
      <c r="F17" s="107">
        <v>78000</v>
      </c>
      <c r="G17" s="107">
        <v>23507</v>
      </c>
      <c r="H17" s="148">
        <f t="shared" si="0"/>
        <v>0.30137179487179488</v>
      </c>
      <c r="I17" s="107">
        <f t="shared" si="1"/>
        <v>54493</v>
      </c>
      <c r="J17" s="148">
        <f t="shared" si="2"/>
        <v>0.69862820512820512</v>
      </c>
      <c r="K17" s="74">
        <f t="shared" si="3"/>
        <v>0.87712146790062562</v>
      </c>
      <c r="L17" s="107">
        <f t="shared" si="4"/>
        <v>1958183.15</v>
      </c>
    </row>
    <row r="18" spans="1:12" s="138" customFormat="1" x14ac:dyDescent="0.2">
      <c r="A18" t="s">
        <v>442</v>
      </c>
      <c r="B18" t="s">
        <v>438</v>
      </c>
      <c r="C18" t="s">
        <v>216</v>
      </c>
      <c r="D18">
        <v>2025</v>
      </c>
      <c r="E18" t="s">
        <v>32</v>
      </c>
      <c r="F18" s="107">
        <v>52492</v>
      </c>
      <c r="G18" s="107">
        <v>0</v>
      </c>
      <c r="H18" s="148">
        <f t="shared" si="0"/>
        <v>0</v>
      </c>
      <c r="I18" s="107">
        <f t="shared" si="1"/>
        <v>52492</v>
      </c>
      <c r="J18" s="148">
        <f t="shared" si="2"/>
        <v>1</v>
      </c>
      <c r="K18" s="74">
        <f t="shared" si="3"/>
        <v>0.90063400813111416</v>
      </c>
      <c r="L18" s="107">
        <f t="shared" si="4"/>
        <v>2010675.15</v>
      </c>
    </row>
    <row r="19" spans="1:12" s="138" customFormat="1" x14ac:dyDescent="0.2">
      <c r="A19" t="s">
        <v>426</v>
      </c>
      <c r="B19" s="145" t="s">
        <v>425</v>
      </c>
      <c r="C19" t="s">
        <v>69</v>
      </c>
      <c r="D19">
        <v>2025</v>
      </c>
      <c r="E19" t="s">
        <v>439</v>
      </c>
      <c r="F19" s="107">
        <v>52400</v>
      </c>
      <c r="G19" s="107">
        <v>0</v>
      </c>
      <c r="H19" s="148">
        <f t="shared" si="0"/>
        <v>0</v>
      </c>
      <c r="I19" s="107">
        <f t="shared" si="1"/>
        <v>52400</v>
      </c>
      <c r="J19" s="148">
        <f t="shared" si="2"/>
        <v>1</v>
      </c>
      <c r="K19" s="74">
        <f t="shared" si="3"/>
        <v>0.92410533915446236</v>
      </c>
      <c r="L19" s="107">
        <f t="shared" si="4"/>
        <v>2063075.15</v>
      </c>
    </row>
    <row r="20" spans="1:12" s="138" customFormat="1" x14ac:dyDescent="0.2">
      <c r="A20" t="s">
        <v>336</v>
      </c>
      <c r="B20" t="s">
        <v>321</v>
      </c>
      <c r="C20" t="s">
        <v>216</v>
      </c>
      <c r="D20">
        <v>2025</v>
      </c>
      <c r="E20" t="s">
        <v>32</v>
      </c>
      <c r="F20" s="107">
        <v>299270</v>
      </c>
      <c r="G20" s="107">
        <v>248626</v>
      </c>
      <c r="H20" s="148">
        <f t="shared" si="0"/>
        <v>0.83077488555485013</v>
      </c>
      <c r="I20" s="107">
        <f t="shared" si="1"/>
        <v>50644</v>
      </c>
      <c r="J20" s="148">
        <f t="shared" si="2"/>
        <v>0.16922511444514987</v>
      </c>
      <c r="K20" s="74">
        <f t="shared" si="3"/>
        <v>0.94679011183282968</v>
      </c>
      <c r="L20" s="107">
        <f t="shared" si="4"/>
        <v>2113719.15</v>
      </c>
    </row>
    <row r="21" spans="1:12" s="138" customFormat="1" x14ac:dyDescent="0.2">
      <c r="A21" t="s">
        <v>350</v>
      </c>
      <c r="B21" t="s">
        <v>344</v>
      </c>
      <c r="C21" t="s">
        <v>308</v>
      </c>
      <c r="D21">
        <v>2025</v>
      </c>
      <c r="E21" t="s">
        <v>33</v>
      </c>
      <c r="F21" s="107">
        <v>78007.649999999994</v>
      </c>
      <c r="G21" s="107">
        <v>28949</v>
      </c>
      <c r="H21" s="148">
        <f t="shared" si="0"/>
        <v>0.37110462884088935</v>
      </c>
      <c r="I21" s="107">
        <f t="shared" si="1"/>
        <v>49058.649999999994</v>
      </c>
      <c r="J21" s="148">
        <f t="shared" si="2"/>
        <v>0.62889537115911065</v>
      </c>
      <c r="K21" s="74">
        <f t="shared" si="3"/>
        <v>0.96876476476619955</v>
      </c>
      <c r="L21" s="107">
        <f t="shared" si="4"/>
        <v>2162777.7999999998</v>
      </c>
    </row>
    <row r="22" spans="1:12" x14ac:dyDescent="0.2">
      <c r="A22" t="s">
        <v>349</v>
      </c>
      <c r="B22" t="s">
        <v>343</v>
      </c>
      <c r="C22" t="s">
        <v>308</v>
      </c>
      <c r="D22">
        <v>2025</v>
      </c>
      <c r="E22" t="s">
        <v>315</v>
      </c>
      <c r="F22" s="107">
        <v>106000</v>
      </c>
      <c r="G22" s="107">
        <v>74379</v>
      </c>
      <c r="H22" s="148">
        <f t="shared" si="0"/>
        <v>0.701688679245283</v>
      </c>
      <c r="I22" s="107">
        <f t="shared" si="1"/>
        <v>31621</v>
      </c>
      <c r="J22" s="148">
        <f t="shared" si="2"/>
        <v>0.298311320754717</v>
      </c>
      <c r="K22" s="74">
        <f t="shared" si="3"/>
        <v>0.98292863801599528</v>
      </c>
      <c r="L22" s="107">
        <f t="shared" si="4"/>
        <v>2194398.7999999998</v>
      </c>
    </row>
    <row r="23" spans="1:12" x14ac:dyDescent="0.2">
      <c r="A23" t="s">
        <v>363</v>
      </c>
      <c r="B23" s="145" t="s">
        <v>355</v>
      </c>
      <c r="C23" t="s">
        <v>309</v>
      </c>
      <c r="D23">
        <v>2025</v>
      </c>
      <c r="E23" t="s">
        <v>162</v>
      </c>
      <c r="F23" s="107">
        <v>29716</v>
      </c>
      <c r="G23" s="107">
        <v>0</v>
      </c>
      <c r="H23" s="148">
        <f t="shared" si="0"/>
        <v>0</v>
      </c>
      <c r="I23" s="107">
        <f t="shared" si="1"/>
        <v>29716</v>
      </c>
      <c r="J23" s="148">
        <f t="shared" si="2"/>
        <v>1</v>
      </c>
      <c r="K23" s="74">
        <f t="shared" si="3"/>
        <v>0.99623921192228948</v>
      </c>
      <c r="L23" s="107">
        <f t="shared" si="4"/>
        <v>2224114.7999999998</v>
      </c>
    </row>
    <row r="24" spans="1:12" x14ac:dyDescent="0.2">
      <c r="A24" t="s">
        <v>330</v>
      </c>
      <c r="B24" t="s">
        <v>305</v>
      </c>
      <c r="C24" t="s">
        <v>309</v>
      </c>
      <c r="D24">
        <v>2025</v>
      </c>
      <c r="E24" t="s">
        <v>443</v>
      </c>
      <c r="F24" s="107">
        <v>231021</v>
      </c>
      <c r="G24" s="107">
        <v>222625</v>
      </c>
      <c r="H24" s="148">
        <f t="shared" si="0"/>
        <v>0.96365698356426477</v>
      </c>
      <c r="I24" s="107">
        <f t="shared" si="1"/>
        <v>8396</v>
      </c>
      <c r="J24" s="148">
        <f t="shared" si="2"/>
        <v>3.634301643573528E-2</v>
      </c>
      <c r="K24" s="74">
        <f>+L24/$L$24</f>
        <v>1</v>
      </c>
      <c r="L24" s="107">
        <f t="shared" si="4"/>
        <v>2232510.7999999998</v>
      </c>
    </row>
    <row r="25" spans="1:12" x14ac:dyDescent="0.2">
      <c r="A25" s="145"/>
      <c r="B25" s="145"/>
      <c r="C25" s="145"/>
      <c r="D25" s="145"/>
      <c r="E25" s="145"/>
      <c r="F25" s="146"/>
      <c r="G25" s="146"/>
      <c r="H25" s="147"/>
      <c r="I25" s="146"/>
      <c r="J25" s="147"/>
      <c r="K25" s="147"/>
      <c r="L25" s="146"/>
    </row>
    <row r="29" spans="1:12" x14ac:dyDescent="0.2">
      <c r="A29" s="75" t="s">
        <v>316</v>
      </c>
      <c r="B29" t="s">
        <v>433</v>
      </c>
      <c r="C29" t="s">
        <v>434</v>
      </c>
    </row>
    <row r="30" spans="1:12" x14ac:dyDescent="0.2">
      <c r="A30" s="76" t="s">
        <v>308</v>
      </c>
      <c r="B30" s="107">
        <v>747122.17</v>
      </c>
      <c r="C30" s="74">
        <f>+B30/$B$34</f>
        <v>0.33465556807160801</v>
      </c>
    </row>
    <row r="31" spans="1:12" x14ac:dyDescent="0.2">
      <c r="A31" s="76" t="s">
        <v>309</v>
      </c>
      <c r="B31" s="107">
        <v>626284.40999999992</v>
      </c>
      <c r="C31" s="74">
        <f t="shared" ref="C31:C34" si="5">+B31/$B$34</f>
        <v>0.28052917369985397</v>
      </c>
    </row>
    <row r="32" spans="1:12" x14ac:dyDescent="0.2">
      <c r="A32" s="76" t="s">
        <v>216</v>
      </c>
      <c r="B32" s="107">
        <v>621089.22</v>
      </c>
      <c r="C32" s="74">
        <f t="shared" si="5"/>
        <v>0.27820211216895346</v>
      </c>
    </row>
    <row r="33" spans="1:4" x14ac:dyDescent="0.2">
      <c r="A33" s="76" t="s">
        <v>69</v>
      </c>
      <c r="B33" s="107">
        <v>238015</v>
      </c>
      <c r="C33" s="74">
        <f t="shared" si="5"/>
        <v>0.10661314605958458</v>
      </c>
    </row>
    <row r="34" spans="1:4" x14ac:dyDescent="0.2">
      <c r="A34" s="76" t="s">
        <v>183</v>
      </c>
      <c r="B34" s="107">
        <v>2232510.7999999998</v>
      </c>
      <c r="C34" s="74">
        <f t="shared" si="5"/>
        <v>1</v>
      </c>
    </row>
    <row r="37" spans="1:4" x14ac:dyDescent="0.2">
      <c r="A37" s="75" t="s">
        <v>316</v>
      </c>
      <c r="B37" t="s">
        <v>433</v>
      </c>
      <c r="C37" t="s">
        <v>435</v>
      </c>
    </row>
    <row r="38" spans="1:4" x14ac:dyDescent="0.2">
      <c r="A38" s="76" t="s">
        <v>33</v>
      </c>
      <c r="B38" s="107">
        <v>627237.26</v>
      </c>
      <c r="C38">
        <v>3</v>
      </c>
      <c r="D38" s="107"/>
    </row>
    <row r="39" spans="1:4" x14ac:dyDescent="0.2">
      <c r="A39" s="76" t="s">
        <v>162</v>
      </c>
      <c r="B39" s="107">
        <v>351968.91000000003</v>
      </c>
      <c r="C39">
        <v>4</v>
      </c>
      <c r="D39" s="107"/>
    </row>
    <row r="40" spans="1:4" x14ac:dyDescent="0.2">
      <c r="A40" s="76" t="s">
        <v>315</v>
      </c>
      <c r="B40" s="107">
        <v>341074.96</v>
      </c>
      <c r="C40">
        <v>3</v>
      </c>
      <c r="D40" s="107"/>
    </row>
    <row r="41" spans="1:4" x14ac:dyDescent="0.2">
      <c r="A41" s="76" t="s">
        <v>32</v>
      </c>
      <c r="B41" s="107">
        <v>324917.26</v>
      </c>
      <c r="C41">
        <v>4</v>
      </c>
      <c r="D41" s="107"/>
    </row>
    <row r="42" spans="1:4" x14ac:dyDescent="0.2">
      <c r="A42" s="76" t="s">
        <v>443</v>
      </c>
      <c r="B42" s="107">
        <v>263335.40999999992</v>
      </c>
      <c r="C42">
        <v>2</v>
      </c>
      <c r="D42" s="107"/>
    </row>
    <row r="43" spans="1:4" x14ac:dyDescent="0.2">
      <c r="A43" s="76" t="s">
        <v>439</v>
      </c>
      <c r="B43" s="107">
        <v>206137</v>
      </c>
      <c r="C43">
        <v>3</v>
      </c>
      <c r="D43" s="107"/>
    </row>
    <row r="44" spans="1:4" x14ac:dyDescent="0.2">
      <c r="A44" s="76" t="s">
        <v>254</v>
      </c>
      <c r="B44" s="107">
        <v>117840</v>
      </c>
      <c r="C44">
        <v>2</v>
      </c>
      <c r="D44" s="107"/>
    </row>
    <row r="45" spans="1:4" x14ac:dyDescent="0.2">
      <c r="A45" s="76" t="s">
        <v>183</v>
      </c>
      <c r="B45" s="107">
        <v>2232510.7999999998</v>
      </c>
      <c r="C45">
        <v>21</v>
      </c>
      <c r="D45" s="107"/>
    </row>
    <row r="46" spans="1:4" x14ac:dyDescent="0.2">
      <c r="D46" s="107"/>
    </row>
    <row r="47" spans="1:4" x14ac:dyDescent="0.2">
      <c r="D47" s="107"/>
    </row>
    <row r="51" spans="1:4" x14ac:dyDescent="0.2">
      <c r="A51" t="s">
        <v>316</v>
      </c>
      <c r="B51" t="s">
        <v>433</v>
      </c>
      <c r="C51" t="s">
        <v>435</v>
      </c>
    </row>
    <row r="52" spans="1:4" x14ac:dyDescent="0.2">
      <c r="A52" t="s">
        <v>33</v>
      </c>
      <c r="B52" s="143">
        <v>627237.26</v>
      </c>
      <c r="C52">
        <v>3</v>
      </c>
      <c r="D52" s="74">
        <f t="shared" ref="D52:D58" si="6">+B52/$B$59</f>
        <v>0.28095598014576234</v>
      </c>
    </row>
    <row r="53" spans="1:4" x14ac:dyDescent="0.2">
      <c r="A53" t="s">
        <v>162</v>
      </c>
      <c r="B53" s="143">
        <v>351968.91000000003</v>
      </c>
      <c r="C53">
        <v>4</v>
      </c>
      <c r="D53" s="74">
        <f t="shared" si="6"/>
        <v>0.15765608390337912</v>
      </c>
    </row>
    <row r="54" spans="1:4" x14ac:dyDescent="0.2">
      <c r="A54" t="s">
        <v>315</v>
      </c>
      <c r="B54" s="143">
        <v>341074.96</v>
      </c>
      <c r="C54">
        <v>3</v>
      </c>
      <c r="D54" s="74">
        <f t="shared" si="6"/>
        <v>0.15277639866288667</v>
      </c>
    </row>
    <row r="55" spans="1:4" x14ac:dyDescent="0.2">
      <c r="A55" t="s">
        <v>32</v>
      </c>
      <c r="B55" s="143">
        <v>324917.26</v>
      </c>
      <c r="C55">
        <v>4</v>
      </c>
      <c r="D55" s="74">
        <f t="shared" si="6"/>
        <v>0.1455389420736509</v>
      </c>
    </row>
    <row r="56" spans="1:4" x14ac:dyDescent="0.2">
      <c r="A56" t="s">
        <v>443</v>
      </c>
      <c r="B56" s="143">
        <v>263335.40999999992</v>
      </c>
      <c r="C56">
        <v>2</v>
      </c>
      <c r="D56" s="74">
        <f t="shared" si="6"/>
        <v>0.11795482019616654</v>
      </c>
    </row>
    <row r="57" spans="1:4" x14ac:dyDescent="0.2">
      <c r="A57" t="s">
        <v>439</v>
      </c>
      <c r="B57" s="143">
        <v>206137</v>
      </c>
      <c r="C57">
        <v>3</v>
      </c>
      <c r="D57" s="74">
        <f t="shared" si="6"/>
        <v>9.2334155785494976E-2</v>
      </c>
    </row>
    <row r="58" spans="1:4" x14ac:dyDescent="0.2">
      <c r="A58" t="s">
        <v>254</v>
      </c>
      <c r="B58" s="143">
        <v>117840</v>
      </c>
      <c r="C58">
        <v>2</v>
      </c>
      <c r="D58" s="74">
        <f t="shared" si="6"/>
        <v>5.2783619232659486E-2</v>
      </c>
    </row>
    <row r="59" spans="1:4" x14ac:dyDescent="0.2">
      <c r="B59" s="144">
        <f>SUM(B52:B58)</f>
        <v>2232510.7999999998</v>
      </c>
      <c r="C59">
        <f>SUM(C52:C58)</f>
        <v>21</v>
      </c>
    </row>
    <row r="62" spans="1:4" x14ac:dyDescent="0.2">
      <c r="A62" s="75" t="s">
        <v>316</v>
      </c>
      <c r="B62" t="s">
        <v>444</v>
      </c>
      <c r="C62" t="s">
        <v>445</v>
      </c>
    </row>
    <row r="63" spans="1:4" x14ac:dyDescent="0.2">
      <c r="A63" s="76" t="s">
        <v>443</v>
      </c>
      <c r="B63" s="107">
        <v>1151021</v>
      </c>
      <c r="C63">
        <v>2</v>
      </c>
    </row>
    <row r="64" spans="1:4" x14ac:dyDescent="0.2">
      <c r="A64" s="76" t="s">
        <v>33</v>
      </c>
      <c r="B64" s="107">
        <v>892245.26</v>
      </c>
      <c r="C64">
        <v>3</v>
      </c>
    </row>
    <row r="65" spans="1:4" x14ac:dyDescent="0.2">
      <c r="A65" s="76" t="s">
        <v>162</v>
      </c>
      <c r="B65" s="107">
        <v>637903</v>
      </c>
      <c r="C65">
        <v>4</v>
      </c>
    </row>
    <row r="66" spans="1:4" x14ac:dyDescent="0.2">
      <c r="A66" s="76" t="s">
        <v>32</v>
      </c>
      <c r="B66" s="107">
        <v>573543.26</v>
      </c>
      <c r="C66">
        <v>4</v>
      </c>
    </row>
    <row r="67" spans="1:4" x14ac:dyDescent="0.2">
      <c r="A67" s="76" t="s">
        <v>315</v>
      </c>
      <c r="B67" s="107">
        <v>415453.96</v>
      </c>
      <c r="C67">
        <v>3</v>
      </c>
    </row>
    <row r="68" spans="1:4" x14ac:dyDescent="0.2">
      <c r="A68" s="76" t="s">
        <v>254</v>
      </c>
      <c r="B68" s="107">
        <v>233110</v>
      </c>
      <c r="C68">
        <v>2</v>
      </c>
    </row>
    <row r="69" spans="1:4" x14ac:dyDescent="0.2">
      <c r="A69" s="76" t="s">
        <v>439</v>
      </c>
      <c r="B69" s="107">
        <v>229644</v>
      </c>
      <c r="C69">
        <v>3</v>
      </c>
    </row>
    <row r="70" spans="1:4" x14ac:dyDescent="0.2">
      <c r="A70" s="76" t="s">
        <v>183</v>
      </c>
      <c r="B70" s="107">
        <v>4132920.48</v>
      </c>
      <c r="C70">
        <v>21</v>
      </c>
    </row>
    <row r="72" spans="1:4" x14ac:dyDescent="0.2">
      <c r="A72" t="s">
        <v>316</v>
      </c>
      <c r="B72" t="s">
        <v>444</v>
      </c>
      <c r="C72" t="s">
        <v>445</v>
      </c>
    </row>
    <row r="73" spans="1:4" x14ac:dyDescent="0.2">
      <c r="A73" t="s">
        <v>443</v>
      </c>
      <c r="B73" s="107">
        <v>1151021</v>
      </c>
      <c r="C73">
        <v>2</v>
      </c>
      <c r="D73" s="74">
        <f>+B73/$B$80</f>
        <v>0.27850064030266564</v>
      </c>
    </row>
    <row r="74" spans="1:4" x14ac:dyDescent="0.2">
      <c r="A74" t="s">
        <v>33</v>
      </c>
      <c r="B74" s="107">
        <v>892245.26</v>
      </c>
      <c r="C74">
        <v>3</v>
      </c>
      <c r="D74" s="74">
        <f t="shared" ref="D74:D79" si="7">+B74/$B$80</f>
        <v>0.21588735237412554</v>
      </c>
    </row>
    <row r="75" spans="1:4" x14ac:dyDescent="0.2">
      <c r="A75" t="s">
        <v>162</v>
      </c>
      <c r="B75" s="107">
        <v>637903</v>
      </c>
      <c r="C75">
        <v>4</v>
      </c>
      <c r="D75" s="74">
        <f t="shared" si="7"/>
        <v>0.15434678772237109</v>
      </c>
    </row>
    <row r="76" spans="1:4" x14ac:dyDescent="0.2">
      <c r="A76" t="s">
        <v>32</v>
      </c>
      <c r="B76" s="107">
        <v>573543.26</v>
      </c>
      <c r="C76">
        <v>4</v>
      </c>
      <c r="D76" s="74">
        <f t="shared" si="7"/>
        <v>0.13877432744604853</v>
      </c>
    </row>
    <row r="77" spans="1:4" x14ac:dyDescent="0.2">
      <c r="A77" t="s">
        <v>315</v>
      </c>
      <c r="B77" s="107">
        <v>415453.96</v>
      </c>
      <c r="C77">
        <v>3</v>
      </c>
      <c r="D77" s="74">
        <f t="shared" si="7"/>
        <v>0.10052309547460736</v>
      </c>
    </row>
    <row r="78" spans="1:4" x14ac:dyDescent="0.2">
      <c r="A78" t="s">
        <v>254</v>
      </c>
      <c r="B78" s="107">
        <v>233110</v>
      </c>
      <c r="C78">
        <v>2</v>
      </c>
      <c r="D78" s="74">
        <f t="shared" si="7"/>
        <v>5.6403214416552244E-2</v>
      </c>
    </row>
    <row r="79" spans="1:4" x14ac:dyDescent="0.2">
      <c r="A79" t="s">
        <v>439</v>
      </c>
      <c r="B79" s="107">
        <v>229644</v>
      </c>
      <c r="C79">
        <v>3</v>
      </c>
      <c r="D79" s="74">
        <f t="shared" si="7"/>
        <v>5.5564582263629717E-2</v>
      </c>
    </row>
    <row r="80" spans="1:4" x14ac:dyDescent="0.2">
      <c r="B80" s="107">
        <f>SUM(B73:B79)</f>
        <v>4132920.4799999995</v>
      </c>
      <c r="C80" s="107">
        <f>SUM(C73:C79)</f>
        <v>21</v>
      </c>
    </row>
  </sheetData>
  <autoFilter ref="A3:L24" xr:uid="{2B4C00A6-6E16-41C1-90B5-F8D10D136866}">
    <sortState xmlns:xlrd2="http://schemas.microsoft.com/office/spreadsheetml/2017/richdata2" ref="A4:L24">
      <sortCondition descending="1" ref="I3:I24"/>
    </sortState>
  </autoFilter>
  <conditionalFormatting sqref="E1:E1048576">
    <cfRule type="containsText" dxfId="54" priority="1" operator="containsText" text="Sin Director">
      <formula>NOT(ISERROR(SEARCH("Sin Director",E1)))</formula>
    </cfRule>
  </conditionalFormatting>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8600-0D6D-4A1D-B5E9-616FEB336547}">
  <sheetPr codeName="Hoja7">
    <tabColor rgb="FFC00000"/>
  </sheetPr>
  <dimension ref="A1:BM126"/>
  <sheetViews>
    <sheetView zoomScale="80" zoomScaleNormal="80" workbookViewId="0">
      <pane xSplit="2" ySplit="2" topLeftCell="C32" activePane="bottomRight" state="frozen"/>
      <selection pane="topRight" activeCell="C1" sqref="C1"/>
      <selection pane="bottomLeft" activeCell="A3" sqref="A3"/>
      <selection pane="bottomRight" activeCell="I1" sqref="I1:I1048576"/>
    </sheetView>
  </sheetViews>
  <sheetFormatPr baseColWidth="10" defaultColWidth="11.5" defaultRowHeight="14" outlineLevelCol="1" x14ac:dyDescent="0.2"/>
  <cols>
    <col min="1" max="1" width="21.5" style="2" bestFit="1" customWidth="1"/>
    <col min="2" max="2" width="47" style="2" bestFit="1" customWidth="1"/>
    <col min="3" max="3" width="7.33203125" style="2" bestFit="1" customWidth="1"/>
    <col min="4" max="4" width="14.5" style="2" bestFit="1" customWidth="1"/>
    <col min="5" max="5" width="17" style="2" bestFit="1" customWidth="1"/>
    <col min="6" max="6" width="16.6640625" style="2" bestFit="1" customWidth="1"/>
    <col min="7" max="7" width="16.5" style="2" bestFit="1" customWidth="1"/>
    <col min="8" max="8" width="17.6640625" style="2" bestFit="1" customWidth="1"/>
    <col min="9" max="9" width="12.6640625" style="2" bestFit="1" customWidth="1" collapsed="1"/>
    <col min="10" max="10" width="16.5" style="2" bestFit="1" customWidth="1"/>
    <col min="11" max="11" width="15.5" style="2" bestFit="1" customWidth="1"/>
    <col min="12" max="12" width="15.33203125" style="2" bestFit="1" customWidth="1"/>
    <col min="13" max="13" width="12.33203125" style="2" bestFit="1" customWidth="1"/>
    <col min="14" max="14" width="14.5" style="2" bestFit="1" customWidth="1"/>
    <col min="15" max="15" width="12.33203125" style="2" customWidth="1"/>
    <col min="16" max="16" width="14.5" style="2" bestFit="1" customWidth="1"/>
    <col min="17" max="18" width="16.5" style="2" customWidth="1"/>
    <col min="19" max="28" width="10.5" style="2" hidden="1" customWidth="1" outlineLevel="1"/>
    <col min="29" max="29" width="10.5" style="2" customWidth="1" collapsed="1"/>
    <col min="30" max="43" width="10.5" style="2" customWidth="1"/>
    <col min="44" max="45" width="11.5" style="2" customWidth="1"/>
    <col min="46" max="46" width="11.5" style="2"/>
    <col min="47" max="48" width="11.5" style="2" customWidth="1"/>
    <col min="49" max="49" width="11.5" style="2"/>
    <col min="50" max="51" width="11.5" style="2" customWidth="1"/>
    <col min="52" max="52" width="11.5" style="2"/>
    <col min="53" max="54" width="11.5" style="2" customWidth="1"/>
    <col min="55" max="55" width="11.5" style="2"/>
    <col min="56" max="56" width="11.33203125" style="2" bestFit="1" customWidth="1"/>
    <col min="57" max="57" width="11.5" style="2"/>
    <col min="58" max="58" width="11.6640625" style="2" bestFit="1" customWidth="1"/>
    <col min="59" max="16384" width="11.5" style="2"/>
  </cols>
  <sheetData>
    <row r="1" spans="1:65" x14ac:dyDescent="0.2">
      <c r="AE1" s="2">
        <f>+COUNTIF(AE3:AE88,"&gt;0")</f>
        <v>15</v>
      </c>
      <c r="AF1" s="2">
        <f t="shared" ref="AF1:AU1" si="0">+COUNTIF(AF3:AF73,"&gt;0")</f>
        <v>17</v>
      </c>
      <c r="AG1" s="2">
        <f t="shared" si="0"/>
        <v>17</v>
      </c>
      <c r="AH1" s="2">
        <f>+COUNTIF(AH3:AH88,"&gt;0")</f>
        <v>15</v>
      </c>
      <c r="AI1" s="2">
        <f t="shared" si="0"/>
        <v>17</v>
      </c>
      <c r="AJ1" s="2">
        <f t="shared" si="0"/>
        <v>15</v>
      </c>
      <c r="AK1" s="2">
        <f>+COUNTIF(AK3:AK88,"&gt;0")</f>
        <v>11</v>
      </c>
      <c r="AL1" s="2">
        <f t="shared" si="0"/>
        <v>17</v>
      </c>
      <c r="AM1" s="2">
        <f t="shared" si="0"/>
        <v>17</v>
      </c>
      <c r="AN1" s="2">
        <f>+COUNTIF(AN3:AN88,"&gt;0")</f>
        <v>14</v>
      </c>
      <c r="AO1" s="2">
        <f t="shared" si="0"/>
        <v>16</v>
      </c>
      <c r="AP1" s="2">
        <f t="shared" si="0"/>
        <v>0</v>
      </c>
      <c r="AQ1" s="2">
        <f>+COUNTIF(AQ3:AQ88,"&gt;0")</f>
        <v>12</v>
      </c>
      <c r="AR1" s="2">
        <f t="shared" si="0"/>
        <v>18</v>
      </c>
      <c r="AS1" s="2">
        <f t="shared" si="0"/>
        <v>13</v>
      </c>
      <c r="AT1" s="2">
        <f>+COUNTIF(AT3:AT88,"&gt;0")</f>
        <v>12</v>
      </c>
      <c r="AU1" s="2">
        <f t="shared" si="0"/>
        <v>20</v>
      </c>
      <c r="AV1" s="2">
        <f>+COUNTIF(AV3:AV73,"&gt;0")</f>
        <v>11</v>
      </c>
      <c r="AW1" s="2">
        <f>+COUNTIF(AW3:AW88,"&gt;0")</f>
        <v>28</v>
      </c>
      <c r="AX1" s="2">
        <f t="shared" ref="AX1:BD1" si="1">+COUNTIF(AX3:AX48,"&gt;0")</f>
        <v>3</v>
      </c>
      <c r="AY1" s="2">
        <f t="shared" si="1"/>
        <v>0</v>
      </c>
      <c r="AZ1" s="2">
        <f>+COUNTIF(AZ3:AZ88,"&gt;0")</f>
        <v>17</v>
      </c>
      <c r="BA1" s="2">
        <f t="shared" si="1"/>
        <v>3</v>
      </c>
      <c r="BB1" s="2">
        <f t="shared" si="1"/>
        <v>0</v>
      </c>
      <c r="BC1" s="2">
        <f>+COUNTIF(BC3:BC88,"&gt;0")</f>
        <v>18</v>
      </c>
      <c r="BD1" s="2">
        <f t="shared" si="1"/>
        <v>1</v>
      </c>
      <c r="BE1" s="2">
        <f>+COUNTIF(BE3:BE94,"&gt;0")</f>
        <v>16</v>
      </c>
      <c r="BF1" s="2">
        <f>+COUNTIF(BF3:BF94,"&gt;0")</f>
        <v>24</v>
      </c>
      <c r="BG1" s="2">
        <f>+COUNTIF(BG3:BG94,"&gt;0")</f>
        <v>18</v>
      </c>
      <c r="BH1" s="2">
        <f>+COUNTIF(BH3:BH96,"&gt;0")</f>
        <v>23</v>
      </c>
      <c r="BI1" s="2">
        <f>+COUNTIF(BI3:BI94,"&gt;0")</f>
        <v>19</v>
      </c>
    </row>
    <row r="2" spans="1:65" ht="27.75" customHeight="1" x14ac:dyDescent="0.2">
      <c r="A2" s="60" t="s">
        <v>125</v>
      </c>
      <c r="B2" s="60" t="s">
        <v>127</v>
      </c>
      <c r="C2" s="60" t="s">
        <v>169</v>
      </c>
      <c r="D2" s="61" t="s">
        <v>23</v>
      </c>
      <c r="E2" s="61" t="s">
        <v>128</v>
      </c>
      <c r="F2" s="61" t="s">
        <v>103</v>
      </c>
      <c r="G2" s="61" t="s">
        <v>24</v>
      </c>
      <c r="H2" s="61" t="s">
        <v>111</v>
      </c>
      <c r="I2" s="61" t="s">
        <v>129</v>
      </c>
      <c r="J2" s="61" t="s">
        <v>25</v>
      </c>
      <c r="K2" s="61" t="s">
        <v>148</v>
      </c>
      <c r="L2" s="61" t="s">
        <v>124</v>
      </c>
      <c r="M2" s="61" t="s">
        <v>126</v>
      </c>
      <c r="N2" s="61" t="s">
        <v>149</v>
      </c>
      <c r="O2" s="61" t="s">
        <v>150</v>
      </c>
      <c r="P2" s="61" t="s">
        <v>151</v>
      </c>
      <c r="Q2" s="61" t="s">
        <v>130</v>
      </c>
      <c r="R2" s="61" t="s">
        <v>123</v>
      </c>
      <c r="S2" s="59" t="s">
        <v>1</v>
      </c>
      <c r="T2" s="62" t="s">
        <v>133</v>
      </c>
      <c r="U2" s="59" t="s">
        <v>26</v>
      </c>
      <c r="V2" s="59" t="s">
        <v>147</v>
      </c>
      <c r="W2" s="62" t="s">
        <v>132</v>
      </c>
      <c r="X2" s="59" t="s">
        <v>146</v>
      </c>
      <c r="Y2" s="62" t="s">
        <v>131</v>
      </c>
      <c r="Z2" s="59" t="s">
        <v>145</v>
      </c>
      <c r="AA2" s="59" t="s">
        <v>144</v>
      </c>
      <c r="AB2" s="62" t="s">
        <v>71</v>
      </c>
      <c r="AC2" s="59" t="s">
        <v>143</v>
      </c>
      <c r="AD2" s="59" t="s">
        <v>75</v>
      </c>
      <c r="AE2" s="62" t="s">
        <v>73</v>
      </c>
      <c r="AF2" s="59" t="s">
        <v>142</v>
      </c>
      <c r="AG2" s="59" t="s">
        <v>141</v>
      </c>
      <c r="AH2" s="62" t="s">
        <v>92</v>
      </c>
      <c r="AI2" s="59" t="s">
        <v>140</v>
      </c>
      <c r="AJ2" s="59" t="s">
        <v>139</v>
      </c>
      <c r="AK2" s="62" t="s">
        <v>102</v>
      </c>
      <c r="AL2" s="59" t="s">
        <v>137</v>
      </c>
      <c r="AM2" s="59" t="s">
        <v>138</v>
      </c>
      <c r="AN2" s="62" t="s">
        <v>115</v>
      </c>
      <c r="AO2" s="59" t="s">
        <v>134</v>
      </c>
      <c r="AP2" s="59" t="s">
        <v>135</v>
      </c>
      <c r="AQ2" s="62" t="s">
        <v>136</v>
      </c>
      <c r="AR2" s="59" t="s">
        <v>179</v>
      </c>
      <c r="AS2" s="59" t="s">
        <v>202</v>
      </c>
      <c r="AT2" s="62" t="s">
        <v>203</v>
      </c>
      <c r="AU2" s="59" t="s">
        <v>180</v>
      </c>
      <c r="AV2" s="59" t="s">
        <v>214</v>
      </c>
      <c r="AW2" s="62" t="s">
        <v>215</v>
      </c>
      <c r="AX2" s="59" t="s">
        <v>181</v>
      </c>
      <c r="AY2" s="59" t="s">
        <v>249</v>
      </c>
      <c r="AZ2" s="62" t="s">
        <v>250</v>
      </c>
      <c r="BA2" s="59" t="s">
        <v>182</v>
      </c>
      <c r="BB2" s="59" t="s">
        <v>267</v>
      </c>
      <c r="BC2" s="62" t="s">
        <v>268</v>
      </c>
      <c r="BD2" s="59" t="s">
        <v>269</v>
      </c>
      <c r="BE2" s="62" t="s">
        <v>132</v>
      </c>
      <c r="BF2" s="59" t="s">
        <v>275</v>
      </c>
      <c r="BG2" s="62" t="s">
        <v>131</v>
      </c>
      <c r="BH2" s="59" t="s">
        <v>144</v>
      </c>
      <c r="BI2" s="62" t="s">
        <v>71</v>
      </c>
      <c r="BK2" s="2" t="s">
        <v>286</v>
      </c>
      <c r="BL2" s="2" t="s">
        <v>287</v>
      </c>
      <c r="BM2" s="2" t="s">
        <v>288</v>
      </c>
    </row>
    <row r="3" spans="1:65" ht="15" x14ac:dyDescent="0.2">
      <c r="A3" s="2" t="str">
        <f>+_xlfn.XLOOKUP(B3,'[1]Proyectos (NO FILTRAR)'!$F:$F,'[1]Proyectos (NO FILTRAR)'!$B:$B,0,0,1)</f>
        <v>PE-MSR-UG-FEL03-008-A</v>
      </c>
      <c r="B3" s="49" t="s">
        <v>21</v>
      </c>
      <c r="C3" s="49" t="str">
        <f>+_xlfn.XLOOKUP(A3,'[1]Proyectos (NO FILTRAR)'!$B:$B,'[1]Proyectos (NO FILTRAR)'!$G:$G,"error",0,1)</f>
        <v>Perú</v>
      </c>
      <c r="D3" s="49" t="s">
        <v>27</v>
      </c>
      <c r="E3" s="49" t="s">
        <v>53</v>
      </c>
      <c r="F3" s="49"/>
      <c r="G3" s="49" t="s">
        <v>28</v>
      </c>
      <c r="H3" s="49" t="s">
        <v>29</v>
      </c>
      <c r="I3" s="50">
        <v>165237</v>
      </c>
      <c r="J3" s="51">
        <f t="shared" ref="J3:J34" si="2">+Q3+AE3+AH3+AK3+AN3+AQ3+AT3+AW3+AZ3+BC3+BE3+BG3+BI3</f>
        <v>165237</v>
      </c>
      <c r="K3" s="52">
        <f t="shared" ref="K3:K34" si="3">+IFERROR(J3/I3,0)</f>
        <v>1</v>
      </c>
      <c r="L3" s="53">
        <f t="shared" ref="L3:L33" si="4">+I3-J3</f>
        <v>0</v>
      </c>
      <c r="M3" s="52">
        <f t="shared" ref="M3:M34" si="5">+IFERROR(L3/I3,0)</f>
        <v>0</v>
      </c>
      <c r="N3" s="65"/>
      <c r="O3" s="52">
        <f t="shared" ref="O3:O34" si="6">IFERROR(N3/I3,0)</f>
        <v>0</v>
      </c>
      <c r="P3" s="65">
        <f t="shared" ref="P3:P34" si="7">+I3-N3</f>
        <v>165237</v>
      </c>
      <c r="Q3" s="54">
        <v>165237</v>
      </c>
      <c r="R3" s="54">
        <f t="shared" ref="R3:R34" si="8">+I3-Q3</f>
        <v>0</v>
      </c>
      <c r="S3" s="55">
        <v>165237</v>
      </c>
      <c r="T3" s="56">
        <v>165237</v>
      </c>
      <c r="U3" s="55">
        <v>0</v>
      </c>
      <c r="V3" s="55">
        <v>0</v>
      </c>
      <c r="W3" s="56">
        <v>0</v>
      </c>
      <c r="X3" s="55">
        <v>0</v>
      </c>
      <c r="Y3" s="57"/>
      <c r="Z3" s="55">
        <v>0</v>
      </c>
      <c r="AA3" s="58">
        <v>0</v>
      </c>
      <c r="AB3" s="57"/>
      <c r="AC3" s="55">
        <v>0</v>
      </c>
      <c r="AD3" s="58"/>
      <c r="AE3" s="70"/>
      <c r="AF3" s="55">
        <v>0</v>
      </c>
      <c r="AG3" s="58"/>
      <c r="AH3" s="70"/>
      <c r="AI3" s="55">
        <v>0</v>
      </c>
      <c r="AJ3" s="58"/>
      <c r="AK3" s="70"/>
      <c r="AL3" s="55">
        <v>0</v>
      </c>
      <c r="AM3" s="58"/>
      <c r="AN3" s="70"/>
      <c r="AO3" s="55">
        <v>0</v>
      </c>
      <c r="AP3" s="58"/>
      <c r="AQ3" s="70"/>
      <c r="AR3" s="55">
        <v>0</v>
      </c>
      <c r="AS3" s="67"/>
      <c r="AT3" s="70"/>
      <c r="AU3" s="67">
        <v>0</v>
      </c>
      <c r="AV3" s="67"/>
      <c r="AW3" s="70"/>
      <c r="AX3" s="67">
        <f>+IF((_xlfn.XLOOKUP($B3,'Curva S'!$B$2:$B$100,'Curva S'!$O$2:$O$100,0,0,1)*$I3-$J3)&lt;0,0,(_xlfn.XLOOKUP($B3,'Curva S'!$B$2:$B$100,'Curva S'!$O$2:$O$100,0,0,1)*$I3-$J3))</f>
        <v>0</v>
      </c>
      <c r="AY3" s="67"/>
      <c r="AZ3" s="70"/>
      <c r="BA3" s="67">
        <f>+IF((_xlfn.XLOOKUP($B3,'Curva S'!$B$2:$B$100,'Curva S'!$P$2:$P$100,0,0,1)*$I3-$J3)&lt;0,0,(_xlfn.XLOOKUP($B3,'Curva S'!$B$2:$B$100,'Curva S'!$P$2:$P$100,0,0,1)*$I3-$J3))</f>
        <v>0</v>
      </c>
      <c r="BB3" s="67"/>
      <c r="BC3" s="70"/>
      <c r="BD3" s="67"/>
      <c r="BE3" s="70"/>
      <c r="BF3" s="67"/>
      <c r="BG3" s="70"/>
      <c r="BH3" s="67"/>
      <c r="BI3" s="70"/>
      <c r="BK3" s="103" t="str">
        <f>+IF(AND(BD3&gt;0,BE3=""),0,IF(BE3="","",IF(BE3&gt;=BD3,1,BE3/BD3)))</f>
        <v/>
      </c>
      <c r="BL3" s="103" t="str">
        <f>+IF(AND(BF3&gt;0,BG3=""),0,IF(BG3="","",IF(BG3&gt;=BF3,1,BG3/BF3)))</f>
        <v/>
      </c>
      <c r="BM3" s="103" t="str">
        <f>+IF(AND(BH3&gt;0,BI3=""),0,IF(BI3="","",IF(BI3&gt;=BH3,1,BI3/BH3)))</f>
        <v/>
      </c>
    </row>
    <row r="4" spans="1:65" ht="15" x14ac:dyDescent="0.2">
      <c r="A4" s="2" t="str">
        <f>+_xlfn.XLOOKUP(B4,'[1]Proyectos (NO FILTRAR)'!$F:$F,'[1]Proyectos (NO FILTRAR)'!$B:$B,0,0,1)</f>
        <v>CH-LUN-CS-OTR00-004-A</v>
      </c>
      <c r="B4" s="5" t="s">
        <v>152</v>
      </c>
      <c r="C4" s="5" t="str">
        <f>+_xlfn.XLOOKUP(A4,'[1]Proyectos (NO FILTRAR)'!$B:$B,'[1]Proyectos (NO FILTRAR)'!$G:$G,"error",0,1)</f>
        <v>Chile</v>
      </c>
      <c r="D4" s="5" t="s">
        <v>27</v>
      </c>
      <c r="E4" s="5" t="s">
        <v>53</v>
      </c>
      <c r="F4" s="5"/>
      <c r="G4" s="5" t="s">
        <v>30</v>
      </c>
      <c r="H4" s="5" t="s">
        <v>31</v>
      </c>
      <c r="I4" s="6">
        <v>139847.12</v>
      </c>
      <c r="J4" s="51">
        <f t="shared" si="2"/>
        <v>139847.12</v>
      </c>
      <c r="K4" s="47">
        <f t="shared" si="3"/>
        <v>1</v>
      </c>
      <c r="L4" s="7">
        <f t="shared" si="4"/>
        <v>0</v>
      </c>
      <c r="M4" s="52">
        <f t="shared" si="5"/>
        <v>0</v>
      </c>
      <c r="N4" s="65"/>
      <c r="O4" s="52">
        <f t="shared" si="6"/>
        <v>0</v>
      </c>
      <c r="P4" s="65">
        <f t="shared" si="7"/>
        <v>139847.12</v>
      </c>
      <c r="Q4" s="48">
        <v>139847.12</v>
      </c>
      <c r="R4" s="48">
        <f t="shared" si="8"/>
        <v>0</v>
      </c>
      <c r="S4" s="8">
        <v>0</v>
      </c>
      <c r="T4" s="9">
        <v>0</v>
      </c>
      <c r="U4" s="8">
        <v>0</v>
      </c>
      <c r="V4" s="8">
        <v>0</v>
      </c>
      <c r="W4" s="9">
        <v>0</v>
      </c>
      <c r="X4" s="8">
        <v>0</v>
      </c>
      <c r="Y4" s="27"/>
      <c r="Z4" s="8">
        <v>0</v>
      </c>
      <c r="AA4" s="26">
        <v>0</v>
      </c>
      <c r="AB4" s="27"/>
      <c r="AC4" s="8">
        <v>0</v>
      </c>
      <c r="AD4" s="26"/>
      <c r="AE4" s="71"/>
      <c r="AF4" s="8">
        <v>0</v>
      </c>
      <c r="AG4" s="26"/>
      <c r="AH4" s="71"/>
      <c r="AI4" s="8">
        <v>0</v>
      </c>
      <c r="AJ4" s="26"/>
      <c r="AK4" s="71"/>
      <c r="AL4" s="8">
        <v>0</v>
      </c>
      <c r="AM4" s="26"/>
      <c r="AN4" s="71"/>
      <c r="AO4" s="55">
        <v>0</v>
      </c>
      <c r="AP4" s="26"/>
      <c r="AQ4" s="71"/>
      <c r="AR4" s="55">
        <v>0</v>
      </c>
      <c r="AS4" s="68"/>
      <c r="AT4" s="71"/>
      <c r="AU4" s="67">
        <v>0</v>
      </c>
      <c r="AV4" s="68"/>
      <c r="AW4" s="71"/>
      <c r="AX4" s="67">
        <f>+IF((_xlfn.XLOOKUP($B4,'Curva S'!$B$2:$B$100,'Curva S'!$O$2:$O$100,0,0,1)*$I4-$J4)&lt;0,0,(_xlfn.XLOOKUP($B4,'Curva S'!$B$2:$B$100,'Curva S'!$O$2:$O$100,0,0,1)*$I4-$J4))</f>
        <v>0</v>
      </c>
      <c r="AY4" s="68"/>
      <c r="AZ4" s="71"/>
      <c r="BA4" s="67">
        <v>0</v>
      </c>
      <c r="BB4" s="68"/>
      <c r="BC4" s="70"/>
      <c r="BD4" s="68"/>
      <c r="BE4" s="71"/>
      <c r="BF4" s="68"/>
      <c r="BG4" s="71"/>
      <c r="BH4" s="67"/>
      <c r="BI4" s="71"/>
      <c r="BK4" s="103" t="str">
        <f t="shared" ref="BK4:BK67" si="9">+IF(AND(BD4&gt;0,BE4=""),0,IF(BE4="","",IF(BE4&gt;=BD4,1,BE4/BD4)))</f>
        <v/>
      </c>
      <c r="BL4" s="103" t="str">
        <f t="shared" ref="BL4:BL67" si="10">+IF(AND(BF4&gt;0,BG4=""),0,IF(BG4="","",IF(BG4&gt;=BF4,1,BG4/BF4)))</f>
        <v/>
      </c>
      <c r="BM4" s="103" t="str">
        <f t="shared" ref="BM4:BM67" si="11">+IF(AND(BH4&gt;0,BI4=""),0,IF(BI4="","",IF(BI4&gt;=BH4,1,BI4/BH4)))</f>
        <v/>
      </c>
    </row>
    <row r="5" spans="1:65" ht="15" x14ac:dyDescent="0.2">
      <c r="A5" s="2" t="str">
        <f>+_xlfn.XLOOKUP(B5,'[1]Proyectos (NO FILTRAR)'!$F:$F,'[1]Proyectos (NO FILTRAR)'!$B:$B,0,0,1)</f>
        <v>CH-CMP-OU-FEL2A-033-A</v>
      </c>
      <c r="B5" s="5" t="s">
        <v>2</v>
      </c>
      <c r="C5" s="5" t="str">
        <f>+_xlfn.XLOOKUP(A5,'[1]Proyectos (NO FILTRAR)'!$B:$B,'[1]Proyectos (NO FILTRAR)'!$G:$G,"error",0,1)</f>
        <v>Chile</v>
      </c>
      <c r="D5" s="5" t="s">
        <v>27</v>
      </c>
      <c r="E5" s="5" t="s">
        <v>56</v>
      </c>
      <c r="F5" s="5" t="s">
        <v>33</v>
      </c>
      <c r="G5" s="14" t="s">
        <v>32</v>
      </c>
      <c r="H5" s="14" t="s">
        <v>43</v>
      </c>
      <c r="I5" s="6">
        <v>610108.79000000015</v>
      </c>
      <c r="J5" s="51">
        <f t="shared" si="2"/>
        <v>610108.79000000015</v>
      </c>
      <c r="K5" s="47">
        <f t="shared" si="3"/>
        <v>1</v>
      </c>
      <c r="L5" s="7">
        <f t="shared" si="4"/>
        <v>0</v>
      </c>
      <c r="M5" s="52">
        <f t="shared" si="5"/>
        <v>0</v>
      </c>
      <c r="N5" s="65"/>
      <c r="O5" s="52">
        <f t="shared" si="6"/>
        <v>0</v>
      </c>
      <c r="P5" s="65">
        <f t="shared" si="7"/>
        <v>610108.79000000015</v>
      </c>
      <c r="Q5" s="48">
        <v>558961.99000000011</v>
      </c>
      <c r="R5" s="48">
        <f t="shared" si="8"/>
        <v>51146.800000000047</v>
      </c>
      <c r="S5" s="8">
        <v>37299.999999999942</v>
      </c>
      <c r="T5" s="9">
        <v>21340</v>
      </c>
      <c r="U5" s="8">
        <v>15959.999999999942</v>
      </c>
      <c r="V5" s="8">
        <v>25588.89000000013</v>
      </c>
      <c r="W5" s="9">
        <v>9211.06</v>
      </c>
      <c r="X5" s="8">
        <v>28678.520000000019</v>
      </c>
      <c r="Y5" s="27">
        <f>31481-Y22</f>
        <v>1672.3899999999994</v>
      </c>
      <c r="Z5" s="8">
        <v>27006.130000000019</v>
      </c>
      <c r="AA5" s="26">
        <v>27006.130000000019</v>
      </c>
      <c r="AB5" s="27">
        <v>7306</v>
      </c>
      <c r="AC5" s="8">
        <v>19700.130000000019</v>
      </c>
      <c r="AD5" s="26">
        <v>19700.130000000019</v>
      </c>
      <c r="AE5" s="71">
        <v>16995</v>
      </c>
      <c r="AF5" s="8">
        <v>2705.1300000000192</v>
      </c>
      <c r="AG5" s="26">
        <v>2705</v>
      </c>
      <c r="AH5" s="71">
        <v>2022.8</v>
      </c>
      <c r="AI5" s="8">
        <v>15886.329999999842</v>
      </c>
      <c r="AJ5" s="26">
        <v>0</v>
      </c>
      <c r="AK5" s="71"/>
      <c r="AL5" s="8">
        <v>15886.329999999842</v>
      </c>
      <c r="AM5" s="26">
        <v>10691</v>
      </c>
      <c r="AN5" s="71">
        <v>1896</v>
      </c>
      <c r="AO5" s="55">
        <v>13990.329999999842</v>
      </c>
      <c r="AP5" s="26"/>
      <c r="AQ5" s="71">
        <f>10289-1314</f>
        <v>8975</v>
      </c>
      <c r="AR5" s="55">
        <v>25170.519999999786</v>
      </c>
      <c r="AS5" s="68">
        <v>21258</v>
      </c>
      <c r="AT5" s="71">
        <v>21258</v>
      </c>
      <c r="AU5" s="67">
        <v>0</v>
      </c>
      <c r="AV5" s="68"/>
      <c r="AW5" s="71"/>
      <c r="AX5" s="67">
        <f>+IF((_xlfn.XLOOKUP($B5,'Curva S'!$B$2:$B$100,'Curva S'!$O$2:$O$100,0,0,1)*$I5-$J5)&lt;0,0,(_xlfn.XLOOKUP($B5,'Curva S'!$B$2:$B$100,'Curva S'!$O$2:$O$100,0,0,1)*$I5-$J5))</f>
        <v>0</v>
      </c>
      <c r="AY5" s="68"/>
      <c r="AZ5" s="71"/>
      <c r="BA5" s="67">
        <v>0</v>
      </c>
      <c r="BB5" s="68"/>
      <c r="BC5" s="70"/>
      <c r="BD5" s="68"/>
      <c r="BE5" s="71"/>
      <c r="BF5" s="68"/>
      <c r="BG5" s="71"/>
      <c r="BH5" s="67"/>
      <c r="BI5" s="71"/>
      <c r="BK5" s="103" t="str">
        <f t="shared" si="9"/>
        <v/>
      </c>
      <c r="BL5" s="103" t="str">
        <f t="shared" si="10"/>
        <v/>
      </c>
      <c r="BM5" s="103" t="str">
        <f t="shared" si="11"/>
        <v/>
      </c>
    </row>
    <row r="6" spans="1:65" ht="15" x14ac:dyDescent="0.2">
      <c r="A6" s="2" t="str">
        <f>+_xlfn.XLOOKUP(B6,'[1]Proyectos (NO FILTRAR)'!$F:$F,'[1]Proyectos (NO FILTRAR)'!$B:$B,0,0,1)</f>
        <v>CH-CMP-OU-FEL00-001-A</v>
      </c>
      <c r="B6" s="5" t="s">
        <v>4</v>
      </c>
      <c r="C6" s="5" t="str">
        <f>+_xlfn.XLOOKUP(A6,'[1]Proyectos (NO FILTRAR)'!$B:$B,'[1]Proyectos (NO FILTRAR)'!$G:$G,"error",0,1)</f>
        <v>Chile</v>
      </c>
      <c r="D6" s="5" t="s">
        <v>27</v>
      </c>
      <c r="E6" s="5" t="s">
        <v>53</v>
      </c>
      <c r="F6" s="5"/>
      <c r="G6" s="5" t="s">
        <v>30</v>
      </c>
      <c r="H6" s="5" t="s">
        <v>30</v>
      </c>
      <c r="I6" s="6">
        <v>261767.16250000001</v>
      </c>
      <c r="J6" s="51">
        <f t="shared" si="2"/>
        <v>261767.16250000001</v>
      </c>
      <c r="K6" s="47">
        <f t="shared" si="3"/>
        <v>1</v>
      </c>
      <c r="L6" s="7">
        <f t="shared" si="4"/>
        <v>0</v>
      </c>
      <c r="M6" s="52">
        <f t="shared" si="5"/>
        <v>0</v>
      </c>
      <c r="N6" s="65"/>
      <c r="O6" s="52">
        <f t="shared" si="6"/>
        <v>0</v>
      </c>
      <c r="P6" s="65">
        <f t="shared" si="7"/>
        <v>261767.16250000001</v>
      </c>
      <c r="Q6" s="48">
        <v>261767.16250000001</v>
      </c>
      <c r="R6" s="48">
        <f t="shared" si="8"/>
        <v>0</v>
      </c>
      <c r="S6" s="8">
        <v>1136.0975000000035</v>
      </c>
      <c r="T6" s="9">
        <v>274</v>
      </c>
      <c r="U6" s="8">
        <v>51143</v>
      </c>
      <c r="V6" s="8">
        <v>0</v>
      </c>
      <c r="W6" s="9">
        <v>51143</v>
      </c>
      <c r="X6" s="8">
        <v>0</v>
      </c>
      <c r="Y6" s="27"/>
      <c r="Z6" s="8">
        <v>0</v>
      </c>
      <c r="AA6" s="26">
        <v>0</v>
      </c>
      <c r="AB6" s="27"/>
      <c r="AC6" s="8">
        <v>0</v>
      </c>
      <c r="AD6" s="26"/>
      <c r="AE6" s="71"/>
      <c r="AF6" s="8">
        <v>0</v>
      </c>
      <c r="AG6" s="26"/>
      <c r="AH6" s="71"/>
      <c r="AI6" s="8">
        <v>0</v>
      </c>
      <c r="AJ6" s="26"/>
      <c r="AK6" s="71"/>
      <c r="AL6" s="8">
        <v>0</v>
      </c>
      <c r="AM6" s="26"/>
      <c r="AN6" s="71"/>
      <c r="AO6" s="55">
        <v>0</v>
      </c>
      <c r="AP6" s="26"/>
      <c r="AQ6" s="71"/>
      <c r="AR6" s="55">
        <v>0</v>
      </c>
      <c r="AS6" s="68"/>
      <c r="AT6" s="71"/>
      <c r="AU6" s="67">
        <v>0</v>
      </c>
      <c r="AV6" s="68"/>
      <c r="AW6" s="71"/>
      <c r="AX6" s="67">
        <f>+IF((_xlfn.XLOOKUP($B6,'Curva S'!$B$2:$B$100,'Curva S'!$O$2:$O$100,0,0,1)*$I6-$J6)&lt;0,0,(_xlfn.XLOOKUP($B6,'Curva S'!$B$2:$B$100,'Curva S'!$O$2:$O$100,0,0,1)*$I6-$J6))</f>
        <v>0</v>
      </c>
      <c r="AY6" s="68"/>
      <c r="AZ6" s="71"/>
      <c r="BA6" s="67">
        <v>0</v>
      </c>
      <c r="BB6" s="68"/>
      <c r="BC6" s="70"/>
      <c r="BD6" s="68"/>
      <c r="BE6" s="71"/>
      <c r="BF6" s="68"/>
      <c r="BG6" s="71"/>
      <c r="BH6" s="67"/>
      <c r="BI6" s="71"/>
      <c r="BK6" s="103" t="str">
        <f t="shared" si="9"/>
        <v/>
      </c>
      <c r="BL6" s="103" t="str">
        <f t="shared" si="10"/>
        <v/>
      </c>
      <c r="BM6" s="103" t="str">
        <f t="shared" si="11"/>
        <v/>
      </c>
    </row>
    <row r="7" spans="1:65" ht="15" x14ac:dyDescent="0.2">
      <c r="A7" s="2" t="str">
        <f>+_xlfn.XLOOKUP(B7,'[1]Proyectos (NO FILTRAR)'!$F:$F,'[1]Proyectos (NO FILTRAR)'!$B:$B,0,0,1)</f>
        <v>CH-COD-UG-FEL01-031-A</v>
      </c>
      <c r="B7" s="5" t="s">
        <v>6</v>
      </c>
      <c r="C7" s="5" t="str">
        <f>+_xlfn.XLOOKUP(A7,'[1]Proyectos (NO FILTRAR)'!$B:$B,'[1]Proyectos (NO FILTRAR)'!$G:$G,"error",0,1)</f>
        <v>Chile</v>
      </c>
      <c r="D7" s="5" t="s">
        <v>27</v>
      </c>
      <c r="E7" s="5" t="s">
        <v>53</v>
      </c>
      <c r="F7" s="5"/>
      <c r="G7" s="5" t="s">
        <v>34</v>
      </c>
      <c r="H7" s="5" t="s">
        <v>35</v>
      </c>
      <c r="I7" s="6">
        <v>93503</v>
      </c>
      <c r="J7" s="51">
        <f t="shared" si="2"/>
        <v>93503</v>
      </c>
      <c r="K7" s="47">
        <f t="shared" si="3"/>
        <v>1</v>
      </c>
      <c r="L7" s="7">
        <f t="shared" si="4"/>
        <v>0</v>
      </c>
      <c r="M7" s="52">
        <f t="shared" si="5"/>
        <v>0</v>
      </c>
      <c r="N7" s="65"/>
      <c r="O7" s="52">
        <f t="shared" si="6"/>
        <v>0</v>
      </c>
      <c r="P7" s="65">
        <f t="shared" si="7"/>
        <v>93503</v>
      </c>
      <c r="Q7" s="48">
        <v>93503</v>
      </c>
      <c r="R7" s="48">
        <f t="shared" si="8"/>
        <v>0</v>
      </c>
      <c r="S7" s="8">
        <v>61711.98</v>
      </c>
      <c r="T7" s="9">
        <v>67556</v>
      </c>
      <c r="U7" s="8">
        <v>0</v>
      </c>
      <c r="V7" s="8">
        <v>20570.659999999996</v>
      </c>
      <c r="W7" s="9">
        <v>19139</v>
      </c>
      <c r="X7" s="8">
        <v>6808</v>
      </c>
      <c r="Y7" s="27">
        <v>6808</v>
      </c>
      <c r="Z7" s="8">
        <v>0</v>
      </c>
      <c r="AA7" s="26">
        <v>0</v>
      </c>
      <c r="AB7" s="27"/>
      <c r="AC7" s="8">
        <v>0</v>
      </c>
      <c r="AD7" s="26"/>
      <c r="AE7" s="71"/>
      <c r="AF7" s="8">
        <v>0</v>
      </c>
      <c r="AG7" s="26"/>
      <c r="AH7" s="71"/>
      <c r="AI7" s="8">
        <v>0</v>
      </c>
      <c r="AJ7" s="26"/>
      <c r="AK7" s="71"/>
      <c r="AL7" s="8">
        <v>0</v>
      </c>
      <c r="AM7" s="26"/>
      <c r="AN7" s="71"/>
      <c r="AO7" s="55">
        <v>0</v>
      </c>
      <c r="AP7" s="26"/>
      <c r="AQ7" s="71"/>
      <c r="AR7" s="55">
        <v>0</v>
      </c>
      <c r="AS7" s="68"/>
      <c r="AT7" s="71"/>
      <c r="AU7" s="67">
        <v>0</v>
      </c>
      <c r="AV7" s="68"/>
      <c r="AW7" s="71"/>
      <c r="AX7" s="67">
        <f>+IF((_xlfn.XLOOKUP($B7,'Curva S'!$B$2:$B$100,'Curva S'!$O$2:$O$100,0,0,1)*$I7-$J7)&lt;0,0,(_xlfn.XLOOKUP($B7,'Curva S'!$B$2:$B$100,'Curva S'!$O$2:$O$100,0,0,1)*$I7-$J7))</f>
        <v>0</v>
      </c>
      <c r="AY7" s="68"/>
      <c r="AZ7" s="71"/>
      <c r="BA7" s="67">
        <v>0</v>
      </c>
      <c r="BB7" s="68"/>
      <c r="BC7" s="70"/>
      <c r="BD7" s="68"/>
      <c r="BE7" s="71"/>
      <c r="BF7" s="68"/>
      <c r="BG7" s="71"/>
      <c r="BH7" s="67"/>
      <c r="BI7" s="71"/>
      <c r="BK7" s="103" t="str">
        <f t="shared" si="9"/>
        <v/>
      </c>
      <c r="BL7" s="103" t="str">
        <f t="shared" si="10"/>
        <v/>
      </c>
      <c r="BM7" s="103" t="str">
        <f t="shared" si="11"/>
        <v/>
      </c>
    </row>
    <row r="8" spans="1:65" ht="15" x14ac:dyDescent="0.2">
      <c r="A8" s="2" t="str">
        <f>+_xlfn.XLOOKUP(B8,'[1]Proyectos (NO FILTRAR)'!$F:$F,'[1]Proyectos (NO FILTRAR)'!$B:$B,0,0,1)</f>
        <v>CH-COD-UG-FEL01-032-A</v>
      </c>
      <c r="B8" s="5" t="s">
        <v>7</v>
      </c>
      <c r="C8" s="5" t="str">
        <f>+_xlfn.XLOOKUP(A8,'[1]Proyectos (NO FILTRAR)'!$B:$B,'[1]Proyectos (NO FILTRAR)'!$G:$G,"error",0,1)</f>
        <v>Chile</v>
      </c>
      <c r="D8" s="5" t="s">
        <v>27</v>
      </c>
      <c r="E8" s="5" t="s">
        <v>53</v>
      </c>
      <c r="F8" s="5"/>
      <c r="G8" s="5" t="s">
        <v>34</v>
      </c>
      <c r="H8" s="5" t="s">
        <v>35</v>
      </c>
      <c r="I8" s="6">
        <v>88171</v>
      </c>
      <c r="J8" s="51">
        <f t="shared" si="2"/>
        <v>88171</v>
      </c>
      <c r="K8" s="47">
        <f t="shared" si="3"/>
        <v>1</v>
      </c>
      <c r="L8" s="7">
        <f t="shared" si="4"/>
        <v>0</v>
      </c>
      <c r="M8" s="52">
        <f t="shared" si="5"/>
        <v>0</v>
      </c>
      <c r="N8" s="65"/>
      <c r="O8" s="52">
        <f t="shared" si="6"/>
        <v>0</v>
      </c>
      <c r="P8" s="65">
        <f t="shared" si="7"/>
        <v>88171</v>
      </c>
      <c r="Q8" s="48">
        <v>88171</v>
      </c>
      <c r="R8" s="48">
        <f t="shared" si="8"/>
        <v>0</v>
      </c>
      <c r="S8" s="8">
        <v>55585.53</v>
      </c>
      <c r="T8" s="9">
        <v>62838</v>
      </c>
      <c r="U8" s="8">
        <v>0</v>
      </c>
      <c r="V8" s="8">
        <v>19410.819999999992</v>
      </c>
      <c r="W8" s="9">
        <v>17202</v>
      </c>
      <c r="X8" s="8">
        <v>8191</v>
      </c>
      <c r="Y8" s="27">
        <v>8131</v>
      </c>
      <c r="Z8" s="8">
        <v>0</v>
      </c>
      <c r="AA8" s="26">
        <v>0</v>
      </c>
      <c r="AB8" s="27"/>
      <c r="AC8" s="8">
        <v>0</v>
      </c>
      <c r="AD8" s="26"/>
      <c r="AE8" s="71"/>
      <c r="AF8" s="8">
        <v>0</v>
      </c>
      <c r="AG8" s="26"/>
      <c r="AH8" s="71"/>
      <c r="AI8" s="8">
        <v>0</v>
      </c>
      <c r="AJ8" s="26"/>
      <c r="AK8" s="71"/>
      <c r="AL8" s="8">
        <v>0</v>
      </c>
      <c r="AM8" s="26"/>
      <c r="AN8" s="71"/>
      <c r="AO8" s="55">
        <v>0</v>
      </c>
      <c r="AP8" s="26"/>
      <c r="AQ8" s="71"/>
      <c r="AR8" s="55">
        <v>0</v>
      </c>
      <c r="AS8" s="68"/>
      <c r="AT8" s="71"/>
      <c r="AU8" s="67">
        <v>0</v>
      </c>
      <c r="AV8" s="68"/>
      <c r="AW8" s="71"/>
      <c r="AX8" s="67">
        <f>+IF((_xlfn.XLOOKUP($B8,'Curva S'!$B$2:$B$100,'Curva S'!$O$2:$O$100,0,0,1)*$I8-$J8)&lt;0,0,(_xlfn.XLOOKUP($B8,'Curva S'!$B$2:$B$100,'Curva S'!$O$2:$O$100,0,0,1)*$I8-$J8))</f>
        <v>0</v>
      </c>
      <c r="AY8" s="68"/>
      <c r="AZ8" s="71"/>
      <c r="BA8" s="67">
        <v>0</v>
      </c>
      <c r="BB8" s="68"/>
      <c r="BC8" s="70"/>
      <c r="BD8" s="68"/>
      <c r="BE8" s="71"/>
      <c r="BF8" s="68"/>
      <c r="BG8" s="71"/>
      <c r="BH8" s="67"/>
      <c r="BI8" s="71"/>
      <c r="BK8" s="103" t="str">
        <f t="shared" si="9"/>
        <v/>
      </c>
      <c r="BL8" s="103" t="str">
        <f t="shared" si="10"/>
        <v/>
      </c>
      <c r="BM8" s="103" t="str">
        <f t="shared" si="11"/>
        <v/>
      </c>
    </row>
    <row r="9" spans="1:65" ht="15" x14ac:dyDescent="0.2">
      <c r="A9" s="2" t="str">
        <f>+_xlfn.XLOOKUP(B9,'[1]Proyectos (NO FILTRAR)'!$F:$F,'[1]Proyectos (NO FILTRAR)'!$B:$B,0,0,1)</f>
        <v>CH-LUN-CS-OTR00-007-A</v>
      </c>
      <c r="B9" s="5" t="s">
        <v>8</v>
      </c>
      <c r="C9" s="5" t="str">
        <f>+_xlfn.XLOOKUP(A9,'[1]Proyectos (NO FILTRAR)'!$B:$B,'[1]Proyectos (NO FILTRAR)'!$G:$G,"error",0,1)</f>
        <v>Chile</v>
      </c>
      <c r="D9" s="5" t="s">
        <v>27</v>
      </c>
      <c r="E9" s="5" t="s">
        <v>53</v>
      </c>
      <c r="F9" s="5"/>
      <c r="G9" s="5" t="s">
        <v>30</v>
      </c>
      <c r="H9" s="5" t="s">
        <v>36</v>
      </c>
      <c r="I9" s="6">
        <v>178540.96</v>
      </c>
      <c r="J9" s="51">
        <f t="shared" si="2"/>
        <v>178540.96</v>
      </c>
      <c r="K9" s="47">
        <f t="shared" si="3"/>
        <v>1</v>
      </c>
      <c r="L9" s="7">
        <f t="shared" si="4"/>
        <v>0</v>
      </c>
      <c r="M9" s="52">
        <f t="shared" si="5"/>
        <v>0</v>
      </c>
      <c r="N9" s="65"/>
      <c r="O9" s="52">
        <f t="shared" si="6"/>
        <v>0</v>
      </c>
      <c r="P9" s="65">
        <f t="shared" si="7"/>
        <v>178540.96</v>
      </c>
      <c r="Q9" s="48">
        <v>178540.96</v>
      </c>
      <c r="R9" s="48">
        <f t="shared" si="8"/>
        <v>0</v>
      </c>
      <c r="S9" s="8">
        <v>21776.040000000008</v>
      </c>
      <c r="T9" s="9">
        <v>29101</v>
      </c>
      <c r="U9" s="8">
        <v>0</v>
      </c>
      <c r="V9" s="8">
        <v>0</v>
      </c>
      <c r="W9" s="9">
        <v>0</v>
      </c>
      <c r="X9" s="8">
        <v>0</v>
      </c>
      <c r="Y9" s="27"/>
      <c r="Z9" s="8">
        <v>0</v>
      </c>
      <c r="AA9" s="26">
        <v>0</v>
      </c>
      <c r="AB9" s="27"/>
      <c r="AC9" s="8">
        <v>0</v>
      </c>
      <c r="AD9" s="26"/>
      <c r="AE9" s="71"/>
      <c r="AF9" s="8">
        <v>0</v>
      </c>
      <c r="AG9" s="26"/>
      <c r="AH9" s="71"/>
      <c r="AI9" s="8">
        <v>0</v>
      </c>
      <c r="AJ9" s="26"/>
      <c r="AK9" s="71"/>
      <c r="AL9" s="8">
        <v>0</v>
      </c>
      <c r="AM9" s="26"/>
      <c r="AN9" s="71"/>
      <c r="AO9" s="55">
        <v>0</v>
      </c>
      <c r="AP9" s="26"/>
      <c r="AQ9" s="71"/>
      <c r="AR9" s="55">
        <v>0</v>
      </c>
      <c r="AS9" s="68"/>
      <c r="AT9" s="71"/>
      <c r="AU9" s="67">
        <v>0</v>
      </c>
      <c r="AV9" s="68"/>
      <c r="AW9" s="71"/>
      <c r="AX9" s="67">
        <f>+IF((_xlfn.XLOOKUP($B9,'Curva S'!$B$2:$B$100,'Curva S'!$O$2:$O$100,0,0,1)*$I9-$J9)&lt;0,0,(_xlfn.XLOOKUP($B9,'Curva S'!$B$2:$B$100,'Curva S'!$O$2:$O$100,0,0,1)*$I9-$J9))</f>
        <v>0</v>
      </c>
      <c r="AY9" s="68"/>
      <c r="AZ9" s="71"/>
      <c r="BA9" s="67">
        <v>0</v>
      </c>
      <c r="BB9" s="68"/>
      <c r="BC9" s="70"/>
      <c r="BD9" s="68"/>
      <c r="BE9" s="71"/>
      <c r="BF9" s="68"/>
      <c r="BG9" s="71"/>
      <c r="BH9" s="67"/>
      <c r="BI9" s="71"/>
      <c r="BK9" s="103" t="str">
        <f t="shared" si="9"/>
        <v/>
      </c>
      <c r="BL9" s="103" t="str">
        <f t="shared" si="10"/>
        <v/>
      </c>
      <c r="BM9" s="103" t="str">
        <f t="shared" si="11"/>
        <v/>
      </c>
    </row>
    <row r="10" spans="1:65" ht="15" x14ac:dyDescent="0.2">
      <c r="A10" s="2" t="str">
        <f>+_xlfn.XLOOKUP(B10,'[1]Proyectos (NO FILTRAR)'!$F:$F,'[1]Proyectos (NO FILTRAR)'!$B:$B,0,0,1)</f>
        <v>PE-SME-UG-FEL2A-046-A</v>
      </c>
      <c r="B10" s="5" t="s">
        <v>9</v>
      </c>
      <c r="C10" s="5" t="str">
        <f>+_xlfn.XLOOKUP(A10,'[1]Proyectos (NO FILTRAR)'!$B:$B,'[1]Proyectos (NO FILTRAR)'!$G:$G,"error",0,1)</f>
        <v>Perú</v>
      </c>
      <c r="D10" s="5" t="s">
        <v>27</v>
      </c>
      <c r="E10" s="5" t="s">
        <v>53</v>
      </c>
      <c r="F10" s="5"/>
      <c r="G10" s="5" t="s">
        <v>28</v>
      </c>
      <c r="H10" s="5" t="s">
        <v>37</v>
      </c>
      <c r="I10" s="6">
        <v>56629</v>
      </c>
      <c r="J10" s="51">
        <f t="shared" si="2"/>
        <v>56629</v>
      </c>
      <c r="K10" s="47">
        <f t="shared" si="3"/>
        <v>1</v>
      </c>
      <c r="L10" s="7">
        <f t="shared" si="4"/>
        <v>0</v>
      </c>
      <c r="M10" s="52">
        <f t="shared" si="5"/>
        <v>0</v>
      </c>
      <c r="N10" s="65"/>
      <c r="O10" s="52">
        <f t="shared" si="6"/>
        <v>0</v>
      </c>
      <c r="P10" s="65">
        <f t="shared" si="7"/>
        <v>56629</v>
      </c>
      <c r="Q10" s="48">
        <v>36682</v>
      </c>
      <c r="R10" s="48">
        <f t="shared" si="8"/>
        <v>19947</v>
      </c>
      <c r="S10" s="8">
        <v>27748.7</v>
      </c>
      <c r="T10" s="9">
        <v>0</v>
      </c>
      <c r="U10" s="8">
        <v>11178.7</v>
      </c>
      <c r="V10" s="8">
        <v>16422.7</v>
      </c>
      <c r="W10" s="9">
        <v>0</v>
      </c>
      <c r="X10" s="8">
        <v>18705</v>
      </c>
      <c r="Y10" s="27">
        <v>36682</v>
      </c>
      <c r="Z10" s="8">
        <v>0</v>
      </c>
      <c r="AA10" s="26">
        <v>0</v>
      </c>
      <c r="AB10" s="27"/>
      <c r="AC10" s="8">
        <v>0</v>
      </c>
      <c r="AD10" s="26">
        <v>0</v>
      </c>
      <c r="AE10" s="71"/>
      <c r="AF10" s="8">
        <v>19948</v>
      </c>
      <c r="AG10" s="26">
        <v>19948</v>
      </c>
      <c r="AH10" s="71">
        <v>14729</v>
      </c>
      <c r="AI10" s="8">
        <v>0</v>
      </c>
      <c r="AJ10" s="26"/>
      <c r="AK10" s="71"/>
      <c r="AL10" s="8">
        <v>0</v>
      </c>
      <c r="AM10" s="26"/>
      <c r="AN10" s="71"/>
      <c r="AO10" s="55">
        <v>0</v>
      </c>
      <c r="AP10" s="26"/>
      <c r="AQ10" s="71"/>
      <c r="AR10" s="55">
        <v>0</v>
      </c>
      <c r="AS10" s="68"/>
      <c r="AT10" s="71"/>
      <c r="AU10" s="67">
        <v>0</v>
      </c>
      <c r="AV10" s="68"/>
      <c r="AW10" s="71"/>
      <c r="AX10" s="67">
        <f>+IF((_xlfn.XLOOKUP($B10,'Curva S'!$B$2:$B$100,'Curva S'!$O$2:$O$100,0,0,1)*$I10-$J10)&lt;0,0,(_xlfn.XLOOKUP($B10,'Curva S'!$B$2:$B$100,'Curva S'!$O$2:$O$100,0,0,1)*$I10-$J10))</f>
        <v>0</v>
      </c>
      <c r="AY10" s="68"/>
      <c r="AZ10" s="71">
        <v>5218</v>
      </c>
      <c r="BA10" s="67">
        <v>0</v>
      </c>
      <c r="BB10" s="68"/>
      <c r="BC10" s="70"/>
      <c r="BD10" s="68"/>
      <c r="BE10" s="71"/>
      <c r="BF10" s="68"/>
      <c r="BG10" s="71"/>
      <c r="BH10" s="67"/>
      <c r="BI10" s="71"/>
      <c r="BK10" s="103" t="str">
        <f t="shared" si="9"/>
        <v/>
      </c>
      <c r="BL10" s="103" t="str">
        <f t="shared" si="10"/>
        <v/>
      </c>
      <c r="BM10" s="103" t="str">
        <f t="shared" si="11"/>
        <v/>
      </c>
    </row>
    <row r="11" spans="1:65" ht="15" x14ac:dyDescent="0.2">
      <c r="A11" s="2" t="str">
        <f>+_xlfn.XLOOKUP(B11,'[1]Proyectos (NO FILTRAR)'!$F:$F,'[1]Proyectos (NO FILTRAR)'!$B:$B,0,0,1)</f>
        <v>BR-MOS-OU-FEL03-026-A</v>
      </c>
      <c r="B11" s="98" t="s">
        <v>10</v>
      </c>
      <c r="C11" s="5" t="str">
        <f>+_xlfn.XLOOKUP(A11,'[1]Proyectos (NO FILTRAR)'!$B:$B,'[1]Proyectos (NO FILTRAR)'!$G:$G,"error",0,1)</f>
        <v>Brasil</v>
      </c>
      <c r="D11" s="5" t="s">
        <v>27</v>
      </c>
      <c r="E11" s="5" t="s">
        <v>53</v>
      </c>
      <c r="F11" s="5" t="s">
        <v>33</v>
      </c>
      <c r="G11" s="14" t="s">
        <v>33</v>
      </c>
      <c r="H11" s="14" t="s">
        <v>50</v>
      </c>
      <c r="I11" s="6">
        <f>647241+78000</f>
        <v>725241</v>
      </c>
      <c r="J11" s="51">
        <f t="shared" si="2"/>
        <v>717694.46</v>
      </c>
      <c r="K11" s="47">
        <f t="shared" si="3"/>
        <v>0.9895944382625913</v>
      </c>
      <c r="L11" s="98">
        <f t="shared" si="4"/>
        <v>7546.5400000000373</v>
      </c>
      <c r="M11" s="52">
        <f t="shared" si="5"/>
        <v>1.040556173740872E-2</v>
      </c>
      <c r="N11" s="65"/>
      <c r="O11" s="52">
        <f t="shared" si="6"/>
        <v>0</v>
      </c>
      <c r="P11" s="65">
        <f t="shared" si="7"/>
        <v>725241</v>
      </c>
      <c r="Q11" s="48">
        <v>368694.45999999996</v>
      </c>
      <c r="R11" s="48">
        <f t="shared" si="8"/>
        <v>356546.54000000004</v>
      </c>
      <c r="S11" s="8">
        <v>132966.72304612139</v>
      </c>
      <c r="T11" s="9">
        <v>29306</v>
      </c>
      <c r="U11" s="8">
        <v>103660.72304612139</v>
      </c>
      <c r="V11" s="8"/>
      <c r="W11" s="9">
        <v>23474</v>
      </c>
      <c r="X11" s="8">
        <v>175963.60080000001</v>
      </c>
      <c r="Y11" s="27">
        <v>103264</v>
      </c>
      <c r="Z11" s="8">
        <v>188102.03200000004</v>
      </c>
      <c r="AA11" s="26">
        <v>188102.03200000004</v>
      </c>
      <c r="AB11" s="27">
        <f>36629+12172</f>
        <v>48801</v>
      </c>
      <c r="AC11" s="8">
        <v>111795.92400000001</v>
      </c>
      <c r="AD11" s="26">
        <v>20000</v>
      </c>
      <c r="AE11" s="71">
        <v>31463</v>
      </c>
      <c r="AF11" s="8">
        <v>176976.29040000003</v>
      </c>
      <c r="AG11" s="26">
        <v>40000</v>
      </c>
      <c r="AH11" s="71">
        <v>72122</v>
      </c>
      <c r="AI11" s="8">
        <v>78758.440000000061</v>
      </c>
      <c r="AJ11" s="26">
        <v>127854.48600000003</v>
      </c>
      <c r="AK11" s="71">
        <f>186908+11425</f>
        <v>198333</v>
      </c>
      <c r="AL11" s="8">
        <v>35947.540000000037</v>
      </c>
      <c r="AM11" s="26">
        <v>25111.86</v>
      </c>
      <c r="AN11" s="71">
        <v>31640</v>
      </c>
      <c r="AO11" s="55">
        <v>22988.540000000037</v>
      </c>
      <c r="AP11" s="26"/>
      <c r="AQ11" s="71"/>
      <c r="AR11" s="55">
        <v>22988.540000000037</v>
      </c>
      <c r="AS11" s="68">
        <v>0</v>
      </c>
      <c r="AT11" s="71"/>
      <c r="AU11" s="67">
        <v>22988.540000000037</v>
      </c>
      <c r="AV11" s="68">
        <v>22988.540000000037</v>
      </c>
      <c r="AW11" s="71">
        <v>15442</v>
      </c>
      <c r="AX11" s="67">
        <f>+IF((_xlfn.XLOOKUP($B11,'Curva S'!$B$2:$B$100,'Curva S'!$O$2:$O$100,0,0,1)*$I11-$J11)&lt;0,0,(_xlfn.XLOOKUP($B11,'Curva S'!$B$2:$B$100,'Curva S'!$O$2:$O$100,0,0,1)*$I11-$J11))</f>
        <v>7546.5400000000373</v>
      </c>
      <c r="AY11" s="68"/>
      <c r="AZ11" s="71"/>
      <c r="BA11" s="67">
        <v>7546.5400000000373</v>
      </c>
      <c r="BB11" s="68"/>
      <c r="BC11" s="70"/>
      <c r="BD11" s="68"/>
      <c r="BE11" s="71"/>
      <c r="BF11" s="68"/>
      <c r="BG11" s="71"/>
      <c r="BH11" s="68"/>
      <c r="BI11" s="71"/>
      <c r="BK11" s="103" t="str">
        <f t="shared" si="9"/>
        <v/>
      </c>
      <c r="BL11" s="103" t="str">
        <f t="shared" si="10"/>
        <v/>
      </c>
      <c r="BM11" s="103" t="str">
        <f t="shared" si="11"/>
        <v/>
      </c>
    </row>
    <row r="12" spans="1:65" x14ac:dyDescent="0.2">
      <c r="A12" s="79" t="str">
        <f>+_xlfn.XLOOKUP(B12,'[1]Proyectos (NO FILTRAR)'!$F:$F,'[1]Proyectos (NO FILTRAR)'!$B:$B,0,0,1)</f>
        <v>BR-MOS-UG-FEL01-028-A</v>
      </c>
      <c r="B12" s="80" t="s">
        <v>11</v>
      </c>
      <c r="C12" s="80" t="str">
        <f>+_xlfn.XLOOKUP(A12,'[1]Proyectos (NO FILTRAR)'!$B:$B,'[1]Proyectos (NO FILTRAR)'!$G:$G,"error",0,1)</f>
        <v>Brasil</v>
      </c>
      <c r="D12" s="80" t="s">
        <v>27</v>
      </c>
      <c r="E12" s="80" t="s">
        <v>56</v>
      </c>
      <c r="F12" s="80" t="s">
        <v>34</v>
      </c>
      <c r="G12" s="81" t="s">
        <v>33</v>
      </c>
      <c r="H12" s="81" t="s">
        <v>38</v>
      </c>
      <c r="I12" s="82">
        <v>284632.92</v>
      </c>
      <c r="J12" s="51">
        <f t="shared" si="2"/>
        <v>284632.92</v>
      </c>
      <c r="K12" s="83">
        <f t="shared" si="3"/>
        <v>1</v>
      </c>
      <c r="L12" s="84">
        <f t="shared" si="4"/>
        <v>0</v>
      </c>
      <c r="M12" s="85">
        <f t="shared" si="5"/>
        <v>0</v>
      </c>
      <c r="N12" s="65"/>
      <c r="O12" s="85">
        <f t="shared" si="6"/>
        <v>0</v>
      </c>
      <c r="P12" s="86">
        <f t="shared" si="7"/>
        <v>284632.92</v>
      </c>
      <c r="Q12" s="87">
        <v>232261.91999999998</v>
      </c>
      <c r="R12" s="87">
        <f t="shared" si="8"/>
        <v>52371</v>
      </c>
      <c r="S12" s="88">
        <v>16907.22</v>
      </c>
      <c r="T12" s="89">
        <v>34067</v>
      </c>
      <c r="U12" s="88">
        <v>0</v>
      </c>
      <c r="V12" s="88">
        <v>81465.67</v>
      </c>
      <c r="W12" s="89">
        <v>39226</v>
      </c>
      <c r="X12" s="88">
        <v>129266.28</v>
      </c>
      <c r="Y12" s="90">
        <v>92850.92</v>
      </c>
      <c r="Z12" s="88">
        <v>101765.91040000001</v>
      </c>
      <c r="AA12" s="91">
        <v>93670.894800000009</v>
      </c>
      <c r="AB12" s="90">
        <v>66118</v>
      </c>
      <c r="AC12" s="88">
        <v>52371.08</v>
      </c>
      <c r="AD12" s="91">
        <v>52371.08</v>
      </c>
      <c r="AE12" s="95">
        <v>41400</v>
      </c>
      <c r="AF12" s="88">
        <v>10971.080000000002</v>
      </c>
      <c r="AG12" s="91">
        <v>10971</v>
      </c>
      <c r="AH12" s="95">
        <f>6798</f>
        <v>6798</v>
      </c>
      <c r="AI12" s="88">
        <v>0</v>
      </c>
      <c r="AJ12" s="96">
        <v>4173.0800000000017</v>
      </c>
      <c r="AK12" s="95"/>
      <c r="AL12" s="88">
        <v>4173.0800000000163</v>
      </c>
      <c r="AM12" s="91">
        <v>4173</v>
      </c>
      <c r="AN12" s="95">
        <v>4173</v>
      </c>
      <c r="AO12" s="93">
        <v>0</v>
      </c>
      <c r="AP12" s="91"/>
      <c r="AQ12" s="95"/>
      <c r="AR12" s="55">
        <v>0</v>
      </c>
      <c r="AS12" s="94"/>
      <c r="AT12" s="95"/>
      <c r="AU12" s="67">
        <v>0</v>
      </c>
      <c r="AV12" s="94"/>
      <c r="AW12" s="95"/>
      <c r="AX12" s="67">
        <f>+IF((_xlfn.XLOOKUP($B12,'Curva S'!$B$2:$B$100,'Curva S'!$O$2:$O$100,0,0,1)*$I12-$J12)&lt;0,0,(_xlfn.XLOOKUP($B12,'Curva S'!$B$2:$B$100,'Curva S'!$O$2:$O$100,0,0,1)*$I12-$J12))</f>
        <v>0</v>
      </c>
      <c r="AY12" s="94"/>
      <c r="AZ12" s="95"/>
      <c r="BA12" s="67">
        <v>0</v>
      </c>
      <c r="BB12" s="94"/>
      <c r="BC12" s="70"/>
      <c r="BD12" s="94"/>
      <c r="BE12" s="95"/>
      <c r="BF12" s="94"/>
      <c r="BG12" s="95"/>
      <c r="BH12" s="67"/>
      <c r="BI12" s="95"/>
      <c r="BK12" s="103" t="str">
        <f t="shared" si="9"/>
        <v/>
      </c>
      <c r="BL12" s="103" t="str">
        <f t="shared" si="10"/>
        <v/>
      </c>
      <c r="BM12" s="103" t="str">
        <f t="shared" si="11"/>
        <v/>
      </c>
    </row>
    <row r="13" spans="1:65" ht="15" x14ac:dyDescent="0.2">
      <c r="A13" s="2" t="str">
        <f>+_xlfn.XLOOKUP(B13,'[1]Proyectos (NO FILTRAR)'!$F:$F,'[1]Proyectos (NO FILTRAR)'!$B:$B,0,0,1)</f>
        <v>BR-NEX-UG-FEL2A-027-A</v>
      </c>
      <c r="B13" s="98" t="s">
        <v>12</v>
      </c>
      <c r="C13" s="5" t="str">
        <f>+_xlfn.XLOOKUP(A13,'[1]Proyectos (NO FILTRAR)'!$B:$B,'[1]Proyectos (NO FILTRAR)'!$G:$G,"error",0,1)</f>
        <v>Brasil</v>
      </c>
      <c r="D13" s="5" t="s">
        <v>27</v>
      </c>
      <c r="E13" s="5" t="s">
        <v>53</v>
      </c>
      <c r="F13" s="5" t="s">
        <v>28</v>
      </c>
      <c r="G13" s="14" t="s">
        <v>28</v>
      </c>
      <c r="H13" s="14" t="s">
        <v>48</v>
      </c>
      <c r="I13" s="6">
        <v>207726.08163265305</v>
      </c>
      <c r="J13" s="51">
        <f t="shared" si="2"/>
        <v>204231</v>
      </c>
      <c r="K13" s="47">
        <f t="shared" si="3"/>
        <v>0.98317456524870184</v>
      </c>
      <c r="L13" s="98">
        <f t="shared" si="4"/>
        <v>3495.0816326530476</v>
      </c>
      <c r="M13" s="52">
        <f t="shared" si="5"/>
        <v>1.6825434751298201E-2</v>
      </c>
      <c r="N13" s="65"/>
      <c r="O13" s="52">
        <f t="shared" si="6"/>
        <v>0</v>
      </c>
      <c r="P13" s="65">
        <f t="shared" si="7"/>
        <v>207726.08163265305</v>
      </c>
      <c r="Q13" s="48">
        <v>128437</v>
      </c>
      <c r="R13" s="48">
        <f t="shared" si="8"/>
        <v>79289.081632653048</v>
      </c>
      <c r="S13" s="8">
        <v>24763.59</v>
      </c>
      <c r="T13" s="9">
        <v>11644</v>
      </c>
      <c r="U13" s="8">
        <v>13119.59</v>
      </c>
      <c r="V13" s="8">
        <v>93551.34</v>
      </c>
      <c r="W13" s="9">
        <v>16248</v>
      </c>
      <c r="X13" s="8">
        <v>71041.960000000006</v>
      </c>
      <c r="Y13" s="27">
        <v>29518</v>
      </c>
      <c r="Z13" s="8">
        <v>112739</v>
      </c>
      <c r="AA13" s="26">
        <v>112739</v>
      </c>
      <c r="AB13" s="27">
        <v>71027</v>
      </c>
      <c r="AC13" s="8">
        <v>68900</v>
      </c>
      <c r="AD13" s="26">
        <v>71918</v>
      </c>
      <c r="AE13" s="71">
        <v>31925</v>
      </c>
      <c r="AF13" s="8">
        <v>43247</v>
      </c>
      <c r="AG13" s="26">
        <v>36975</v>
      </c>
      <c r="AH13" s="71"/>
      <c r="AI13" s="8">
        <v>43247</v>
      </c>
      <c r="AJ13" s="38">
        <v>46417</v>
      </c>
      <c r="AK13" s="71"/>
      <c r="AL13" s="8">
        <v>43247</v>
      </c>
      <c r="AM13" s="26">
        <v>43247</v>
      </c>
      <c r="AN13" s="71"/>
      <c r="AO13" s="55">
        <v>43247</v>
      </c>
      <c r="AP13" s="26"/>
      <c r="AQ13" s="71"/>
      <c r="AR13" s="55">
        <v>0</v>
      </c>
      <c r="AS13" s="68"/>
      <c r="AT13" s="71"/>
      <c r="AU13" s="67">
        <v>47364.081632653048</v>
      </c>
      <c r="AV13" s="68"/>
      <c r="AW13" s="71">
        <v>43869</v>
      </c>
      <c r="AX13" s="67">
        <f>+IF((_xlfn.XLOOKUP($B13,'Curva S'!$B$2:$B$100,'Curva S'!$O$2:$O$100,0,0,1)*$I13-$J13)&lt;0,0,(_xlfn.XLOOKUP($B13,'Curva S'!$B$2:$B$100,'Curva S'!$O$2:$O$100,0,0,1)*$I13-$J13))</f>
        <v>3495.0816326530476</v>
      </c>
      <c r="AY13" s="68"/>
      <c r="AZ13" s="71"/>
      <c r="BA13" s="67">
        <v>3495.0816326530476</v>
      </c>
      <c r="BB13" s="68"/>
      <c r="BC13" s="70"/>
      <c r="BD13" s="68"/>
      <c r="BE13" s="71"/>
      <c r="BF13" s="68"/>
      <c r="BG13" s="71"/>
      <c r="BH13" s="68"/>
      <c r="BI13" s="71"/>
      <c r="BK13" s="103" t="str">
        <f t="shared" si="9"/>
        <v/>
      </c>
      <c r="BL13" s="103" t="str">
        <f t="shared" si="10"/>
        <v/>
      </c>
      <c r="BM13" s="103" t="str">
        <f t="shared" si="11"/>
        <v/>
      </c>
    </row>
    <row r="14" spans="1:65" ht="15" x14ac:dyDescent="0.2">
      <c r="A14" s="2" t="str">
        <f>+_xlfn.XLOOKUP(B14,'[1]Proyectos (NO FILTRAR)'!$F:$F,'[1]Proyectos (NO FILTRAR)'!$B:$B,0,0,1)</f>
        <v>CH-CMP-OP-OTR00-018-A</v>
      </c>
      <c r="B14" s="5" t="s">
        <v>13</v>
      </c>
      <c r="C14" s="5" t="str">
        <f>+_xlfn.XLOOKUP(A14,'[1]Proyectos (NO FILTRAR)'!$B:$B,'[1]Proyectos (NO FILTRAR)'!$G:$G,"error",0,1)</f>
        <v>Chile</v>
      </c>
      <c r="D14" s="5" t="s">
        <v>27</v>
      </c>
      <c r="E14" s="5" t="s">
        <v>53</v>
      </c>
      <c r="F14" s="5"/>
      <c r="G14" s="5" t="s">
        <v>30</v>
      </c>
      <c r="H14" s="5" t="s">
        <v>31</v>
      </c>
      <c r="I14" s="6">
        <v>645045.40250000008</v>
      </c>
      <c r="J14" s="51">
        <f t="shared" si="2"/>
        <v>645045.40250000008</v>
      </c>
      <c r="K14" s="47">
        <f t="shared" si="3"/>
        <v>1</v>
      </c>
      <c r="L14" s="7">
        <f t="shared" si="4"/>
        <v>0</v>
      </c>
      <c r="M14" s="52">
        <f t="shared" si="5"/>
        <v>0</v>
      </c>
      <c r="N14" s="65"/>
      <c r="O14" s="52">
        <f t="shared" si="6"/>
        <v>0</v>
      </c>
      <c r="P14" s="65">
        <f t="shared" si="7"/>
        <v>645045.40250000008</v>
      </c>
      <c r="Q14" s="48">
        <v>635530.40250000008</v>
      </c>
      <c r="R14" s="48">
        <f t="shared" si="8"/>
        <v>9515</v>
      </c>
      <c r="S14" s="8">
        <v>61272.137500000012</v>
      </c>
      <c r="T14" s="9">
        <v>38387</v>
      </c>
      <c r="U14" s="8">
        <v>22885.137500000012</v>
      </c>
      <c r="V14" s="8">
        <v>0</v>
      </c>
      <c r="W14" s="9">
        <v>21231</v>
      </c>
      <c r="X14" s="8">
        <v>1654.1375000000116</v>
      </c>
      <c r="Y14" s="27">
        <v>90409</v>
      </c>
      <c r="Z14" s="8">
        <v>0</v>
      </c>
      <c r="AA14" s="26">
        <v>0</v>
      </c>
      <c r="AB14" s="27"/>
      <c r="AC14" s="8">
        <v>0</v>
      </c>
      <c r="AD14" s="26">
        <v>0</v>
      </c>
      <c r="AE14" s="71">
        <v>9515</v>
      </c>
      <c r="AF14" s="8">
        <v>0</v>
      </c>
      <c r="AG14" s="26"/>
      <c r="AH14" s="71"/>
      <c r="AI14" s="8">
        <v>0</v>
      </c>
      <c r="AJ14" s="26"/>
      <c r="AK14" s="71"/>
      <c r="AL14" s="8">
        <v>0</v>
      </c>
      <c r="AM14" s="26"/>
      <c r="AN14" s="71"/>
      <c r="AO14" s="55">
        <v>0</v>
      </c>
      <c r="AP14" s="26"/>
      <c r="AQ14" s="71"/>
      <c r="AR14" s="55">
        <v>0</v>
      </c>
      <c r="AS14" s="68"/>
      <c r="AT14" s="71"/>
      <c r="AU14" s="67">
        <v>0</v>
      </c>
      <c r="AV14" s="68"/>
      <c r="AW14" s="71"/>
      <c r="AX14" s="67">
        <f>+IF((_xlfn.XLOOKUP($B14,'Curva S'!$B$2:$B$100,'Curva S'!$O$2:$O$100,0,0,1)*$I14-$J14)&lt;0,0,(_xlfn.XLOOKUP($B14,'Curva S'!$B$2:$B$100,'Curva S'!$O$2:$O$100,0,0,1)*$I14-$J14))</f>
        <v>0</v>
      </c>
      <c r="AY14" s="68"/>
      <c r="AZ14" s="71"/>
      <c r="BA14" s="67">
        <v>0</v>
      </c>
      <c r="BB14" s="68"/>
      <c r="BC14" s="70"/>
      <c r="BD14" s="68"/>
      <c r="BE14" s="71"/>
      <c r="BF14" s="68"/>
      <c r="BG14" s="71"/>
      <c r="BH14" s="67"/>
      <c r="BI14" s="71"/>
      <c r="BK14" s="103" t="str">
        <f t="shared" si="9"/>
        <v/>
      </c>
      <c r="BL14" s="103" t="str">
        <f t="shared" si="10"/>
        <v/>
      </c>
      <c r="BM14" s="103" t="str">
        <f t="shared" si="11"/>
        <v/>
      </c>
    </row>
    <row r="15" spans="1:65" ht="15" x14ac:dyDescent="0.2">
      <c r="A15" s="2" t="str">
        <f>+_xlfn.XLOOKUP(B15,'[1]Proyectos (NO FILTRAR)'!$F:$F,'[1]Proyectos (NO FILTRAR)'!$B:$B,0,0,1)</f>
        <v>PE-MSR-UG-FEL03-036-A</v>
      </c>
      <c r="B15" s="5" t="s">
        <v>14</v>
      </c>
      <c r="C15" s="5" t="str">
        <f>+_xlfn.XLOOKUP(A15,'[1]Proyectos (NO FILTRAR)'!$B:$B,'[1]Proyectos (NO FILTRAR)'!$G:$G,"error",0,1)</f>
        <v>Perú</v>
      </c>
      <c r="D15" s="5" t="s">
        <v>27</v>
      </c>
      <c r="E15" s="5" t="s">
        <v>53</v>
      </c>
      <c r="F15" s="5"/>
      <c r="G15" s="5" t="s">
        <v>28</v>
      </c>
      <c r="H15" s="5" t="s">
        <v>38</v>
      </c>
      <c r="I15" s="6">
        <f>+_xlfn.XLOOKUP(B15,[2]BDD_Proyectos_REDCO!$D$2:$D$29,[2]BDD_Proyectos_REDCO!$L$2:$L$29)</f>
        <v>65088</v>
      </c>
      <c r="J15" s="51">
        <f t="shared" si="2"/>
        <v>65088</v>
      </c>
      <c r="K15" s="47">
        <f t="shared" si="3"/>
        <v>1</v>
      </c>
      <c r="L15" s="7">
        <f t="shared" si="4"/>
        <v>0</v>
      </c>
      <c r="M15" s="52">
        <f t="shared" si="5"/>
        <v>0</v>
      </c>
      <c r="N15" s="65"/>
      <c r="O15" s="52">
        <f t="shared" si="6"/>
        <v>0</v>
      </c>
      <c r="P15" s="65">
        <f t="shared" si="7"/>
        <v>65088</v>
      </c>
      <c r="Q15" s="48">
        <v>65088</v>
      </c>
      <c r="R15" s="48">
        <f t="shared" si="8"/>
        <v>0</v>
      </c>
      <c r="S15" s="8">
        <v>44910.719999999994</v>
      </c>
      <c r="T15" s="9">
        <v>0</v>
      </c>
      <c r="U15" s="8">
        <v>0</v>
      </c>
      <c r="V15" s="8">
        <v>20177.280000000006</v>
      </c>
      <c r="W15" s="9">
        <v>0</v>
      </c>
      <c r="X15" s="8">
        <v>2672</v>
      </c>
      <c r="Y15" s="27">
        <v>0</v>
      </c>
      <c r="Z15" s="8">
        <v>0</v>
      </c>
      <c r="AA15" s="26">
        <v>0</v>
      </c>
      <c r="AB15" s="27">
        <v>65088</v>
      </c>
      <c r="AC15" s="8">
        <v>0</v>
      </c>
      <c r="AD15" s="26"/>
      <c r="AE15" s="71"/>
      <c r="AF15" s="8">
        <v>0</v>
      </c>
      <c r="AG15" s="26"/>
      <c r="AH15" s="71"/>
      <c r="AI15" s="8">
        <v>0</v>
      </c>
      <c r="AJ15" s="26"/>
      <c r="AK15" s="71"/>
      <c r="AL15" s="8">
        <v>0</v>
      </c>
      <c r="AM15" s="26"/>
      <c r="AN15" s="71"/>
      <c r="AO15" s="55">
        <v>0</v>
      </c>
      <c r="AP15" s="26"/>
      <c r="AQ15" s="71"/>
      <c r="AR15" s="55">
        <v>0</v>
      </c>
      <c r="AS15" s="68"/>
      <c r="AT15" s="71"/>
      <c r="AU15" s="67">
        <v>0</v>
      </c>
      <c r="AV15" s="68"/>
      <c r="AW15" s="71"/>
      <c r="AX15" s="67">
        <f>+IF((_xlfn.XLOOKUP($B15,'Curva S'!$B$2:$B$100,'Curva S'!$O$2:$O$100,0,0,1)*$I15-$J15)&lt;0,0,(_xlfn.XLOOKUP($B15,'Curva S'!$B$2:$B$100,'Curva S'!$O$2:$O$100,0,0,1)*$I15-$J15))</f>
        <v>0</v>
      </c>
      <c r="AY15" s="68"/>
      <c r="AZ15" s="71"/>
      <c r="BA15" s="67">
        <v>0</v>
      </c>
      <c r="BB15" s="68"/>
      <c r="BC15" s="70"/>
      <c r="BD15" s="68"/>
      <c r="BE15" s="71"/>
      <c r="BF15" s="68"/>
      <c r="BG15" s="71"/>
      <c r="BH15" s="67"/>
      <c r="BI15" s="71"/>
      <c r="BK15" s="103" t="str">
        <f t="shared" si="9"/>
        <v/>
      </c>
      <c r="BL15" s="103" t="str">
        <f t="shared" si="10"/>
        <v/>
      </c>
      <c r="BM15" s="103" t="str">
        <f t="shared" si="11"/>
        <v/>
      </c>
    </row>
    <row r="16" spans="1:65" ht="15" x14ac:dyDescent="0.2">
      <c r="A16" s="2" t="str">
        <f>+_xlfn.XLOOKUP(B16,'[1]Proyectos (NO FILTRAR)'!$F:$F,'[1]Proyectos (NO FILTRAR)'!$B:$B,0,0,1)</f>
        <v>PE-MSR-UG-OTR00-045-A</v>
      </c>
      <c r="B16" s="5" t="s">
        <v>161</v>
      </c>
      <c r="C16" s="5" t="str">
        <f>+_xlfn.XLOOKUP(A16,'[1]Proyectos (NO FILTRAR)'!$B:$B,'[1]Proyectos (NO FILTRAR)'!$G:$G,"error",0,1)</f>
        <v>Perú</v>
      </c>
      <c r="D16" s="5" t="s">
        <v>27</v>
      </c>
      <c r="E16" s="5" t="s">
        <v>53</v>
      </c>
      <c r="F16" s="5"/>
      <c r="G16" s="14" t="s">
        <v>34</v>
      </c>
      <c r="H16" s="14" t="s">
        <v>38</v>
      </c>
      <c r="I16" s="6">
        <v>82439</v>
      </c>
      <c r="J16" s="51">
        <f t="shared" si="2"/>
        <v>82439</v>
      </c>
      <c r="K16" s="47">
        <f t="shared" si="3"/>
        <v>1</v>
      </c>
      <c r="L16" s="7">
        <f t="shared" si="4"/>
        <v>0</v>
      </c>
      <c r="M16" s="52">
        <f t="shared" si="5"/>
        <v>0</v>
      </c>
      <c r="N16" s="65"/>
      <c r="O16" s="52">
        <f t="shared" si="6"/>
        <v>0</v>
      </c>
      <c r="P16" s="65">
        <f t="shared" si="7"/>
        <v>82439</v>
      </c>
      <c r="Q16" s="48">
        <v>82439</v>
      </c>
      <c r="R16" s="48">
        <f t="shared" si="8"/>
        <v>0</v>
      </c>
      <c r="S16" s="8">
        <v>19714.559999999998</v>
      </c>
      <c r="T16" s="9">
        <v>19013</v>
      </c>
      <c r="U16" s="8">
        <v>701.55999999999767</v>
      </c>
      <c r="V16" s="8">
        <v>50107.839999999997</v>
      </c>
      <c r="W16" s="9">
        <v>32480</v>
      </c>
      <c r="X16" s="8">
        <v>30651</v>
      </c>
      <c r="Y16" s="27">
        <v>11297</v>
      </c>
      <c r="Z16" s="8">
        <v>19354</v>
      </c>
      <c r="AA16" s="26">
        <v>19354</v>
      </c>
      <c r="AB16" s="27">
        <v>19649</v>
      </c>
      <c r="AC16" s="8">
        <v>0</v>
      </c>
      <c r="AD16" s="26"/>
      <c r="AE16" s="71"/>
      <c r="AF16" s="8">
        <v>0</v>
      </c>
      <c r="AG16" s="26"/>
      <c r="AH16" s="71"/>
      <c r="AI16" s="8">
        <v>0</v>
      </c>
      <c r="AJ16" s="26"/>
      <c r="AK16" s="71"/>
      <c r="AL16" s="8">
        <v>0</v>
      </c>
      <c r="AM16" s="26"/>
      <c r="AN16" s="71"/>
      <c r="AO16" s="55">
        <v>0</v>
      </c>
      <c r="AP16" s="26"/>
      <c r="AQ16" s="71"/>
      <c r="AR16" s="55">
        <v>0</v>
      </c>
      <c r="AS16" s="68"/>
      <c r="AT16" s="71"/>
      <c r="AU16" s="67">
        <v>0</v>
      </c>
      <c r="AV16" s="68"/>
      <c r="AW16" s="71"/>
      <c r="AX16" s="67">
        <f>+IF((_xlfn.XLOOKUP($B16,'Curva S'!$B$2:$B$100,'Curva S'!$O$2:$O$100,0,0,1)*$I16-$J16)&lt;0,0,(_xlfn.XLOOKUP($B16,'Curva S'!$B$2:$B$100,'Curva S'!$O$2:$O$100,0,0,1)*$I16-$J16))</f>
        <v>0</v>
      </c>
      <c r="AY16" s="68"/>
      <c r="AZ16" s="71"/>
      <c r="BA16" s="67">
        <v>0</v>
      </c>
      <c r="BB16" s="68"/>
      <c r="BC16" s="70"/>
      <c r="BD16" s="68"/>
      <c r="BE16" s="71"/>
      <c r="BF16" s="68"/>
      <c r="BG16" s="71"/>
      <c r="BH16" s="67"/>
      <c r="BI16" s="71"/>
      <c r="BK16" s="103" t="str">
        <f t="shared" si="9"/>
        <v/>
      </c>
      <c r="BL16" s="103" t="str">
        <f t="shared" si="10"/>
        <v/>
      </c>
      <c r="BM16" s="103" t="str">
        <f t="shared" si="11"/>
        <v/>
      </c>
    </row>
    <row r="17" spans="1:65" ht="15" x14ac:dyDescent="0.2">
      <c r="A17" s="2" t="str">
        <f>+_xlfn.XLOOKUP(B17,'[1]Proyectos (NO FILTRAR)'!$F:$F,'[1]Proyectos (NO FILTRAR)'!$B:$B,0,0,1)</f>
        <v>CH-GLE-OP-FEL01-012-A</v>
      </c>
      <c r="B17" s="5" t="s">
        <v>15</v>
      </c>
      <c r="C17" s="5" t="str">
        <f>+_xlfn.XLOOKUP(A17,'[1]Proyectos (NO FILTRAR)'!$B:$B,'[1]Proyectos (NO FILTRAR)'!$G:$G,"error",0,1)</f>
        <v>Chile</v>
      </c>
      <c r="D17" s="5" t="s">
        <v>27</v>
      </c>
      <c r="E17" s="5" t="s">
        <v>53</v>
      </c>
      <c r="F17" s="5"/>
      <c r="G17" s="5" t="s">
        <v>32</v>
      </c>
      <c r="H17" s="5" t="s">
        <v>40</v>
      </c>
      <c r="I17" s="6">
        <v>258540.53000000003</v>
      </c>
      <c r="J17" s="51">
        <f t="shared" si="2"/>
        <v>258540.53000000003</v>
      </c>
      <c r="K17" s="47">
        <f t="shared" si="3"/>
        <v>1</v>
      </c>
      <c r="L17" s="7">
        <f t="shared" si="4"/>
        <v>0</v>
      </c>
      <c r="M17" s="52">
        <f t="shared" si="5"/>
        <v>0</v>
      </c>
      <c r="N17" s="65"/>
      <c r="O17" s="52">
        <f t="shared" si="6"/>
        <v>0</v>
      </c>
      <c r="P17" s="65">
        <f t="shared" si="7"/>
        <v>258540.53000000003</v>
      </c>
      <c r="Q17" s="48">
        <v>258540.53000000003</v>
      </c>
      <c r="R17" s="48">
        <f t="shared" si="8"/>
        <v>0</v>
      </c>
      <c r="S17" s="8">
        <v>42259.819999999949</v>
      </c>
      <c r="T17" s="9">
        <v>0</v>
      </c>
      <c r="U17" s="8">
        <v>42259.819999999949</v>
      </c>
      <c r="V17" s="8">
        <v>0</v>
      </c>
      <c r="W17" s="9">
        <v>3577</v>
      </c>
      <c r="X17" s="8">
        <v>0</v>
      </c>
      <c r="Y17" s="27"/>
      <c r="Z17" s="8">
        <v>0</v>
      </c>
      <c r="AA17" s="26">
        <v>0</v>
      </c>
      <c r="AB17" s="27"/>
      <c r="AC17" s="8">
        <v>0</v>
      </c>
      <c r="AD17" s="26"/>
      <c r="AE17" s="71"/>
      <c r="AF17" s="8">
        <v>0</v>
      </c>
      <c r="AG17" s="26"/>
      <c r="AH17" s="71"/>
      <c r="AI17" s="8">
        <v>0</v>
      </c>
      <c r="AJ17" s="26"/>
      <c r="AK17" s="71"/>
      <c r="AL17" s="8">
        <v>0</v>
      </c>
      <c r="AM17" s="26"/>
      <c r="AN17" s="71"/>
      <c r="AO17" s="55">
        <v>0</v>
      </c>
      <c r="AP17" s="26"/>
      <c r="AQ17" s="71"/>
      <c r="AR17" s="55">
        <v>0</v>
      </c>
      <c r="AS17" s="68"/>
      <c r="AT17" s="71"/>
      <c r="AU17" s="67">
        <v>0</v>
      </c>
      <c r="AV17" s="68"/>
      <c r="AW17" s="71"/>
      <c r="AX17" s="67">
        <f>+IF((_xlfn.XLOOKUP($B17,'Curva S'!$B$2:$B$100,'Curva S'!$O$2:$O$100,0,0,1)*$I17-$J17)&lt;0,0,(_xlfn.XLOOKUP($B17,'Curva S'!$B$2:$B$100,'Curva S'!$O$2:$O$100,0,0,1)*$I17-$J17))</f>
        <v>0</v>
      </c>
      <c r="AY17" s="68"/>
      <c r="AZ17" s="71"/>
      <c r="BA17" s="67">
        <v>0</v>
      </c>
      <c r="BB17" s="68"/>
      <c r="BC17" s="70"/>
      <c r="BD17" s="68"/>
      <c r="BE17" s="71"/>
      <c r="BF17" s="68"/>
      <c r="BG17" s="71"/>
      <c r="BH17" s="67"/>
      <c r="BI17" s="71"/>
      <c r="BK17" s="103" t="str">
        <f t="shared" si="9"/>
        <v/>
      </c>
      <c r="BL17" s="103" t="str">
        <f t="shared" si="10"/>
        <v/>
      </c>
      <c r="BM17" s="103" t="str">
        <f t="shared" si="11"/>
        <v/>
      </c>
    </row>
    <row r="18" spans="1:65" ht="15" x14ac:dyDescent="0.2">
      <c r="A18" s="2" t="str">
        <f>+_xlfn.XLOOKUP(B18,'[1]Proyectos (NO FILTRAR)'!$F:$F,'[1]Proyectos (NO FILTRAR)'!$B:$B,0,0,1)</f>
        <v>CH-LUN-GM-OTR00-005-A</v>
      </c>
      <c r="B18" s="5" t="s">
        <v>16</v>
      </c>
      <c r="C18" s="5" t="str">
        <f>+_xlfn.XLOOKUP(A18,'[1]Proyectos (NO FILTRAR)'!$B:$B,'[1]Proyectos (NO FILTRAR)'!$G:$G,"error",0,1)</f>
        <v>Chile</v>
      </c>
      <c r="D18" s="5" t="s">
        <v>27</v>
      </c>
      <c r="E18" s="5" t="s">
        <v>53</v>
      </c>
      <c r="F18" s="5"/>
      <c r="G18" s="5" t="s">
        <v>30</v>
      </c>
      <c r="H18" s="5" t="s">
        <v>41</v>
      </c>
      <c r="I18" s="6">
        <v>74080.2</v>
      </c>
      <c r="J18" s="51">
        <f t="shared" si="2"/>
        <v>74080.2</v>
      </c>
      <c r="K18" s="47">
        <f t="shared" si="3"/>
        <v>1</v>
      </c>
      <c r="L18" s="7">
        <f t="shared" si="4"/>
        <v>0</v>
      </c>
      <c r="M18" s="52">
        <f t="shared" si="5"/>
        <v>0</v>
      </c>
      <c r="N18" s="65"/>
      <c r="O18" s="52">
        <f t="shared" si="6"/>
        <v>0</v>
      </c>
      <c r="P18" s="65">
        <f t="shared" si="7"/>
        <v>74080.2</v>
      </c>
      <c r="Q18" s="48">
        <v>74080.2</v>
      </c>
      <c r="R18" s="48">
        <f t="shared" si="8"/>
        <v>0</v>
      </c>
      <c r="S18" s="8">
        <v>972.80000000000291</v>
      </c>
      <c r="T18" s="9">
        <v>973</v>
      </c>
      <c r="U18" s="8">
        <v>0</v>
      </c>
      <c r="V18" s="8">
        <v>0</v>
      </c>
      <c r="W18" s="9">
        <v>0</v>
      </c>
      <c r="X18" s="8">
        <v>0</v>
      </c>
      <c r="Y18" s="27"/>
      <c r="Z18" s="8">
        <v>0</v>
      </c>
      <c r="AA18" s="26">
        <v>0</v>
      </c>
      <c r="AB18" s="27"/>
      <c r="AC18" s="8">
        <v>0</v>
      </c>
      <c r="AD18" s="26"/>
      <c r="AE18" s="71"/>
      <c r="AF18" s="8">
        <v>0</v>
      </c>
      <c r="AG18" s="26"/>
      <c r="AH18" s="71"/>
      <c r="AI18" s="8">
        <v>0</v>
      </c>
      <c r="AJ18" s="26"/>
      <c r="AK18" s="71"/>
      <c r="AL18" s="8">
        <v>0</v>
      </c>
      <c r="AM18" s="26"/>
      <c r="AN18" s="71"/>
      <c r="AO18" s="55">
        <v>0</v>
      </c>
      <c r="AP18" s="26"/>
      <c r="AQ18" s="71"/>
      <c r="AR18" s="55">
        <v>0</v>
      </c>
      <c r="AS18" s="68"/>
      <c r="AT18" s="71"/>
      <c r="AU18" s="67">
        <v>0</v>
      </c>
      <c r="AV18" s="68"/>
      <c r="AW18" s="71"/>
      <c r="AX18" s="67">
        <f>+IF((_xlfn.XLOOKUP($B18,'Curva S'!$B$2:$B$100,'Curva S'!$O$2:$O$100,0,0,1)*$I18-$J18)&lt;0,0,(_xlfn.XLOOKUP($B18,'Curva S'!$B$2:$B$100,'Curva S'!$O$2:$O$100,0,0,1)*$I18-$J18))</f>
        <v>0</v>
      </c>
      <c r="AY18" s="68"/>
      <c r="AZ18" s="71"/>
      <c r="BA18" s="67">
        <v>0</v>
      </c>
      <c r="BB18" s="68"/>
      <c r="BC18" s="70"/>
      <c r="BD18" s="68"/>
      <c r="BE18" s="71"/>
      <c r="BF18" s="68"/>
      <c r="BG18" s="71"/>
      <c r="BH18" s="67"/>
      <c r="BI18" s="71"/>
      <c r="BK18" s="103" t="str">
        <f t="shared" si="9"/>
        <v/>
      </c>
      <c r="BL18" s="103" t="str">
        <f t="shared" si="10"/>
        <v/>
      </c>
      <c r="BM18" s="103" t="str">
        <f t="shared" si="11"/>
        <v/>
      </c>
    </row>
    <row r="19" spans="1:65" ht="15" x14ac:dyDescent="0.2">
      <c r="A19" s="2" t="str">
        <f>+_xlfn.XLOOKUP(B19,'[1]Proyectos (NO FILTRAR)'!$F:$F,'[1]Proyectos (NO FILTRAR)'!$B:$B,0,0,1)</f>
        <v>CH-CMP-CS-FEL00-040-A</v>
      </c>
      <c r="B19" s="5" t="s">
        <v>70</v>
      </c>
      <c r="C19" s="5" t="str">
        <f>+_xlfn.XLOOKUP(A19,'[1]Proyectos (NO FILTRAR)'!$B:$B,'[1]Proyectos (NO FILTRAR)'!$G:$G,"error",0,1)</f>
        <v>Chile</v>
      </c>
      <c r="D19" s="5" t="s">
        <v>27</v>
      </c>
      <c r="E19" s="5" t="s">
        <v>56</v>
      </c>
      <c r="F19" s="5" t="s">
        <v>28</v>
      </c>
      <c r="G19" s="14" t="s">
        <v>32</v>
      </c>
      <c r="H19" s="14" t="s">
        <v>39</v>
      </c>
      <c r="I19" s="6">
        <f>+_xlfn.XLOOKUP(B19,'[1]Proyectos (NO FILTRAR)'!$F:$F,'[1]Proyectos (NO FILTRAR)'!$O:$O,"!",0,1)</f>
        <v>18800</v>
      </c>
      <c r="J19" s="51">
        <f t="shared" si="2"/>
        <v>18800</v>
      </c>
      <c r="K19" s="47">
        <f t="shared" si="3"/>
        <v>1</v>
      </c>
      <c r="L19" s="7">
        <f t="shared" si="4"/>
        <v>0</v>
      </c>
      <c r="M19" s="52">
        <f t="shared" si="5"/>
        <v>0</v>
      </c>
      <c r="N19" s="65"/>
      <c r="O19" s="52">
        <f t="shared" si="6"/>
        <v>0</v>
      </c>
      <c r="P19" s="65">
        <f t="shared" si="7"/>
        <v>18800</v>
      </c>
      <c r="Q19" s="48">
        <v>0</v>
      </c>
      <c r="R19" s="48">
        <f t="shared" si="8"/>
        <v>18800</v>
      </c>
      <c r="S19" s="8"/>
      <c r="T19" s="9"/>
      <c r="U19" s="8"/>
      <c r="V19" s="8"/>
      <c r="W19" s="9">
        <v>0</v>
      </c>
      <c r="X19" s="8">
        <v>1880</v>
      </c>
      <c r="Y19" s="27">
        <v>0</v>
      </c>
      <c r="Z19" s="8">
        <v>16920</v>
      </c>
      <c r="AA19" s="26">
        <v>18800</v>
      </c>
      <c r="AB19" s="27">
        <v>0</v>
      </c>
      <c r="AC19" s="8">
        <v>18800</v>
      </c>
      <c r="AD19" s="26">
        <v>18800</v>
      </c>
      <c r="AE19" s="71"/>
      <c r="AF19" s="8">
        <v>18800</v>
      </c>
      <c r="AG19" s="26">
        <v>18800</v>
      </c>
      <c r="AH19" s="71"/>
      <c r="AI19" s="8">
        <v>18800</v>
      </c>
      <c r="AJ19" s="26">
        <v>5642</v>
      </c>
      <c r="AK19" s="71"/>
      <c r="AL19" s="8">
        <v>0</v>
      </c>
      <c r="AM19" s="26"/>
      <c r="AN19" s="71"/>
      <c r="AO19" s="55">
        <v>0</v>
      </c>
      <c r="AP19" s="26"/>
      <c r="AQ19" s="71"/>
      <c r="AR19" s="55">
        <v>0</v>
      </c>
      <c r="AS19" s="68"/>
      <c r="AT19" s="71"/>
      <c r="AU19" s="67">
        <v>0</v>
      </c>
      <c r="AV19" s="68"/>
      <c r="AW19" s="71">
        <v>18800</v>
      </c>
      <c r="AX19" s="67">
        <f>+IF((_xlfn.XLOOKUP($B19,'Curva S'!$B$2:$B$100,'Curva S'!$O$2:$O$100,0,0,1)*$I19-$J19)&lt;0,0,(_xlfn.XLOOKUP($B19,'Curva S'!$B$2:$B$100,'Curva S'!$O$2:$O$100,0,0,1)*$I19-$J19))</f>
        <v>0</v>
      </c>
      <c r="AY19" s="68"/>
      <c r="AZ19" s="71"/>
      <c r="BA19" s="67">
        <v>0</v>
      </c>
      <c r="BB19" s="68"/>
      <c r="BC19" s="70"/>
      <c r="BD19" s="68"/>
      <c r="BE19" s="71"/>
      <c r="BF19" s="68"/>
      <c r="BG19" s="71"/>
      <c r="BH19" s="67"/>
      <c r="BI19" s="71"/>
      <c r="BK19" s="103" t="str">
        <f t="shared" si="9"/>
        <v/>
      </c>
      <c r="BL19" s="103" t="str">
        <f t="shared" si="10"/>
        <v/>
      </c>
      <c r="BM19" s="103" t="str">
        <f t="shared" si="11"/>
        <v/>
      </c>
    </row>
    <row r="20" spans="1:65" ht="15" x14ac:dyDescent="0.2">
      <c r="A20" s="2" t="str">
        <f>+_xlfn.XLOOKUP(B20,'[1]Proyectos (NO FILTRAR)'!$F:$F,'[1]Proyectos (NO FILTRAR)'!$B:$B,0,0,1)</f>
        <v>CH-CMP-OP-FEL03-011-A</v>
      </c>
      <c r="B20" s="5" t="s">
        <v>18</v>
      </c>
      <c r="C20" s="5" t="str">
        <f>+_xlfn.XLOOKUP(A20,'[1]Proyectos (NO FILTRAR)'!$B:$B,'[1]Proyectos (NO FILTRAR)'!$G:$G,"error",0,1)</f>
        <v>Chile</v>
      </c>
      <c r="D20" s="5" t="s">
        <v>27</v>
      </c>
      <c r="E20" s="5" t="s">
        <v>53</v>
      </c>
      <c r="F20" s="5"/>
      <c r="G20" s="5" t="s">
        <v>32</v>
      </c>
      <c r="H20" s="5" t="s">
        <v>40</v>
      </c>
      <c r="I20" s="6">
        <v>27467</v>
      </c>
      <c r="J20" s="51">
        <f t="shared" si="2"/>
        <v>27467</v>
      </c>
      <c r="K20" s="47">
        <f t="shared" si="3"/>
        <v>1</v>
      </c>
      <c r="L20" s="7">
        <f t="shared" si="4"/>
        <v>0</v>
      </c>
      <c r="M20" s="52">
        <f t="shared" si="5"/>
        <v>0</v>
      </c>
      <c r="N20" s="65"/>
      <c r="O20" s="52">
        <f t="shared" si="6"/>
        <v>0</v>
      </c>
      <c r="P20" s="65">
        <f t="shared" si="7"/>
        <v>27467</v>
      </c>
      <c r="Q20" s="48">
        <v>27467</v>
      </c>
      <c r="R20" s="48">
        <f t="shared" si="8"/>
        <v>0</v>
      </c>
      <c r="S20" s="8">
        <v>25796</v>
      </c>
      <c r="T20" s="9">
        <v>27467</v>
      </c>
      <c r="U20" s="8">
        <v>0</v>
      </c>
      <c r="V20" s="8">
        <v>0</v>
      </c>
      <c r="W20" s="9">
        <v>0</v>
      </c>
      <c r="X20" s="8">
        <v>0</v>
      </c>
      <c r="Y20" s="27"/>
      <c r="Z20" s="8">
        <v>0</v>
      </c>
      <c r="AA20" s="26">
        <v>0</v>
      </c>
      <c r="AB20" s="27"/>
      <c r="AC20" s="8">
        <v>0</v>
      </c>
      <c r="AD20" s="26"/>
      <c r="AE20" s="71"/>
      <c r="AF20" s="8">
        <v>0</v>
      </c>
      <c r="AG20" s="26"/>
      <c r="AH20" s="71"/>
      <c r="AI20" s="8">
        <v>0</v>
      </c>
      <c r="AJ20" s="26"/>
      <c r="AK20" s="71"/>
      <c r="AL20" s="8">
        <v>0</v>
      </c>
      <c r="AM20" s="26"/>
      <c r="AN20" s="71"/>
      <c r="AO20" s="55">
        <v>0</v>
      </c>
      <c r="AP20" s="26"/>
      <c r="AQ20" s="71"/>
      <c r="AR20" s="55">
        <v>0</v>
      </c>
      <c r="AS20" s="68"/>
      <c r="AT20" s="71"/>
      <c r="AU20" s="67">
        <v>0</v>
      </c>
      <c r="AV20" s="68"/>
      <c r="AW20" s="71"/>
      <c r="AX20" s="67">
        <f>+IF((_xlfn.XLOOKUP($B20,'Curva S'!$B$2:$B$100,'Curva S'!$O$2:$O$100,0,0,1)*$I20-$J20)&lt;0,0,(_xlfn.XLOOKUP($B20,'Curva S'!$B$2:$B$100,'Curva S'!$O$2:$O$100,0,0,1)*$I20-$J20))</f>
        <v>0</v>
      </c>
      <c r="AY20" s="68"/>
      <c r="AZ20" s="71"/>
      <c r="BA20" s="67">
        <v>0</v>
      </c>
      <c r="BB20" s="68"/>
      <c r="BC20" s="70"/>
      <c r="BD20" s="68"/>
      <c r="BE20" s="71"/>
      <c r="BF20" s="68"/>
      <c r="BG20" s="71"/>
      <c r="BH20" s="67"/>
      <c r="BI20" s="71"/>
      <c r="BK20" s="103" t="str">
        <f t="shared" si="9"/>
        <v/>
      </c>
      <c r="BL20" s="103" t="str">
        <f t="shared" si="10"/>
        <v/>
      </c>
      <c r="BM20" s="103" t="str">
        <f t="shared" si="11"/>
        <v/>
      </c>
    </row>
    <row r="21" spans="1:65" ht="15" x14ac:dyDescent="0.2">
      <c r="A21" s="2" t="str">
        <f>+_xlfn.XLOOKUP(B21,'[1]Proyectos (NO FILTRAR)'!$F:$F,'[1]Proyectos (NO FILTRAR)'!$B:$B,0,0,1)</f>
        <v>CH-CMP-OT-FEL03-002-A</v>
      </c>
      <c r="B21" s="98" t="s">
        <v>19</v>
      </c>
      <c r="C21" s="5" t="str">
        <f>+_xlfn.XLOOKUP(A21,'[1]Proyectos (NO FILTRAR)'!$B:$B,'[1]Proyectos (NO FILTRAR)'!$G:$G,"error",0,1)</f>
        <v>Chile</v>
      </c>
      <c r="D21" s="5" t="s">
        <v>27</v>
      </c>
      <c r="E21" s="5" t="s">
        <v>56</v>
      </c>
      <c r="F21" s="5"/>
      <c r="G21" s="5" t="s">
        <v>32</v>
      </c>
      <c r="H21" s="5" t="s">
        <v>36</v>
      </c>
      <c r="I21" s="6">
        <v>266973.98</v>
      </c>
      <c r="J21" s="51">
        <f t="shared" si="2"/>
        <v>260928</v>
      </c>
      <c r="K21" s="47">
        <f t="shared" si="3"/>
        <v>0.97735367319317046</v>
      </c>
      <c r="L21" s="98">
        <f t="shared" si="4"/>
        <v>6045.9799999999814</v>
      </c>
      <c r="M21" s="52">
        <f t="shared" si="5"/>
        <v>2.264632680682957E-2</v>
      </c>
      <c r="N21" s="65"/>
      <c r="O21" s="52">
        <f t="shared" si="6"/>
        <v>0</v>
      </c>
      <c r="P21" s="65">
        <f t="shared" si="7"/>
        <v>266973.98</v>
      </c>
      <c r="Q21" s="48">
        <v>186687</v>
      </c>
      <c r="R21" s="48">
        <f t="shared" si="8"/>
        <v>80286.979999999981</v>
      </c>
      <c r="S21" s="8">
        <v>266973.98</v>
      </c>
      <c r="T21" s="9">
        <v>0</v>
      </c>
      <c r="U21" s="8">
        <v>266973.98</v>
      </c>
      <c r="V21" s="8">
        <v>0</v>
      </c>
      <c r="W21" s="9">
        <v>58723</v>
      </c>
      <c r="X21" s="8">
        <v>83300.391999999993</v>
      </c>
      <c r="Y21" s="27">
        <v>64612</v>
      </c>
      <c r="Z21" s="8">
        <v>143638.97999999998</v>
      </c>
      <c r="AA21" s="26">
        <v>57455.591999999997</v>
      </c>
      <c r="AB21" s="27">
        <v>63352</v>
      </c>
      <c r="AC21" s="8">
        <v>80286.979999999981</v>
      </c>
      <c r="AD21" s="38">
        <v>80286.979999999981</v>
      </c>
      <c r="AE21" s="71"/>
      <c r="AF21" s="8">
        <v>0</v>
      </c>
      <c r="AG21" s="26"/>
      <c r="AH21" s="71">
        <v>11925</v>
      </c>
      <c r="AI21" s="8">
        <v>0</v>
      </c>
      <c r="AJ21" s="26"/>
      <c r="AK21" s="71"/>
      <c r="AL21" s="8">
        <v>0</v>
      </c>
      <c r="AM21" s="26">
        <v>0</v>
      </c>
      <c r="AN21" s="71">
        <v>37470</v>
      </c>
      <c r="AO21" s="55">
        <v>0</v>
      </c>
      <c r="AP21" s="26"/>
      <c r="AQ21" s="71"/>
      <c r="AR21" s="55">
        <v>0</v>
      </c>
      <c r="AS21" s="68">
        <v>0</v>
      </c>
      <c r="AT21" s="71"/>
      <c r="AU21" s="67">
        <v>0</v>
      </c>
      <c r="AV21" s="68"/>
      <c r="AW21" s="71"/>
      <c r="AX21" s="67">
        <f>+IF((_xlfn.XLOOKUP($B21,'Curva S'!$B$2:$B$100,'Curva S'!$O$2:$O$100,0,0,1)*$I21-$J21)&lt;0,0,(_xlfn.XLOOKUP($B21,'Curva S'!$B$2:$B$100,'Curva S'!$O$2:$O$100,0,0,1)*$I21-$J21))</f>
        <v>0</v>
      </c>
      <c r="AY21" s="68"/>
      <c r="AZ21" s="71"/>
      <c r="BA21" s="67">
        <v>0</v>
      </c>
      <c r="BB21" s="68"/>
      <c r="BC21" s="70">
        <v>24846</v>
      </c>
      <c r="BD21" s="68"/>
      <c r="BE21" s="71"/>
      <c r="BF21" s="68"/>
      <c r="BG21" s="71"/>
      <c r="BH21" s="68"/>
      <c r="BI21" s="71"/>
      <c r="BK21" s="103" t="str">
        <f t="shared" si="9"/>
        <v/>
      </c>
      <c r="BL21" s="103" t="str">
        <f t="shared" si="10"/>
        <v/>
      </c>
      <c r="BM21" s="103" t="str">
        <f t="shared" si="11"/>
        <v/>
      </c>
    </row>
    <row r="22" spans="1:65" ht="15" x14ac:dyDescent="0.2">
      <c r="A22" s="2" t="str">
        <f>+_xlfn.XLOOKUP(B22,'[1]Proyectos (NO FILTRAR)'!$F:$F,'[1]Proyectos (NO FILTRAR)'!$B:$B,0,0,1)</f>
        <v>CH-CMP-OU-FEL2A-033-A</v>
      </c>
      <c r="B22" s="5" t="s">
        <v>2</v>
      </c>
      <c r="C22" s="5" t="str">
        <f>+_xlfn.XLOOKUP(A22,'[1]Proyectos (NO FILTRAR)'!$B:$B,'[1]Proyectos (NO FILTRAR)'!$G:$G,"error",0,1)</f>
        <v>Chile</v>
      </c>
      <c r="D22" s="5" t="s">
        <v>27</v>
      </c>
      <c r="E22" s="5" t="s">
        <v>56</v>
      </c>
      <c r="F22" s="5" t="s">
        <v>33</v>
      </c>
      <c r="G22" s="5" t="s">
        <v>32</v>
      </c>
      <c r="H22" s="5" t="s">
        <v>43</v>
      </c>
      <c r="I22" s="6">
        <v>95128.12</v>
      </c>
      <c r="J22" s="51">
        <f t="shared" si="2"/>
        <v>95128.12</v>
      </c>
      <c r="K22" s="47">
        <f t="shared" si="3"/>
        <v>1</v>
      </c>
      <c r="L22" s="7">
        <f t="shared" si="4"/>
        <v>0</v>
      </c>
      <c r="M22" s="52">
        <f t="shared" si="5"/>
        <v>0</v>
      </c>
      <c r="N22" s="65"/>
      <c r="O22" s="52">
        <f t="shared" si="6"/>
        <v>0</v>
      </c>
      <c r="P22" s="65">
        <f t="shared" si="7"/>
        <v>95128.12</v>
      </c>
      <c r="Q22" s="48">
        <v>83625.2</v>
      </c>
      <c r="R22" s="48">
        <f t="shared" si="8"/>
        <v>11502.919999999998</v>
      </c>
      <c r="S22" s="8">
        <v>7777.5635999999995</v>
      </c>
      <c r="T22" s="9">
        <v>20148</v>
      </c>
      <c r="U22" s="8">
        <v>0</v>
      </c>
      <c r="V22" s="8">
        <v>11666.3454</v>
      </c>
      <c r="W22" s="9">
        <v>25529.59</v>
      </c>
      <c r="X22" s="8">
        <v>49450.540000000008</v>
      </c>
      <c r="Y22" s="27">
        <v>29808.61</v>
      </c>
      <c r="Z22" s="8">
        <v>19641.930000000008</v>
      </c>
      <c r="AA22" s="26">
        <v>19641.930000000008</v>
      </c>
      <c r="AB22" s="27">
        <v>8139</v>
      </c>
      <c r="AC22" s="8">
        <v>11502.930000000008</v>
      </c>
      <c r="AD22" s="26">
        <v>11502.930000000008</v>
      </c>
      <c r="AE22" s="71">
        <v>251</v>
      </c>
      <c r="AF22" s="8">
        <v>11251.930000000008</v>
      </c>
      <c r="AG22" s="26">
        <v>11252</v>
      </c>
      <c r="AH22" s="71">
        <v>8091.2</v>
      </c>
      <c r="AI22" s="8">
        <v>3160.7300000000105</v>
      </c>
      <c r="AJ22" s="26">
        <v>3160.7300000000077</v>
      </c>
      <c r="AK22" s="71">
        <v>1846.72</v>
      </c>
      <c r="AL22" s="8">
        <v>1314.0100000000093</v>
      </c>
      <c r="AM22" s="26">
        <v>1314</v>
      </c>
      <c r="AN22" s="71"/>
      <c r="AO22" s="55">
        <v>1314.0100000000093</v>
      </c>
      <c r="AP22" s="26"/>
      <c r="AQ22" s="71">
        <v>1314</v>
      </c>
      <c r="AR22" s="55">
        <v>1.0000000009313226E-2</v>
      </c>
      <c r="AS22" s="68"/>
      <c r="AT22" s="71"/>
      <c r="AU22" s="67">
        <v>0</v>
      </c>
      <c r="AV22" s="68"/>
      <c r="AW22" s="71"/>
      <c r="AX22" s="67">
        <f>+IF((_xlfn.XLOOKUP($B22,'Curva S'!$B$2:$B$100,'Curva S'!$O$2:$O$100,0,0,1)*$I22-$J22)&lt;0,0,(_xlfn.XLOOKUP($B22,'Curva S'!$B$2:$B$100,'Curva S'!$O$2:$O$100,0,0,1)*$I22-$J22))</f>
        <v>0</v>
      </c>
      <c r="AY22" s="68"/>
      <c r="AZ22" s="71"/>
      <c r="BA22" s="67">
        <v>0</v>
      </c>
      <c r="BB22" s="68"/>
      <c r="BC22" s="70"/>
      <c r="BD22" s="68"/>
      <c r="BE22" s="71"/>
      <c r="BF22" s="68"/>
      <c r="BG22" s="71"/>
      <c r="BH22" s="67"/>
      <c r="BI22" s="71"/>
      <c r="BK22" s="103" t="str">
        <f t="shared" si="9"/>
        <v/>
      </c>
      <c r="BL22" s="103" t="str">
        <f t="shared" si="10"/>
        <v/>
      </c>
      <c r="BM22" s="103" t="str">
        <f t="shared" si="11"/>
        <v/>
      </c>
    </row>
    <row r="23" spans="1:65" ht="15" x14ac:dyDescent="0.2">
      <c r="A23" s="2" t="str">
        <f>+_xlfn.XLOOKUP(B23,'[1]Proyectos (NO FILTRAR)'!$F:$F,'[1]Proyectos (NO FILTRAR)'!$B:$B,0,0,1)</f>
        <v>CH-CMP-OT-OTR00-025-A</v>
      </c>
      <c r="B23" s="5" t="s">
        <v>20</v>
      </c>
      <c r="C23" s="5" t="str">
        <f>+_xlfn.XLOOKUP(A23,'[1]Proyectos (NO FILTRAR)'!$B:$B,'[1]Proyectos (NO FILTRAR)'!$G:$G,"error",0,1)</f>
        <v>Chile</v>
      </c>
      <c r="D23" s="5" t="s">
        <v>27</v>
      </c>
      <c r="E23" s="5" t="s">
        <v>53</v>
      </c>
      <c r="F23" s="5"/>
      <c r="G23" s="5" t="s">
        <v>32</v>
      </c>
      <c r="H23" s="5" t="s">
        <v>32</v>
      </c>
      <c r="I23" s="6">
        <v>44990</v>
      </c>
      <c r="J23" s="51">
        <f t="shared" si="2"/>
        <v>44990</v>
      </c>
      <c r="K23" s="47">
        <f t="shared" si="3"/>
        <v>1</v>
      </c>
      <c r="L23" s="7">
        <f t="shared" si="4"/>
        <v>0</v>
      </c>
      <c r="M23" s="52">
        <f t="shared" si="5"/>
        <v>0</v>
      </c>
      <c r="N23" s="65"/>
      <c r="O23" s="52">
        <f t="shared" si="6"/>
        <v>0</v>
      </c>
      <c r="P23" s="65">
        <f t="shared" si="7"/>
        <v>44990</v>
      </c>
      <c r="Q23" s="48">
        <v>44990</v>
      </c>
      <c r="R23" s="48">
        <f t="shared" si="8"/>
        <v>0</v>
      </c>
      <c r="S23" s="8">
        <v>34790</v>
      </c>
      <c r="T23" s="9">
        <v>0</v>
      </c>
      <c r="U23" s="8">
        <v>34790</v>
      </c>
      <c r="V23" s="8">
        <v>0</v>
      </c>
      <c r="W23" s="9">
        <v>44990</v>
      </c>
      <c r="X23" s="8">
        <v>0</v>
      </c>
      <c r="Y23" s="27"/>
      <c r="Z23" s="8">
        <v>0</v>
      </c>
      <c r="AA23" s="26">
        <v>0</v>
      </c>
      <c r="AB23" s="27"/>
      <c r="AC23" s="8">
        <v>0</v>
      </c>
      <c r="AD23" s="26"/>
      <c r="AE23" s="71"/>
      <c r="AF23" s="8">
        <v>0</v>
      </c>
      <c r="AG23" s="26"/>
      <c r="AH23" s="71"/>
      <c r="AI23" s="8">
        <v>0</v>
      </c>
      <c r="AJ23" s="26"/>
      <c r="AK23" s="71"/>
      <c r="AL23" s="8">
        <v>0</v>
      </c>
      <c r="AM23" s="26"/>
      <c r="AN23" s="71"/>
      <c r="AO23" s="55">
        <v>0</v>
      </c>
      <c r="AP23" s="26"/>
      <c r="AQ23" s="71"/>
      <c r="AR23" s="55">
        <v>0</v>
      </c>
      <c r="AS23" s="68"/>
      <c r="AT23" s="71"/>
      <c r="AU23" s="67">
        <v>0</v>
      </c>
      <c r="AV23" s="68"/>
      <c r="AW23" s="71"/>
      <c r="AX23" s="67">
        <f>+IF((_xlfn.XLOOKUP($B23,'Curva S'!$B$2:$B$100,'Curva S'!$O$2:$O$100,0,0,1)*$I23-$J23)&lt;0,0,(_xlfn.XLOOKUP($B23,'Curva S'!$B$2:$B$100,'Curva S'!$O$2:$O$100,0,0,1)*$I23-$J23))</f>
        <v>0</v>
      </c>
      <c r="AY23" s="68"/>
      <c r="AZ23" s="71"/>
      <c r="BA23" s="67">
        <v>0</v>
      </c>
      <c r="BB23" s="68"/>
      <c r="BC23" s="70"/>
      <c r="BD23" s="68"/>
      <c r="BE23" s="71"/>
      <c r="BF23" s="68"/>
      <c r="BG23" s="71"/>
      <c r="BH23" s="67"/>
      <c r="BI23" s="71"/>
      <c r="BK23" s="103" t="str">
        <f t="shared" si="9"/>
        <v/>
      </c>
      <c r="BL23" s="103" t="str">
        <f t="shared" si="10"/>
        <v/>
      </c>
      <c r="BM23" s="103" t="str">
        <f t="shared" si="11"/>
        <v/>
      </c>
    </row>
    <row r="24" spans="1:65" ht="15" x14ac:dyDescent="0.2">
      <c r="A24" s="2" t="str">
        <f>+_xlfn.XLOOKUP(B24,'[1]Proyectos (NO FILTRAR)'!$F:$F,'[1]Proyectos (NO FILTRAR)'!$B:$B,0,0,1)</f>
        <v>PE-MSR-UG-OTR00-044-A</v>
      </c>
      <c r="B24" s="5" t="s">
        <v>160</v>
      </c>
      <c r="C24" s="5" t="str">
        <f>+_xlfn.XLOOKUP(A24,'[1]Proyectos (NO FILTRAR)'!$B:$B,'[1]Proyectos (NO FILTRAR)'!$G:$G,"error",0,1)</f>
        <v>Perú</v>
      </c>
      <c r="D24" s="5" t="s">
        <v>27</v>
      </c>
      <c r="E24" s="5" t="s">
        <v>53</v>
      </c>
      <c r="F24" s="5"/>
      <c r="G24" s="5" t="s">
        <v>28</v>
      </c>
      <c r="H24" s="5" t="s">
        <v>38</v>
      </c>
      <c r="I24" s="6">
        <v>264624</v>
      </c>
      <c r="J24" s="51">
        <f t="shared" si="2"/>
        <v>264624</v>
      </c>
      <c r="K24" s="47">
        <f t="shared" si="3"/>
        <v>1</v>
      </c>
      <c r="L24" s="7">
        <f t="shared" si="4"/>
        <v>0</v>
      </c>
      <c r="M24" s="52">
        <f t="shared" si="5"/>
        <v>0</v>
      </c>
      <c r="N24" s="65"/>
      <c r="O24" s="52">
        <f t="shared" si="6"/>
        <v>0</v>
      </c>
      <c r="P24" s="65">
        <f t="shared" si="7"/>
        <v>264624</v>
      </c>
      <c r="Q24" s="48">
        <v>264624</v>
      </c>
      <c r="R24" s="48">
        <f t="shared" si="8"/>
        <v>0</v>
      </c>
      <c r="S24" s="8">
        <v>0</v>
      </c>
      <c r="T24" s="9">
        <v>0</v>
      </c>
      <c r="U24" s="8">
        <v>0</v>
      </c>
      <c r="V24" s="8">
        <v>0</v>
      </c>
      <c r="W24" s="9">
        <v>0</v>
      </c>
      <c r="X24" s="8">
        <v>0</v>
      </c>
      <c r="Y24" s="27"/>
      <c r="Z24" s="8">
        <v>0</v>
      </c>
      <c r="AA24" s="26">
        <v>0</v>
      </c>
      <c r="AB24" s="27"/>
      <c r="AC24" s="8">
        <v>0</v>
      </c>
      <c r="AD24" s="26"/>
      <c r="AE24" s="71"/>
      <c r="AF24" s="8">
        <v>0</v>
      </c>
      <c r="AG24" s="26"/>
      <c r="AH24" s="71"/>
      <c r="AI24" s="8">
        <v>0</v>
      </c>
      <c r="AJ24" s="26"/>
      <c r="AK24" s="71"/>
      <c r="AL24" s="8">
        <v>0</v>
      </c>
      <c r="AM24" s="26"/>
      <c r="AN24" s="71"/>
      <c r="AO24" s="55">
        <v>0</v>
      </c>
      <c r="AP24" s="26"/>
      <c r="AQ24" s="71"/>
      <c r="AR24" s="55">
        <v>0</v>
      </c>
      <c r="AS24" s="68"/>
      <c r="AT24" s="71"/>
      <c r="AU24" s="67">
        <v>0</v>
      </c>
      <c r="AV24" s="68"/>
      <c r="AW24" s="71"/>
      <c r="AX24" s="67">
        <f>+IF((_xlfn.XLOOKUP($B24,'Curva S'!$B$2:$B$100,'Curva S'!$O$2:$O$100,0,0,1)*$I24-$J24)&lt;0,0,(_xlfn.XLOOKUP($B24,'Curva S'!$B$2:$B$100,'Curva S'!$O$2:$O$100,0,0,1)*$I24-$J24))</f>
        <v>0</v>
      </c>
      <c r="AY24" s="68"/>
      <c r="AZ24" s="71"/>
      <c r="BA24" s="67">
        <v>0</v>
      </c>
      <c r="BB24" s="68"/>
      <c r="BC24" s="70"/>
      <c r="BD24" s="68"/>
      <c r="BE24" s="71"/>
      <c r="BF24" s="68"/>
      <c r="BG24" s="71"/>
      <c r="BH24" s="67"/>
      <c r="BI24" s="71"/>
      <c r="BK24" s="103" t="str">
        <f t="shared" si="9"/>
        <v/>
      </c>
      <c r="BL24" s="103" t="str">
        <f t="shared" si="10"/>
        <v/>
      </c>
      <c r="BM24" s="103" t="str">
        <f t="shared" si="11"/>
        <v/>
      </c>
    </row>
    <row r="25" spans="1:65" ht="15" x14ac:dyDescent="0.2">
      <c r="A25" s="2" t="str">
        <f>+_xlfn.XLOOKUP(B25,'[1]Proyectos (NO FILTRAR)'!$F:$F,'[1]Proyectos (NO FILTRAR)'!$B:$B,0,0,1)</f>
        <v>RU-OTR-UG-FEL2A-015-A</v>
      </c>
      <c r="B25" s="5" t="s">
        <v>159</v>
      </c>
      <c r="C25" s="5" t="str">
        <f>+_xlfn.XLOOKUP(A25,'[1]Proyectos (NO FILTRAR)'!$B:$B,'[1]Proyectos (NO FILTRAR)'!$G:$G,"error",0,1)</f>
        <v>Rusia</v>
      </c>
      <c r="D25" s="5" t="s">
        <v>27</v>
      </c>
      <c r="E25" s="5" t="s">
        <v>53</v>
      </c>
      <c r="F25" s="5"/>
      <c r="G25" s="5" t="s">
        <v>42</v>
      </c>
      <c r="H25" s="5" t="s">
        <v>43</v>
      </c>
      <c r="I25" s="6">
        <v>43371</v>
      </c>
      <c r="J25" s="51">
        <f t="shared" si="2"/>
        <v>43371</v>
      </c>
      <c r="K25" s="47">
        <f t="shared" si="3"/>
        <v>1</v>
      </c>
      <c r="L25" s="7">
        <f t="shared" si="4"/>
        <v>0</v>
      </c>
      <c r="M25" s="52">
        <f t="shared" si="5"/>
        <v>0</v>
      </c>
      <c r="N25" s="65"/>
      <c r="O25" s="52">
        <f t="shared" si="6"/>
        <v>0</v>
      </c>
      <c r="P25" s="65">
        <f t="shared" si="7"/>
        <v>43371</v>
      </c>
      <c r="Q25" s="48">
        <v>43371</v>
      </c>
      <c r="R25" s="48">
        <f t="shared" si="8"/>
        <v>0</v>
      </c>
      <c r="S25" s="8">
        <v>0</v>
      </c>
      <c r="T25" s="9">
        <v>0</v>
      </c>
      <c r="U25" s="8">
        <v>0</v>
      </c>
      <c r="V25" s="8">
        <v>0</v>
      </c>
      <c r="W25" s="9">
        <v>0</v>
      </c>
      <c r="X25" s="8">
        <v>0</v>
      </c>
      <c r="Y25" s="27"/>
      <c r="Z25" s="8">
        <v>0</v>
      </c>
      <c r="AA25" s="26">
        <v>0</v>
      </c>
      <c r="AB25" s="27"/>
      <c r="AC25" s="8">
        <v>0</v>
      </c>
      <c r="AD25" s="26"/>
      <c r="AE25" s="71"/>
      <c r="AF25" s="8">
        <v>0</v>
      </c>
      <c r="AG25" s="26"/>
      <c r="AH25" s="71"/>
      <c r="AI25" s="8">
        <v>0</v>
      </c>
      <c r="AJ25" s="26"/>
      <c r="AK25" s="71"/>
      <c r="AL25" s="8">
        <v>0</v>
      </c>
      <c r="AM25" s="26"/>
      <c r="AN25" s="71"/>
      <c r="AO25" s="55">
        <v>0</v>
      </c>
      <c r="AP25" s="26"/>
      <c r="AQ25" s="71"/>
      <c r="AR25" s="55">
        <v>0</v>
      </c>
      <c r="AS25" s="68"/>
      <c r="AT25" s="71"/>
      <c r="AU25" s="67">
        <v>0</v>
      </c>
      <c r="AV25" s="68"/>
      <c r="AW25" s="71"/>
      <c r="AX25" s="67">
        <f>+IF((_xlfn.XLOOKUP($B25,'Curva S'!$B$2:$B$100,'Curva S'!$O$2:$O$100,0,0,1)*$I25-$J25)&lt;0,0,(_xlfn.XLOOKUP($B25,'Curva S'!$B$2:$B$100,'Curva S'!$O$2:$O$100,0,0,1)*$I25-$J25))</f>
        <v>0</v>
      </c>
      <c r="AY25" s="68"/>
      <c r="AZ25" s="71"/>
      <c r="BA25" s="67">
        <v>0</v>
      </c>
      <c r="BB25" s="68"/>
      <c r="BC25" s="70"/>
      <c r="BD25" s="68"/>
      <c r="BE25" s="71"/>
      <c r="BF25" s="68"/>
      <c r="BG25" s="71"/>
      <c r="BH25" s="67"/>
      <c r="BI25" s="71"/>
      <c r="BK25" s="103" t="str">
        <f t="shared" si="9"/>
        <v/>
      </c>
      <c r="BL25" s="103" t="str">
        <f t="shared" si="10"/>
        <v/>
      </c>
      <c r="BM25" s="103" t="str">
        <f t="shared" si="11"/>
        <v/>
      </c>
    </row>
    <row r="26" spans="1:65" ht="15" x14ac:dyDescent="0.2">
      <c r="A26" s="2" t="str">
        <f>+_xlfn.XLOOKUP(B26,'[1]Proyectos (NO FILTRAR)'!$F:$F,'[1]Proyectos (NO FILTRAR)'!$B:$B,0,0,1)</f>
        <v>PE-MSR-OP-OTR00-024-A</v>
      </c>
      <c r="B26" s="5" t="s">
        <v>158</v>
      </c>
      <c r="C26" s="5" t="str">
        <f>+_xlfn.XLOOKUP(A26,'[1]Proyectos (NO FILTRAR)'!$B:$B,'[1]Proyectos (NO FILTRAR)'!$G:$G,"error",0,1)</f>
        <v>Perú</v>
      </c>
      <c r="D26" s="5" t="s">
        <v>27</v>
      </c>
      <c r="E26" s="5" t="s">
        <v>53</v>
      </c>
      <c r="F26" s="5"/>
      <c r="G26" s="5" t="s">
        <v>32</v>
      </c>
      <c r="H26" s="5" t="s">
        <v>44</v>
      </c>
      <c r="I26" s="6">
        <v>137832</v>
      </c>
      <c r="J26" s="51">
        <f t="shared" si="2"/>
        <v>137832</v>
      </c>
      <c r="K26" s="47">
        <f t="shared" si="3"/>
        <v>1</v>
      </c>
      <c r="L26" s="7">
        <f t="shared" si="4"/>
        <v>0</v>
      </c>
      <c r="M26" s="52">
        <f t="shared" si="5"/>
        <v>0</v>
      </c>
      <c r="N26" s="65"/>
      <c r="O26" s="52">
        <f t="shared" si="6"/>
        <v>0</v>
      </c>
      <c r="P26" s="65">
        <f t="shared" si="7"/>
        <v>137832</v>
      </c>
      <c r="Q26" s="48">
        <v>137832</v>
      </c>
      <c r="R26" s="48">
        <f t="shared" si="8"/>
        <v>0</v>
      </c>
      <c r="S26" s="8">
        <v>0</v>
      </c>
      <c r="T26" s="9">
        <v>0</v>
      </c>
      <c r="U26" s="8">
        <v>0</v>
      </c>
      <c r="V26" s="8">
        <v>0</v>
      </c>
      <c r="W26" s="9">
        <v>0</v>
      </c>
      <c r="X26" s="8">
        <v>0</v>
      </c>
      <c r="Y26" s="27"/>
      <c r="Z26" s="8">
        <v>0</v>
      </c>
      <c r="AA26" s="26">
        <v>0</v>
      </c>
      <c r="AB26" s="27"/>
      <c r="AC26" s="8">
        <v>0</v>
      </c>
      <c r="AD26" s="26"/>
      <c r="AE26" s="71"/>
      <c r="AF26" s="8">
        <v>0</v>
      </c>
      <c r="AG26" s="26"/>
      <c r="AH26" s="71"/>
      <c r="AI26" s="8">
        <v>0</v>
      </c>
      <c r="AJ26" s="26"/>
      <c r="AK26" s="71"/>
      <c r="AL26" s="8">
        <v>0</v>
      </c>
      <c r="AM26" s="26"/>
      <c r="AN26" s="71"/>
      <c r="AO26" s="55">
        <v>0</v>
      </c>
      <c r="AP26" s="26"/>
      <c r="AQ26" s="71"/>
      <c r="AR26" s="55">
        <v>0</v>
      </c>
      <c r="AS26" s="68"/>
      <c r="AT26" s="71"/>
      <c r="AU26" s="67">
        <v>0</v>
      </c>
      <c r="AV26" s="68"/>
      <c r="AW26" s="71"/>
      <c r="AX26" s="67">
        <f>+IF((_xlfn.XLOOKUP($B26,'Curva S'!$B$2:$B$100,'Curva S'!$O$2:$O$100,0,0,1)*$I26-$J26)&lt;0,0,(_xlfn.XLOOKUP($B26,'Curva S'!$B$2:$B$100,'Curva S'!$O$2:$O$100,0,0,1)*$I26-$J26))</f>
        <v>0</v>
      </c>
      <c r="AY26" s="68"/>
      <c r="AZ26" s="71"/>
      <c r="BA26" s="67">
        <v>0</v>
      </c>
      <c r="BB26" s="68"/>
      <c r="BC26" s="70"/>
      <c r="BD26" s="68"/>
      <c r="BE26" s="71"/>
      <c r="BF26" s="68"/>
      <c r="BG26" s="71"/>
      <c r="BH26" s="67"/>
      <c r="BI26" s="71"/>
      <c r="BK26" s="103" t="str">
        <f t="shared" si="9"/>
        <v/>
      </c>
      <c r="BL26" s="103" t="str">
        <f t="shared" si="10"/>
        <v/>
      </c>
      <c r="BM26" s="103" t="str">
        <f t="shared" si="11"/>
        <v/>
      </c>
    </row>
    <row r="27" spans="1:65" ht="15" x14ac:dyDescent="0.2">
      <c r="A27" s="2" t="str">
        <f>+_xlfn.XLOOKUP(B27,'[1]Proyectos (NO FILTRAR)'!$F:$F,'[1]Proyectos (NO FILTRAR)'!$B:$B,0,0,1)</f>
        <v>PE-CSC-UG-FEL2A-023-A</v>
      </c>
      <c r="B27" s="5" t="s">
        <v>157</v>
      </c>
      <c r="C27" s="5" t="str">
        <f>+_xlfn.XLOOKUP(A27,'[1]Proyectos (NO FILTRAR)'!$B:$B,'[1]Proyectos (NO FILTRAR)'!$G:$G,"error",0,1)</f>
        <v>Perú</v>
      </c>
      <c r="D27" s="5" t="s">
        <v>27</v>
      </c>
      <c r="E27" s="5" t="s">
        <v>56</v>
      </c>
      <c r="F27" s="5" t="s">
        <v>33</v>
      </c>
      <c r="G27" s="14" t="s">
        <v>51</v>
      </c>
      <c r="H27" s="14" t="s">
        <v>29</v>
      </c>
      <c r="I27" s="6">
        <v>1039661.3</v>
      </c>
      <c r="J27" s="51">
        <f t="shared" si="2"/>
        <v>1039661.3</v>
      </c>
      <c r="K27" s="47">
        <f t="shared" si="3"/>
        <v>1</v>
      </c>
      <c r="L27" s="7">
        <f t="shared" si="4"/>
        <v>0</v>
      </c>
      <c r="M27" s="52">
        <f t="shared" si="5"/>
        <v>0</v>
      </c>
      <c r="N27" s="65"/>
      <c r="O27" s="52">
        <f t="shared" si="6"/>
        <v>0</v>
      </c>
      <c r="P27" s="65">
        <f t="shared" si="7"/>
        <v>1039661.3</v>
      </c>
      <c r="Q27" s="48">
        <v>221948.3</v>
      </c>
      <c r="R27" s="48">
        <f t="shared" si="8"/>
        <v>817713</v>
      </c>
      <c r="S27" s="8">
        <v>0</v>
      </c>
      <c r="T27" s="9">
        <v>0</v>
      </c>
      <c r="U27" s="8">
        <v>0</v>
      </c>
      <c r="V27" s="8">
        <v>0</v>
      </c>
      <c r="W27" s="9">
        <v>91731.3</v>
      </c>
      <c r="X27" s="8">
        <v>82558.17</v>
      </c>
      <c r="Y27" s="27">
        <v>100441</v>
      </c>
      <c r="Z27" s="8">
        <v>137776.73299999998</v>
      </c>
      <c r="AA27" s="26">
        <v>137776.79</v>
      </c>
      <c r="AB27" s="27">
        <v>29776</v>
      </c>
      <c r="AC27" s="8">
        <v>152980.234</v>
      </c>
      <c r="AD27" s="26">
        <v>60000</v>
      </c>
      <c r="AE27" s="71">
        <v>70005</v>
      </c>
      <c r="AF27" s="8">
        <v>151113.84099999999</v>
      </c>
      <c r="AG27" s="26">
        <v>58000</v>
      </c>
      <c r="AH27" s="71">
        <v>29387</v>
      </c>
      <c r="AI27" s="8">
        <v>81165.800000000047</v>
      </c>
      <c r="AJ27" s="26">
        <v>61467</v>
      </c>
      <c r="AK27" s="71"/>
      <c r="AL27" s="8">
        <v>143655</v>
      </c>
      <c r="AM27" s="26">
        <f>83831+41184</f>
        <v>125015</v>
      </c>
      <c r="AN27" s="71">
        <v>50531</v>
      </c>
      <c r="AO27" s="55">
        <v>140572.50000000006</v>
      </c>
      <c r="AP27" s="26"/>
      <c r="AQ27" s="71">
        <v>177527</v>
      </c>
      <c r="AR27" s="55">
        <v>114880.69999999995</v>
      </c>
      <c r="AS27" s="68">
        <v>74185</v>
      </c>
      <c r="AT27" s="71">
        <v>110053</v>
      </c>
      <c r="AU27" s="67">
        <v>110447.09999999986</v>
      </c>
      <c r="AV27" s="68">
        <v>90000</v>
      </c>
      <c r="AW27" s="71">
        <v>85235</v>
      </c>
      <c r="AX27" s="67">
        <f>+IF((_xlfn.XLOOKUP($B27,'Curva S'!$B$2:$B$100,'Curva S'!$O$2:$O$100,0,0,1)*$I27-$J27)&lt;0,0,(_xlfn.XLOOKUP($B27,'Curva S'!$B$2:$B$100,'Curva S'!$O$2:$O$100,0,0,1)*$I27-$J27))</f>
        <v>0</v>
      </c>
      <c r="AY27" s="68"/>
      <c r="AZ27" s="71">
        <v>112468</v>
      </c>
      <c r="BA27" s="67">
        <v>85511.699999999953</v>
      </c>
      <c r="BB27" s="68"/>
      <c r="BC27" s="70">
        <v>93254</v>
      </c>
      <c r="BD27" s="68">
        <v>35762</v>
      </c>
      <c r="BE27" s="71">
        <v>67403</v>
      </c>
      <c r="BF27" s="68">
        <v>17901</v>
      </c>
      <c r="BG27" s="101">
        <v>17153</v>
      </c>
      <c r="BH27" s="67">
        <f>_xlfn.XLOOKUP(A27,'[3]Resumen POM'!$I:$I,'[3]Resumen POM'!$D:$D,"",0,1)</f>
        <v>4697</v>
      </c>
      <c r="BI27" s="71">
        <v>4697</v>
      </c>
      <c r="BK27" s="103">
        <f t="shared" si="9"/>
        <v>1</v>
      </c>
      <c r="BL27" s="103">
        <f t="shared" si="10"/>
        <v>0.9582146248812915</v>
      </c>
      <c r="BM27" s="103">
        <f t="shared" si="11"/>
        <v>1</v>
      </c>
    </row>
    <row r="28" spans="1:65" ht="15" x14ac:dyDescent="0.2">
      <c r="A28" s="2" t="str">
        <f>+_xlfn.XLOOKUP(B28,'[1]Proyectos (NO FILTRAR)'!$F:$F,'[1]Proyectos (NO FILTRAR)'!$B:$B,0,0,1)</f>
        <v>CH-CSH-OP-FEL00-034-A</v>
      </c>
      <c r="B28" s="5" t="s">
        <v>156</v>
      </c>
      <c r="C28" s="5" t="str">
        <f>+_xlfn.XLOOKUP(A28,'[1]Proyectos (NO FILTRAR)'!$B:$B,'[1]Proyectos (NO FILTRAR)'!$G:$G,"error",0,1)</f>
        <v>Chile</v>
      </c>
      <c r="D28" s="5" t="s">
        <v>27</v>
      </c>
      <c r="E28" s="5" t="s">
        <v>56</v>
      </c>
      <c r="F28" s="5" t="s">
        <v>28</v>
      </c>
      <c r="G28" s="5" t="s">
        <v>28</v>
      </c>
      <c r="H28" s="5" t="s">
        <v>39</v>
      </c>
      <c r="I28" s="6">
        <v>114390</v>
      </c>
      <c r="J28" s="51">
        <f t="shared" si="2"/>
        <v>114390</v>
      </c>
      <c r="K28" s="47">
        <f t="shared" si="3"/>
        <v>1</v>
      </c>
      <c r="L28" s="7">
        <f t="shared" si="4"/>
        <v>0</v>
      </c>
      <c r="M28" s="52">
        <f t="shared" si="5"/>
        <v>0</v>
      </c>
      <c r="N28" s="65"/>
      <c r="O28" s="52">
        <f t="shared" si="6"/>
        <v>0</v>
      </c>
      <c r="P28" s="65">
        <f t="shared" si="7"/>
        <v>114390</v>
      </c>
      <c r="Q28" s="48">
        <v>19065</v>
      </c>
      <c r="R28" s="48">
        <f t="shared" si="8"/>
        <v>95325</v>
      </c>
      <c r="S28" s="8">
        <v>0</v>
      </c>
      <c r="T28" s="9">
        <v>0</v>
      </c>
      <c r="U28" s="8">
        <v>0</v>
      </c>
      <c r="V28" s="8">
        <v>0</v>
      </c>
      <c r="W28" s="9">
        <v>0</v>
      </c>
      <c r="X28" s="8">
        <v>0</v>
      </c>
      <c r="Y28" s="27"/>
      <c r="Z28" s="8">
        <v>19065</v>
      </c>
      <c r="AA28" s="26">
        <v>19065</v>
      </c>
      <c r="AB28" s="27">
        <v>19065</v>
      </c>
      <c r="AC28" s="8">
        <v>19065</v>
      </c>
      <c r="AD28" s="26">
        <v>19065</v>
      </c>
      <c r="AE28" s="71">
        <v>19065</v>
      </c>
      <c r="AF28" s="8">
        <v>19065</v>
      </c>
      <c r="AG28" s="26">
        <v>19065</v>
      </c>
      <c r="AH28" s="71">
        <v>19065</v>
      </c>
      <c r="AI28" s="8">
        <v>19065</v>
      </c>
      <c r="AJ28" s="26">
        <v>19065</v>
      </c>
      <c r="AK28" s="71">
        <v>19065</v>
      </c>
      <c r="AL28" s="8">
        <v>19065</v>
      </c>
      <c r="AM28" s="26">
        <v>19065</v>
      </c>
      <c r="AN28" s="71">
        <v>19065</v>
      </c>
      <c r="AO28" s="55">
        <v>19065</v>
      </c>
      <c r="AP28" s="26"/>
      <c r="AQ28" s="71"/>
      <c r="AR28" s="55">
        <v>0</v>
      </c>
      <c r="AS28" s="68"/>
      <c r="AT28" s="71"/>
      <c r="AU28" s="67">
        <v>0</v>
      </c>
      <c r="AV28" s="68"/>
      <c r="AW28" s="71">
        <v>19065</v>
      </c>
      <c r="AX28" s="67">
        <f>+IF((_xlfn.XLOOKUP($B28,'Curva S'!$B$2:$B$100,'Curva S'!$O$2:$O$100,0,0,1)*$I28-$J28)&lt;0,0,(_xlfn.XLOOKUP($B28,'Curva S'!$B$2:$B$100,'Curva S'!$O$2:$O$100,0,0,1)*$I28-$J28))</f>
        <v>0</v>
      </c>
      <c r="AY28" s="68"/>
      <c r="AZ28" s="71"/>
      <c r="BA28" s="67">
        <v>0</v>
      </c>
      <c r="BB28" s="68"/>
      <c r="BC28" s="70"/>
      <c r="BD28" s="68"/>
      <c r="BE28" s="71"/>
      <c r="BF28" s="68"/>
      <c r="BG28" s="71"/>
      <c r="BH28" s="67"/>
      <c r="BI28" s="71"/>
      <c r="BK28" s="103" t="str">
        <f t="shared" si="9"/>
        <v/>
      </c>
      <c r="BL28" s="103" t="str">
        <f t="shared" si="10"/>
        <v/>
      </c>
      <c r="BM28" s="103" t="str">
        <f t="shared" si="11"/>
        <v/>
      </c>
    </row>
    <row r="29" spans="1:65" ht="14.25" customHeight="1" x14ac:dyDescent="0.2">
      <c r="A29" s="2" t="str">
        <f>+_xlfn.XLOOKUP(B29,'[1]Proyectos (NO FILTRAR)'!$F:$F,'[1]Proyectos (NO FILTRAR)'!$B:$B,0,0,1)</f>
        <v>CH-AMS-CS-OTR00-029-A</v>
      </c>
      <c r="B29" s="5" t="s">
        <v>155</v>
      </c>
      <c r="C29" s="5" t="str">
        <f>+_xlfn.XLOOKUP(A29,'[1]Proyectos (NO FILTRAR)'!$B:$B,'[1]Proyectos (NO FILTRAR)'!$G:$G,"error",0,1)</f>
        <v>Chile</v>
      </c>
      <c r="D29" s="5" t="s">
        <v>27</v>
      </c>
      <c r="E29" s="5" t="s">
        <v>53</v>
      </c>
      <c r="F29" s="5" t="s">
        <v>28</v>
      </c>
      <c r="G29" s="14" t="s">
        <v>49</v>
      </c>
      <c r="H29" s="14" t="s">
        <v>44</v>
      </c>
      <c r="I29" s="6">
        <v>427230</v>
      </c>
      <c r="J29" s="51">
        <f t="shared" si="2"/>
        <v>427230</v>
      </c>
      <c r="K29" s="47">
        <f t="shared" si="3"/>
        <v>1</v>
      </c>
      <c r="L29" s="7">
        <f t="shared" si="4"/>
        <v>0</v>
      </c>
      <c r="M29" s="52">
        <f t="shared" si="5"/>
        <v>0</v>
      </c>
      <c r="N29" s="65"/>
      <c r="O29" s="52">
        <f t="shared" si="6"/>
        <v>0</v>
      </c>
      <c r="P29" s="65">
        <f t="shared" si="7"/>
        <v>427230</v>
      </c>
      <c r="Q29" s="48">
        <v>427230</v>
      </c>
      <c r="R29" s="48">
        <f t="shared" si="8"/>
        <v>0</v>
      </c>
      <c r="S29" s="8">
        <v>0</v>
      </c>
      <c r="T29" s="9">
        <v>30338</v>
      </c>
      <c r="U29" s="8">
        <v>0</v>
      </c>
      <c r="V29" s="8">
        <v>40000</v>
      </c>
      <c r="W29" s="9">
        <v>105098</v>
      </c>
      <c r="X29" s="8">
        <v>43769.1</v>
      </c>
      <c r="Y29" s="27">
        <v>60311</v>
      </c>
      <c r="Z29" s="8">
        <v>212964.36000000002</v>
      </c>
      <c r="AA29" s="26">
        <v>172360</v>
      </c>
      <c r="AB29" s="27">
        <f>186082+45401</f>
        <v>231483</v>
      </c>
      <c r="AC29" s="8"/>
      <c r="AD29" s="26"/>
      <c r="AE29" s="72"/>
      <c r="AF29" s="8"/>
      <c r="AG29" s="26"/>
      <c r="AH29" s="72"/>
      <c r="AI29" s="8"/>
      <c r="AJ29" s="26"/>
      <c r="AK29" s="72"/>
      <c r="AL29" s="8">
        <v>0</v>
      </c>
      <c r="AM29" s="26"/>
      <c r="AN29" s="72"/>
      <c r="AO29" s="55">
        <v>0</v>
      </c>
      <c r="AP29" s="26"/>
      <c r="AQ29" s="72"/>
      <c r="AR29" s="55">
        <v>0</v>
      </c>
      <c r="AS29" s="68"/>
      <c r="AT29" s="72"/>
      <c r="AU29" s="67">
        <v>0</v>
      </c>
      <c r="AV29" s="68"/>
      <c r="AW29" s="72"/>
      <c r="AX29" s="67">
        <f>+IF((_xlfn.XLOOKUP($B29,'Curva S'!$B$2:$B$100,'Curva S'!$O$2:$O$100,0,0,1)*$I29-$J29)&lt;0,0,(_xlfn.XLOOKUP($B29,'Curva S'!$B$2:$B$100,'Curva S'!$O$2:$O$100,0,0,1)*$I29-$J29))</f>
        <v>0</v>
      </c>
      <c r="AY29" s="68"/>
      <c r="AZ29" s="72"/>
      <c r="BA29" s="67">
        <v>0</v>
      </c>
      <c r="BB29" s="68"/>
      <c r="BC29" s="70"/>
      <c r="BD29" s="68"/>
      <c r="BE29" s="72"/>
      <c r="BF29" s="68"/>
      <c r="BG29" s="72"/>
      <c r="BH29" s="67"/>
      <c r="BI29" s="72"/>
      <c r="BK29" s="103" t="str">
        <f t="shared" si="9"/>
        <v/>
      </c>
      <c r="BL29" s="103" t="str">
        <f t="shared" si="10"/>
        <v/>
      </c>
      <c r="BM29" s="103" t="str">
        <f t="shared" si="11"/>
        <v/>
      </c>
    </row>
    <row r="30" spans="1:65" ht="14.25" customHeight="1" x14ac:dyDescent="0.2">
      <c r="A30" s="2" t="str">
        <f>+_xlfn.XLOOKUP(B30,'[1]Proyectos (NO FILTRAR)'!$F:$F,'[1]Proyectos (NO FILTRAR)'!$B:$B,0,0,1)</f>
        <v>PE-COR-UG-FEL2A-035-A</v>
      </c>
      <c r="B30" s="5" t="s">
        <v>45</v>
      </c>
      <c r="C30" s="5" t="str">
        <f>+_xlfn.XLOOKUP(A30,'[1]Proyectos (NO FILTRAR)'!$B:$B,'[1]Proyectos (NO FILTRAR)'!$G:$G,"error",0,1)</f>
        <v>Perú</v>
      </c>
      <c r="D30" s="5" t="s">
        <v>27</v>
      </c>
      <c r="E30" s="5" t="s">
        <v>56</v>
      </c>
      <c r="F30" s="5" t="s">
        <v>162</v>
      </c>
      <c r="G30" s="5" t="s">
        <v>28</v>
      </c>
      <c r="H30" s="5" t="s">
        <v>46</v>
      </c>
      <c r="I30" s="6">
        <f>+_xlfn.XLOOKUP(B30,'[1]Proyectos (NO FILTRAR)'!$F:$F,'[1]Proyectos (NO FILTRAR)'!$O:$O,"!",0,1)</f>
        <v>47960</v>
      </c>
      <c r="J30" s="51">
        <f t="shared" si="2"/>
        <v>45562</v>
      </c>
      <c r="K30" s="47">
        <f t="shared" si="3"/>
        <v>0.95</v>
      </c>
      <c r="L30" s="7">
        <f t="shared" si="4"/>
        <v>2398</v>
      </c>
      <c r="M30" s="52">
        <f t="shared" si="5"/>
        <v>0.05</v>
      </c>
      <c r="N30" s="65"/>
      <c r="O30" s="52">
        <f t="shared" si="6"/>
        <v>0</v>
      </c>
      <c r="P30" s="65">
        <f t="shared" si="7"/>
        <v>47960</v>
      </c>
      <c r="Q30" s="48">
        <v>0</v>
      </c>
      <c r="R30" s="48">
        <f t="shared" si="8"/>
        <v>47960</v>
      </c>
      <c r="S30" s="8">
        <v>0</v>
      </c>
      <c r="T30" s="9">
        <v>0</v>
      </c>
      <c r="U30" s="8">
        <v>0</v>
      </c>
      <c r="V30" s="8">
        <v>11510.4</v>
      </c>
      <c r="W30" s="9">
        <v>0</v>
      </c>
      <c r="X30" s="8">
        <v>42684.4</v>
      </c>
      <c r="Y30" s="27">
        <v>0</v>
      </c>
      <c r="Z30" s="8">
        <v>47960</v>
      </c>
      <c r="AA30" s="26">
        <v>0</v>
      </c>
      <c r="AB30" s="27">
        <v>0</v>
      </c>
      <c r="AC30" s="8">
        <v>0</v>
      </c>
      <c r="AD30" s="26"/>
      <c r="AE30" s="71"/>
      <c r="AF30" s="8">
        <v>0</v>
      </c>
      <c r="AG30" s="26"/>
      <c r="AH30" s="71"/>
      <c r="AI30" s="8">
        <v>0</v>
      </c>
      <c r="AJ30" s="26"/>
      <c r="AK30" s="71"/>
      <c r="AL30" s="8">
        <v>0</v>
      </c>
      <c r="AM30" s="26"/>
      <c r="AN30" s="71"/>
      <c r="AO30" s="55">
        <v>0</v>
      </c>
      <c r="AP30" s="26"/>
      <c r="AQ30" s="71"/>
      <c r="AR30" s="55">
        <v>0</v>
      </c>
      <c r="AS30" s="68">
        <v>28296</v>
      </c>
      <c r="AT30" s="71"/>
      <c r="AU30" s="67">
        <v>47960</v>
      </c>
      <c r="AV30" s="68">
        <v>23980</v>
      </c>
      <c r="AW30" s="71">
        <v>23980</v>
      </c>
      <c r="AX30" s="67">
        <f>+IF((_xlfn.XLOOKUP($B30,'Curva S'!$B$2:$B$100,'Curva S'!$O$2:$O$100,0,0,1)*$I30-$J30)&lt;0,0,(_xlfn.XLOOKUP($B30,'Curva S'!$B$2:$B$100,'Curva S'!$O$2:$O$100,0,0,1)*$I30-$J30))</f>
        <v>0</v>
      </c>
      <c r="AY30" s="68"/>
      <c r="AZ30" s="71"/>
      <c r="BA30" s="67">
        <v>0</v>
      </c>
      <c r="BB30" s="68"/>
      <c r="BC30" s="70">
        <v>21582</v>
      </c>
      <c r="BD30" s="68"/>
      <c r="BE30" s="71"/>
      <c r="BF30" s="68"/>
      <c r="BG30" s="71"/>
      <c r="BH30" s="67"/>
      <c r="BI30" s="71"/>
      <c r="BK30" s="103" t="str">
        <f t="shared" si="9"/>
        <v/>
      </c>
      <c r="BL30" s="103" t="str">
        <f t="shared" si="10"/>
        <v/>
      </c>
      <c r="BM30" s="103" t="str">
        <f t="shared" si="11"/>
        <v/>
      </c>
    </row>
    <row r="31" spans="1:65" x14ac:dyDescent="0.2">
      <c r="A31" s="79" t="str">
        <f>+_xlfn.XLOOKUP(B31,'[1]Proyectos (NO FILTRAR)'!$F:$F,'[1]Proyectos (NO FILTRAR)'!$B:$B,0,0,1)</f>
        <v>CH-COD-OT-OTR00-030-A</v>
      </c>
      <c r="B31" s="80" t="s">
        <v>154</v>
      </c>
      <c r="C31" s="80" t="str">
        <f>+_xlfn.XLOOKUP(A31,'[1]Proyectos (NO FILTRAR)'!$B:$B,'[1]Proyectos (NO FILTRAR)'!$G:$G,"error",0,1)</f>
        <v>Chile</v>
      </c>
      <c r="D31" s="80" t="s">
        <v>27</v>
      </c>
      <c r="E31" s="80" t="s">
        <v>56</v>
      </c>
      <c r="F31" s="80" t="s">
        <v>34</v>
      </c>
      <c r="G31" s="81" t="s">
        <v>34</v>
      </c>
      <c r="H31" s="81" t="s">
        <v>43</v>
      </c>
      <c r="I31" s="82">
        <v>56123</v>
      </c>
      <c r="J31" s="51">
        <f t="shared" si="2"/>
        <v>56123</v>
      </c>
      <c r="K31" s="83">
        <f t="shared" si="3"/>
        <v>1</v>
      </c>
      <c r="L31" s="84">
        <f t="shared" si="4"/>
        <v>0</v>
      </c>
      <c r="M31" s="85">
        <f t="shared" si="5"/>
        <v>0</v>
      </c>
      <c r="N31" s="65"/>
      <c r="O31" s="85">
        <f t="shared" si="6"/>
        <v>0</v>
      </c>
      <c r="P31" s="86">
        <f t="shared" si="7"/>
        <v>56123</v>
      </c>
      <c r="Q31" s="87">
        <v>29752</v>
      </c>
      <c r="R31" s="87">
        <f t="shared" si="8"/>
        <v>26371</v>
      </c>
      <c r="S31" s="88"/>
      <c r="T31" s="89"/>
      <c r="U31" s="88"/>
      <c r="V31" s="88"/>
      <c r="W31" s="89">
        <v>0</v>
      </c>
      <c r="X31" s="88">
        <v>32250</v>
      </c>
      <c r="Y31" s="90">
        <v>0</v>
      </c>
      <c r="Z31" s="88">
        <v>57799.32</v>
      </c>
      <c r="AA31" s="91">
        <v>21600</v>
      </c>
      <c r="AB31" s="90">
        <v>29752</v>
      </c>
      <c r="AC31" s="88">
        <v>45248</v>
      </c>
      <c r="AD31" s="92">
        <v>45248</v>
      </c>
      <c r="AE31" s="95"/>
      <c r="AF31" s="88">
        <v>34741.15</v>
      </c>
      <c r="AG31" s="91">
        <v>14600</v>
      </c>
      <c r="AH31" s="95">
        <v>12534</v>
      </c>
      <c r="AI31" s="88">
        <v>0</v>
      </c>
      <c r="AJ31" s="91"/>
      <c r="AK31" s="95"/>
      <c r="AL31" s="88">
        <v>28214</v>
      </c>
      <c r="AM31" s="91">
        <v>26714</v>
      </c>
      <c r="AN31" s="95"/>
      <c r="AO31" s="93">
        <v>4359</v>
      </c>
      <c r="AP31" s="91"/>
      <c r="AQ31" s="95"/>
      <c r="AR31" s="55">
        <v>0</v>
      </c>
      <c r="AS31" s="94">
        <v>0</v>
      </c>
      <c r="AT31" s="95"/>
      <c r="AU31" s="67">
        <v>0</v>
      </c>
      <c r="AV31" s="94"/>
      <c r="AW31" s="95">
        <v>13837</v>
      </c>
      <c r="AX31" s="67">
        <f>+IF((_xlfn.XLOOKUP($B31,'Curva S'!$B$2:$B$100,'Curva S'!$O$2:$O$100,0,0,1)*$I31-$J31)&lt;0,0,(_xlfn.XLOOKUP($B31,'Curva S'!$B$2:$B$100,'Curva S'!$O$2:$O$100,0,0,1)*$I31-$J31))</f>
        <v>0</v>
      </c>
      <c r="AY31" s="94"/>
      <c r="AZ31" s="95"/>
      <c r="BA31" s="67">
        <v>0</v>
      </c>
      <c r="BB31" s="94"/>
      <c r="BC31" s="70"/>
      <c r="BD31" s="94"/>
      <c r="BE31" s="95"/>
      <c r="BF31" s="94"/>
      <c r="BG31" s="95"/>
      <c r="BH31" s="67"/>
      <c r="BI31" s="95"/>
      <c r="BK31" s="103" t="str">
        <f t="shared" si="9"/>
        <v/>
      </c>
      <c r="BL31" s="103" t="str">
        <f t="shared" si="10"/>
        <v/>
      </c>
      <c r="BM31" s="103" t="str">
        <f t="shared" si="11"/>
        <v/>
      </c>
    </row>
    <row r="32" spans="1:65" ht="14.25" customHeight="1" x14ac:dyDescent="0.2">
      <c r="A32" s="2" t="str">
        <f>+_xlfn.XLOOKUP(B32,'[1]Proyectos (NO FILTRAR)'!$F:$F,'[1]Proyectos (NO FILTRAR)'!$B:$B,0,0,1)</f>
        <v>CH-COD-UG-FEL01-039-A</v>
      </c>
      <c r="B32" s="5" t="s">
        <v>153</v>
      </c>
      <c r="C32" s="5" t="str">
        <f>+_xlfn.XLOOKUP(A32,'[1]Proyectos (NO FILTRAR)'!$B:$B,'[1]Proyectos (NO FILTRAR)'!$G:$G,"error",0,1)</f>
        <v>Chile</v>
      </c>
      <c r="D32" s="5" t="s">
        <v>27</v>
      </c>
      <c r="E32" s="5" t="s">
        <v>56</v>
      </c>
      <c r="F32" s="5" t="s">
        <v>34</v>
      </c>
      <c r="G32" s="5" t="s">
        <v>34</v>
      </c>
      <c r="H32" s="5" t="s">
        <v>35</v>
      </c>
      <c r="I32" s="6">
        <v>133386</v>
      </c>
      <c r="J32" s="51">
        <f t="shared" si="2"/>
        <v>133386</v>
      </c>
      <c r="K32" s="47">
        <f t="shared" si="3"/>
        <v>1</v>
      </c>
      <c r="L32" s="7">
        <f t="shared" si="4"/>
        <v>0</v>
      </c>
      <c r="M32" s="52">
        <f t="shared" si="5"/>
        <v>0</v>
      </c>
      <c r="N32" s="65"/>
      <c r="O32" s="52">
        <f t="shared" si="6"/>
        <v>0</v>
      </c>
      <c r="P32" s="65">
        <f t="shared" si="7"/>
        <v>133386</v>
      </c>
      <c r="Q32" s="48">
        <v>14688</v>
      </c>
      <c r="R32" s="48">
        <f t="shared" si="8"/>
        <v>118698</v>
      </c>
      <c r="S32" s="8"/>
      <c r="T32" s="9"/>
      <c r="U32" s="8"/>
      <c r="V32" s="8"/>
      <c r="W32" s="9">
        <v>0</v>
      </c>
      <c r="X32" s="8">
        <v>7500</v>
      </c>
      <c r="Y32" s="27">
        <v>14688</v>
      </c>
      <c r="Z32" s="8">
        <v>40593.599999999999</v>
      </c>
      <c r="AA32" s="26">
        <v>45000</v>
      </c>
      <c r="AB32" s="27">
        <v>0</v>
      </c>
      <c r="AC32" s="8">
        <v>63612</v>
      </c>
      <c r="AD32" s="38">
        <v>63612</v>
      </c>
      <c r="AE32" s="71">
        <v>77671</v>
      </c>
      <c r="AF32" s="8">
        <v>42458.64</v>
      </c>
      <c r="AG32" s="26">
        <v>42458.64</v>
      </c>
      <c r="AH32" s="71"/>
      <c r="AI32" s="8">
        <v>40141</v>
      </c>
      <c r="AJ32" s="39">
        <v>37545</v>
      </c>
      <c r="AK32" s="71">
        <v>41027</v>
      </c>
      <c r="AL32" s="8">
        <v>0</v>
      </c>
      <c r="AM32" s="26"/>
      <c r="AN32" s="71"/>
      <c r="AO32" s="55">
        <v>0</v>
      </c>
      <c r="AP32" s="26"/>
      <c r="AQ32" s="71"/>
      <c r="AR32" s="55">
        <v>0</v>
      </c>
      <c r="AS32" s="68"/>
      <c r="AT32" s="71"/>
      <c r="AU32" s="67">
        <v>0</v>
      </c>
      <c r="AV32" s="68"/>
      <c r="AW32" s="71"/>
      <c r="AX32" s="67">
        <f>+IF((_xlfn.XLOOKUP($B32,'Curva S'!$B$2:$B$100,'Curva S'!$O$2:$O$100,0,0,1)*$I32-$J32)&lt;0,0,(_xlfn.XLOOKUP($B32,'Curva S'!$B$2:$B$100,'Curva S'!$O$2:$O$100,0,0,1)*$I32-$J32))</f>
        <v>0</v>
      </c>
      <c r="AY32" s="68"/>
      <c r="AZ32" s="71"/>
      <c r="BA32" s="67">
        <v>0</v>
      </c>
      <c r="BB32" s="68"/>
      <c r="BC32" s="70"/>
      <c r="BD32" s="68"/>
      <c r="BE32" s="71"/>
      <c r="BF32" s="68"/>
      <c r="BG32" s="71"/>
      <c r="BH32" s="67"/>
      <c r="BI32" s="71"/>
      <c r="BK32" s="103" t="str">
        <f t="shared" si="9"/>
        <v/>
      </c>
      <c r="BL32" s="103" t="str">
        <f t="shared" si="10"/>
        <v/>
      </c>
      <c r="BM32" s="103" t="str">
        <f t="shared" si="11"/>
        <v/>
      </c>
    </row>
    <row r="33" spans="1:65" ht="14" customHeight="1" x14ac:dyDescent="0.2">
      <c r="A33" s="2" t="str">
        <f>+_xlfn.XLOOKUP(B33,'[1]Proyectos (NO FILTRAR)'!$F:$F,'[1]Proyectos (NO FILTRAR)'!$B:$B,0,0,1)</f>
        <v>PE-MMA-OP-FEL00-047-A</v>
      </c>
      <c r="B33" s="5" t="s">
        <v>54</v>
      </c>
      <c r="C33" s="5" t="str">
        <f>+_xlfn.XLOOKUP(A33,'[1]Proyectos (NO FILTRAR)'!$B:$B,'[1]Proyectos (NO FILTRAR)'!$G:$G,"error",0,1)</f>
        <v>Perú</v>
      </c>
      <c r="D33" s="5" t="s">
        <v>27</v>
      </c>
      <c r="E33" s="5" t="s">
        <v>56</v>
      </c>
      <c r="F33" s="5" t="s">
        <v>104</v>
      </c>
      <c r="G33" s="14" t="s">
        <v>51</v>
      </c>
      <c r="H33" s="14" t="s">
        <v>38</v>
      </c>
      <c r="I33" s="6">
        <f>+_xlfn.XLOOKUP(B33,'[1]Proyectos (NO FILTRAR)'!$F:$F,'[1]Proyectos (NO FILTRAR)'!$O:$O,"!",0,1)</f>
        <v>115136</v>
      </c>
      <c r="J33" s="51">
        <f t="shared" si="2"/>
        <v>115136</v>
      </c>
      <c r="K33" s="47">
        <f t="shared" si="3"/>
        <v>1</v>
      </c>
      <c r="L33" s="7">
        <f t="shared" si="4"/>
        <v>0</v>
      </c>
      <c r="M33" s="52">
        <f t="shared" si="5"/>
        <v>0</v>
      </c>
      <c r="N33" s="65"/>
      <c r="O33" s="52">
        <f t="shared" si="6"/>
        <v>0</v>
      </c>
      <c r="P33" s="65">
        <f t="shared" si="7"/>
        <v>115136</v>
      </c>
      <c r="Q33" s="48">
        <v>50473</v>
      </c>
      <c r="R33" s="48">
        <f t="shared" si="8"/>
        <v>64663</v>
      </c>
      <c r="S33" s="8"/>
      <c r="T33" s="9"/>
      <c r="U33" s="8"/>
      <c r="V33" s="8"/>
      <c r="W33" s="9">
        <v>0</v>
      </c>
      <c r="X33" s="8">
        <v>9666.6666666666679</v>
      </c>
      <c r="Y33" s="27">
        <v>0</v>
      </c>
      <c r="Z33" s="8">
        <v>23027.200000000001</v>
      </c>
      <c r="AA33" s="26">
        <v>23027.200000000001</v>
      </c>
      <c r="AB33" s="27">
        <v>50473</v>
      </c>
      <c r="AC33" s="8">
        <v>32331.5</v>
      </c>
      <c r="AD33" s="26">
        <v>32331.5</v>
      </c>
      <c r="AE33" s="71">
        <v>11222</v>
      </c>
      <c r="AF33" s="8">
        <v>34736.65</v>
      </c>
      <c r="AG33" s="26">
        <v>33133.42</v>
      </c>
      <c r="AH33" s="71">
        <v>7526</v>
      </c>
      <c r="AI33" s="8">
        <v>30947.319999999992</v>
      </c>
      <c r="AJ33" s="26">
        <v>30481</v>
      </c>
      <c r="AK33" s="71">
        <v>15246</v>
      </c>
      <c r="AL33" s="8">
        <v>13398.599999999991</v>
      </c>
      <c r="AM33" s="26">
        <v>22893</v>
      </c>
      <c r="AN33" s="71">
        <v>30669</v>
      </c>
      <c r="AO33" s="55">
        <v>0</v>
      </c>
      <c r="AP33" s="26"/>
      <c r="AQ33" s="71"/>
      <c r="AR33" s="55">
        <v>0</v>
      </c>
      <c r="AS33" s="68"/>
      <c r="AT33" s="71"/>
      <c r="AU33" s="67">
        <v>0</v>
      </c>
      <c r="AV33" s="68"/>
      <c r="AW33" s="71"/>
      <c r="AX33" s="67">
        <f>+IF((_xlfn.XLOOKUP($B33,'Curva S'!$B$2:$B$100,'Curva S'!$O$2:$O$100,0,0,1)*$I33-$J33)&lt;0,0,(_xlfn.XLOOKUP($B33,'Curva S'!$B$2:$B$100,'Curva S'!$O$2:$O$100,0,0,1)*$I33-$J33))</f>
        <v>0</v>
      </c>
      <c r="AY33" s="68"/>
      <c r="AZ33" s="71"/>
      <c r="BA33" s="67">
        <v>0</v>
      </c>
      <c r="BB33" s="68"/>
      <c r="BC33" s="70"/>
      <c r="BD33" s="68"/>
      <c r="BE33" s="71"/>
      <c r="BF33" s="68"/>
      <c r="BG33" s="71"/>
      <c r="BH33" s="67"/>
      <c r="BI33" s="71"/>
      <c r="BK33" s="103" t="str">
        <f t="shared" si="9"/>
        <v/>
      </c>
      <c r="BL33" s="103" t="str">
        <f t="shared" si="10"/>
        <v/>
      </c>
      <c r="BM33" s="103" t="str">
        <f t="shared" si="11"/>
        <v/>
      </c>
    </row>
    <row r="34" spans="1:65" ht="14.25" customHeight="1" x14ac:dyDescent="0.2">
      <c r="A34" s="2" t="str">
        <f>+_xlfn.XLOOKUP(B34,'[1]Proyectos (NO FILTRAR)'!$F:$F,'[1]Proyectos (NO FILTRAR)'!$B:$B,0,0,1)</f>
        <v>CH-CMP-OP-OTR00-083-A</v>
      </c>
      <c r="B34" s="98" t="s">
        <v>194</v>
      </c>
      <c r="C34" s="5" t="str">
        <f>+_xlfn.XLOOKUP(A34,'[1]Proyectos (NO FILTRAR)'!$B:$B,'[1]Proyectos (NO FILTRAR)'!$G:$G,"error",0,1)</f>
        <v>Chile</v>
      </c>
      <c r="D34" s="5" t="s">
        <v>27</v>
      </c>
      <c r="E34" s="5" t="s">
        <v>56</v>
      </c>
      <c r="F34" s="5" t="s">
        <v>104</v>
      </c>
      <c r="G34" s="14"/>
      <c r="H34" s="14" t="s">
        <v>39</v>
      </c>
      <c r="I34" s="6">
        <f>+_xlfn.XLOOKUP(B34,'[1]Proyectos (NO FILTRAR)'!$F:$F,'[1]Proyectos (NO FILTRAR)'!$O:$O,"!",0,1)</f>
        <v>36205</v>
      </c>
      <c r="J34" s="51">
        <f t="shared" si="2"/>
        <v>34041</v>
      </c>
      <c r="K34" s="47">
        <f t="shared" si="3"/>
        <v>0.94022925010357683</v>
      </c>
      <c r="L34" s="98">
        <f>+I34-J34</f>
        <v>2164</v>
      </c>
      <c r="M34" s="52">
        <f t="shared" si="5"/>
        <v>5.9770749896423149E-2</v>
      </c>
      <c r="N34" s="65"/>
      <c r="O34" s="52">
        <f t="shared" si="6"/>
        <v>0</v>
      </c>
      <c r="P34" s="65">
        <f t="shared" si="7"/>
        <v>36205</v>
      </c>
      <c r="Q34" s="48">
        <v>0</v>
      </c>
      <c r="R34" s="48">
        <f t="shared" si="8"/>
        <v>36205</v>
      </c>
      <c r="S34" s="8"/>
      <c r="T34" s="9"/>
      <c r="U34" s="8"/>
      <c r="V34" s="8"/>
      <c r="W34" s="9"/>
      <c r="X34" s="8"/>
      <c r="Y34" s="27"/>
      <c r="Z34" s="8"/>
      <c r="AA34" s="26"/>
      <c r="AB34" s="27"/>
      <c r="AC34" s="8"/>
      <c r="AD34" s="26"/>
      <c r="AE34" s="71"/>
      <c r="AF34" s="8"/>
      <c r="AG34" s="26"/>
      <c r="AH34" s="71"/>
      <c r="AI34" s="8"/>
      <c r="AJ34" s="26"/>
      <c r="AK34" s="71"/>
      <c r="AL34" s="8"/>
      <c r="AM34" s="26"/>
      <c r="AN34" s="71"/>
      <c r="AO34" s="55">
        <v>0</v>
      </c>
      <c r="AP34" s="26"/>
      <c r="AQ34" s="71"/>
      <c r="AR34" s="55">
        <v>0</v>
      </c>
      <c r="AS34" s="68">
        <v>0</v>
      </c>
      <c r="AT34" s="71"/>
      <c r="AU34" s="67">
        <v>0</v>
      </c>
      <c r="AV34" s="68">
        <v>36850</v>
      </c>
      <c r="AW34" s="71">
        <v>34041</v>
      </c>
      <c r="AX34" s="67">
        <f>+IF((_xlfn.XLOOKUP($B34,'Curva S'!$B$2:$B$100,'Curva S'!$O$2:$O$100,0,0,1)*$I34-$J34)&lt;0,0,(_xlfn.XLOOKUP($B34,'Curva S'!$B$2:$B$100,'Curva S'!$O$2:$O$100,0,0,1)*$I34-$J34))</f>
        <v>0</v>
      </c>
      <c r="AY34" s="68"/>
      <c r="AZ34" s="71"/>
      <c r="BA34" s="67">
        <v>0</v>
      </c>
      <c r="BB34" s="68"/>
      <c r="BC34" s="70"/>
      <c r="BD34" s="68"/>
      <c r="BE34" s="71"/>
      <c r="BF34" s="68"/>
      <c r="BG34" s="71"/>
      <c r="BH34" s="68"/>
      <c r="BI34" s="71"/>
      <c r="BK34" s="103" t="str">
        <f t="shared" si="9"/>
        <v/>
      </c>
      <c r="BL34" s="103" t="str">
        <f t="shared" si="10"/>
        <v/>
      </c>
      <c r="BM34" s="103" t="str">
        <f t="shared" si="11"/>
        <v/>
      </c>
    </row>
    <row r="35" spans="1:65" ht="14.25" customHeight="1" x14ac:dyDescent="0.2">
      <c r="A35" s="2" t="str">
        <f>+_xlfn.XLOOKUP(B35,'[1]Proyectos (NO FILTRAR)'!$F:$F,'[1]Proyectos (NO FILTRAR)'!$B:$B,0,0,1)</f>
        <v>CH-CMP-CS-FEL00-038-A</v>
      </c>
      <c r="B35" s="5" t="s">
        <v>55</v>
      </c>
      <c r="C35" s="5" t="str">
        <f>+_xlfn.XLOOKUP(A35,'[1]Proyectos (NO FILTRAR)'!$B:$B,'[1]Proyectos (NO FILTRAR)'!$G:$G,"error",0,1)</f>
        <v>Chile</v>
      </c>
      <c r="D35" s="5" t="s">
        <v>27</v>
      </c>
      <c r="E35" s="5" t="s">
        <v>56</v>
      </c>
      <c r="F35" s="5" t="s">
        <v>33</v>
      </c>
      <c r="G35" s="14" t="s">
        <v>32</v>
      </c>
      <c r="H35" s="14" t="s">
        <v>31</v>
      </c>
      <c r="I35" s="6">
        <v>92830.61</v>
      </c>
      <c r="J35" s="51">
        <f t="shared" ref="J35:J66" si="12">+Q35+AE35+AH35+AK35+AN35+AQ35+AT35+AW35+AZ35+BC35+BE35+BG35+BI35</f>
        <v>92830.61</v>
      </c>
      <c r="K35" s="47">
        <f t="shared" ref="K35:K66" si="13">+IFERROR(J35/I35,0)</f>
        <v>1</v>
      </c>
      <c r="L35" s="7">
        <f t="shared" ref="L35:L66" si="14">+I35-J35</f>
        <v>0</v>
      </c>
      <c r="M35" s="52">
        <f t="shared" ref="M35:M66" si="15">+IFERROR(L35/I35,0)</f>
        <v>0</v>
      </c>
      <c r="N35" s="65"/>
      <c r="O35" s="52">
        <f t="shared" ref="O35:O66" si="16">IFERROR(N35/I35,0)</f>
        <v>0</v>
      </c>
      <c r="P35" s="65">
        <f t="shared" ref="P35:P66" si="17">+I35-N35</f>
        <v>92830.61</v>
      </c>
      <c r="Q35" s="48">
        <v>33661</v>
      </c>
      <c r="R35" s="48">
        <f t="shared" ref="R35:R66" si="18">+I35-Q35</f>
        <v>59169.61</v>
      </c>
      <c r="S35" s="8"/>
      <c r="T35" s="9"/>
      <c r="U35" s="8"/>
      <c r="V35" s="8"/>
      <c r="W35" s="9">
        <v>0</v>
      </c>
      <c r="X35" s="8">
        <v>10000</v>
      </c>
      <c r="Y35" s="27">
        <v>0</v>
      </c>
      <c r="Z35" s="8">
        <v>50000</v>
      </c>
      <c r="AA35" s="26">
        <v>0</v>
      </c>
      <c r="AB35" s="27">
        <v>33661</v>
      </c>
      <c r="AC35" s="8">
        <v>93025.77</v>
      </c>
      <c r="AD35" s="26">
        <v>93025.77</v>
      </c>
      <c r="AE35" s="71">
        <v>16145.61</v>
      </c>
      <c r="AF35" s="8">
        <v>42562.92</v>
      </c>
      <c r="AG35" s="26">
        <v>42562.92</v>
      </c>
      <c r="AH35" s="71">
        <v>25645</v>
      </c>
      <c r="AI35" s="8">
        <v>16917.919999999998</v>
      </c>
      <c r="AJ35" s="26">
        <v>12000</v>
      </c>
      <c r="AK35" s="71">
        <v>4969</v>
      </c>
      <c r="AL35" s="8">
        <v>11948.919999999998</v>
      </c>
      <c r="AM35" s="26">
        <v>8629.34</v>
      </c>
      <c r="AN35" s="71">
        <v>9436</v>
      </c>
      <c r="AO35" s="55">
        <v>2512.9199999999983</v>
      </c>
      <c r="AP35" s="26"/>
      <c r="AQ35" s="71">
        <v>2974</v>
      </c>
      <c r="AR35" s="55">
        <v>0</v>
      </c>
      <c r="AS35" s="68"/>
      <c r="AT35" s="71"/>
      <c r="AU35" s="67">
        <v>0</v>
      </c>
      <c r="AV35" s="68"/>
      <c r="AW35" s="71"/>
      <c r="AX35" s="67">
        <f>+IF((_xlfn.XLOOKUP($B35,'Curva S'!$B$2:$B$100,'Curva S'!$O$2:$O$100,0,0,1)*$I35-$J35)&lt;0,0,(_xlfn.XLOOKUP($B35,'Curva S'!$B$2:$B$100,'Curva S'!$O$2:$O$100,0,0,1)*$I35-$J35))</f>
        <v>0</v>
      </c>
      <c r="AY35" s="68"/>
      <c r="AZ35" s="71"/>
      <c r="BA35" s="67">
        <v>0</v>
      </c>
      <c r="BB35" s="68"/>
      <c r="BC35" s="70"/>
      <c r="BD35" s="68"/>
      <c r="BE35" s="71"/>
      <c r="BF35" s="68"/>
      <c r="BG35" s="71"/>
      <c r="BH35" s="67"/>
      <c r="BI35" s="71"/>
      <c r="BK35" s="103" t="str">
        <f t="shared" si="9"/>
        <v/>
      </c>
      <c r="BL35" s="103" t="str">
        <f t="shared" si="10"/>
        <v/>
      </c>
      <c r="BM35" s="103" t="str">
        <f t="shared" si="11"/>
        <v/>
      </c>
    </row>
    <row r="36" spans="1:65" ht="14" customHeight="1" x14ac:dyDescent="0.2">
      <c r="A36" s="2" t="str">
        <f>+_xlfn.XLOOKUP(B36,'[1]Proyectos (NO FILTRAR)'!$F:$F,'[1]Proyectos (NO FILTRAR)'!$B:$B,0,0,1)</f>
        <v>PE-MMG-OU-FEL00-022-A</v>
      </c>
      <c r="B36" s="5" t="s">
        <v>57</v>
      </c>
      <c r="C36" s="37" t="str">
        <f>+_xlfn.XLOOKUP(A36,'[1]Proyectos (NO FILTRAR)'!$B:$B,'[1]Proyectos (NO FILTRAR)'!$G:$G,"error",0,1)</f>
        <v>Perú</v>
      </c>
      <c r="D36" s="5" t="s">
        <v>27</v>
      </c>
      <c r="E36" s="5" t="s">
        <v>56</v>
      </c>
      <c r="F36" s="5" t="s">
        <v>28</v>
      </c>
      <c r="G36" s="14" t="s">
        <v>30</v>
      </c>
      <c r="H36" s="14" t="s">
        <v>50</v>
      </c>
      <c r="I36" s="6">
        <v>229951.9952</v>
      </c>
      <c r="J36" s="51">
        <f t="shared" si="12"/>
        <v>229951.9952</v>
      </c>
      <c r="K36" s="47">
        <f t="shared" si="13"/>
        <v>1</v>
      </c>
      <c r="L36" s="7">
        <f t="shared" si="14"/>
        <v>0</v>
      </c>
      <c r="M36" s="52">
        <f t="shared" si="15"/>
        <v>0</v>
      </c>
      <c r="N36" s="65"/>
      <c r="O36" s="52">
        <f t="shared" si="16"/>
        <v>0</v>
      </c>
      <c r="P36" s="65">
        <f t="shared" si="17"/>
        <v>229951.9952</v>
      </c>
      <c r="Q36" s="48">
        <v>40393.995200000005</v>
      </c>
      <c r="R36" s="48">
        <f t="shared" si="18"/>
        <v>189558</v>
      </c>
      <c r="S36" s="8"/>
      <c r="T36" s="9"/>
      <c r="U36" s="8"/>
      <c r="V36" s="8"/>
      <c r="W36" s="9">
        <v>0</v>
      </c>
      <c r="X36" s="8">
        <v>5300</v>
      </c>
      <c r="Y36" s="27">
        <v>28416.995200000001</v>
      </c>
      <c r="Z36" s="8">
        <v>32895.751199999999</v>
      </c>
      <c r="AA36" s="26">
        <v>30053</v>
      </c>
      <c r="AB36" s="27">
        <v>11977</v>
      </c>
      <c r="AC36" s="8">
        <v>62697.502399999998</v>
      </c>
      <c r="AD36" s="26">
        <v>45000</v>
      </c>
      <c r="AE36" s="71">
        <v>31780</v>
      </c>
      <c r="AF36" s="8">
        <v>58977.453023999995</v>
      </c>
      <c r="AG36" s="26">
        <v>40000</v>
      </c>
      <c r="AH36" s="71">
        <v>23974</v>
      </c>
      <c r="AI36" s="8">
        <v>34825.314800000007</v>
      </c>
      <c r="AJ36" s="38">
        <v>35000</v>
      </c>
      <c r="AK36" s="71"/>
      <c r="AL36" s="8">
        <v>13986.084799999997</v>
      </c>
      <c r="AM36" s="26">
        <v>13986</v>
      </c>
      <c r="AN36" s="71">
        <v>15573</v>
      </c>
      <c r="AO36" s="55">
        <v>55519.64479999998</v>
      </c>
      <c r="AP36" s="26"/>
      <c r="AQ36" s="71">
        <v>56860</v>
      </c>
      <c r="AR36" s="55">
        <v>17015.324800000002</v>
      </c>
      <c r="AS36" s="68">
        <v>37470</v>
      </c>
      <c r="AT36" s="71">
        <f>19506-4087</f>
        <v>15419</v>
      </c>
      <c r="AU36" s="67">
        <v>45951.004799999995</v>
      </c>
      <c r="AV36" s="68"/>
      <c r="AW36" s="71">
        <v>45952</v>
      </c>
      <c r="AX36" s="67">
        <f>+IF((_xlfn.XLOOKUP($B36,'Curva S'!$B$2:$B$100,'Curva S'!$O$2:$O$100,0,0,1)*$I36-$J36)&lt;0,0,(_xlfn.XLOOKUP($B36,'Curva S'!$B$2:$B$100,'Curva S'!$O$2:$O$100,0,0,1)*$I36-$J36))</f>
        <v>0</v>
      </c>
      <c r="AY36" s="68"/>
      <c r="AZ36" s="71"/>
      <c r="BA36" s="67">
        <v>0</v>
      </c>
      <c r="BB36" s="68"/>
      <c r="BC36" s="70"/>
      <c r="BD36" s="68"/>
      <c r="BE36" s="71"/>
      <c r="BF36" s="68"/>
      <c r="BG36" s="71"/>
      <c r="BH36" s="67"/>
      <c r="BI36" s="71"/>
      <c r="BK36" s="103" t="str">
        <f t="shared" si="9"/>
        <v/>
      </c>
      <c r="BL36" s="103" t="str">
        <f t="shared" si="10"/>
        <v/>
      </c>
      <c r="BM36" s="103" t="str">
        <f t="shared" si="11"/>
        <v/>
      </c>
    </row>
    <row r="37" spans="1:65" ht="14.25" customHeight="1" x14ac:dyDescent="0.2">
      <c r="A37" s="2" t="str">
        <f>+_xlfn.XLOOKUP(B37,'[1]Proyectos (NO FILTRAR)'!$F:$F,'[1]Proyectos (NO FILTRAR)'!$B:$B,0,0,1)</f>
        <v>CH-CMP-OU-FEL2A-041-A</v>
      </c>
      <c r="B37" s="5" t="s">
        <v>58</v>
      </c>
      <c r="C37" s="5" t="str">
        <f>+_xlfn.XLOOKUP(A37,'[1]Proyectos (NO FILTRAR)'!$B:$B,'[1]Proyectos (NO FILTRAR)'!$G:$G,"error",0,1)</f>
        <v>Chile</v>
      </c>
      <c r="D37" s="5" t="s">
        <v>27</v>
      </c>
      <c r="E37" s="5" t="s">
        <v>56</v>
      </c>
      <c r="F37" s="5" t="s">
        <v>33</v>
      </c>
      <c r="G37" s="14" t="s">
        <v>30</v>
      </c>
      <c r="H37" s="14" t="s">
        <v>31</v>
      </c>
      <c r="I37" s="6">
        <v>370323.60000000003</v>
      </c>
      <c r="J37" s="51">
        <f t="shared" si="12"/>
        <v>370323.60000000003</v>
      </c>
      <c r="K37" s="47">
        <f t="shared" si="13"/>
        <v>1</v>
      </c>
      <c r="L37" s="7">
        <f t="shared" si="14"/>
        <v>0</v>
      </c>
      <c r="M37" s="52">
        <f t="shared" si="15"/>
        <v>0</v>
      </c>
      <c r="N37" s="65"/>
      <c r="O37" s="52">
        <f t="shared" si="16"/>
        <v>0</v>
      </c>
      <c r="P37" s="65">
        <f t="shared" si="17"/>
        <v>370323.60000000003</v>
      </c>
      <c r="Q37" s="48">
        <v>0</v>
      </c>
      <c r="R37" s="48">
        <f t="shared" si="18"/>
        <v>370323.60000000003</v>
      </c>
      <c r="S37" s="8"/>
      <c r="T37" s="9"/>
      <c r="U37" s="8"/>
      <c r="V37" s="8"/>
      <c r="W37" s="9">
        <v>0</v>
      </c>
      <c r="X37" s="8">
        <v>0</v>
      </c>
      <c r="Y37" s="27">
        <v>0</v>
      </c>
      <c r="Z37" s="8">
        <v>0</v>
      </c>
      <c r="AA37" s="26">
        <v>0</v>
      </c>
      <c r="AB37" s="27">
        <v>0</v>
      </c>
      <c r="AC37" s="8">
        <v>29619.600000000002</v>
      </c>
      <c r="AD37" s="26">
        <v>29619.600000000002</v>
      </c>
      <c r="AE37" s="71">
        <v>61460.7</v>
      </c>
      <c r="AF37" s="8">
        <v>95723.133000000002</v>
      </c>
      <c r="AG37" s="26">
        <v>80000</v>
      </c>
      <c r="AH37" s="71">
        <v>61831</v>
      </c>
      <c r="AI37" s="8">
        <v>72938.150000000009</v>
      </c>
      <c r="AJ37" s="26">
        <v>80000</v>
      </c>
      <c r="AK37" s="71">
        <v>61641</v>
      </c>
      <c r="AL37" s="8">
        <v>63311.450000000012</v>
      </c>
      <c r="AM37" s="26">
        <v>6872</v>
      </c>
      <c r="AN37" s="71">
        <v>61831</v>
      </c>
      <c r="AO37" s="55">
        <v>61831</v>
      </c>
      <c r="AP37" s="26"/>
      <c r="AQ37" s="71">
        <v>34925.9</v>
      </c>
      <c r="AR37" s="55">
        <v>51530.899999999965</v>
      </c>
      <c r="AS37" s="68">
        <v>0</v>
      </c>
      <c r="AT37" s="71"/>
      <c r="AU37" s="67">
        <v>88555.399999999965</v>
      </c>
      <c r="AV37" s="68"/>
      <c r="AW37" s="71"/>
      <c r="AX37" s="67">
        <f>+IF((_xlfn.XLOOKUP($B37,'Curva S'!$B$2:$B$100,'Curva S'!$O$2:$O$100,0,0,1)*$I37-$J37)&lt;0,0,(_xlfn.XLOOKUP($B37,'Curva S'!$B$2:$B$100,'Curva S'!$O$2:$O$100,0,0,1)*$I37-$J37))</f>
        <v>0</v>
      </c>
      <c r="AY37" s="68"/>
      <c r="AZ37" s="71">
        <v>60227</v>
      </c>
      <c r="BA37" s="67">
        <v>0</v>
      </c>
      <c r="BB37" s="68"/>
      <c r="BC37" s="70">
        <v>28407</v>
      </c>
      <c r="BD37" s="68"/>
      <c r="BE37" s="71"/>
      <c r="BF37" s="68"/>
      <c r="BG37" s="71"/>
      <c r="BH37" s="67"/>
      <c r="BI37" s="71"/>
      <c r="BK37" s="103" t="str">
        <f t="shared" si="9"/>
        <v/>
      </c>
      <c r="BL37" s="103" t="str">
        <f t="shared" si="10"/>
        <v/>
      </c>
      <c r="BM37" s="103" t="str">
        <f t="shared" si="11"/>
        <v/>
      </c>
    </row>
    <row r="38" spans="1:65" ht="14.25" customHeight="1" x14ac:dyDescent="0.2">
      <c r="A38" s="2" t="str">
        <f>+_xlfn.XLOOKUP(B38,'[1]Proyectos (NO FILTRAR)'!$F:$F,'[1]Proyectos (NO FILTRAR)'!$B:$B,0,0,1)</f>
        <v>CH-COD-UG-FEL00-037-A</v>
      </c>
      <c r="B38" s="5" t="s">
        <v>59</v>
      </c>
      <c r="C38" s="5" t="str">
        <f>+_xlfn.XLOOKUP(A38,'[1]Proyectos (NO FILTRAR)'!$B:$B,'[1]Proyectos (NO FILTRAR)'!$G:$G,"error",0,1)</f>
        <v>Chile</v>
      </c>
      <c r="D38" s="5" t="s">
        <v>27</v>
      </c>
      <c r="E38" s="5" t="s">
        <v>53</v>
      </c>
      <c r="F38" s="5" t="s">
        <v>34</v>
      </c>
      <c r="G38" s="14" t="s">
        <v>34</v>
      </c>
      <c r="H38" s="14" t="s">
        <v>35</v>
      </c>
      <c r="I38" s="6">
        <f>+_xlfn.XLOOKUP(B38,'[1]Proyectos (NO FILTRAR)'!$F:$F,'[1]Proyectos (NO FILTRAR)'!$O:$O,"!",0,1)</f>
        <v>82787</v>
      </c>
      <c r="J38" s="51">
        <f t="shared" si="12"/>
        <v>82787</v>
      </c>
      <c r="K38" s="47">
        <f t="shared" si="13"/>
        <v>1</v>
      </c>
      <c r="L38" s="7">
        <f t="shared" si="14"/>
        <v>0</v>
      </c>
      <c r="M38" s="52">
        <f t="shared" si="15"/>
        <v>0</v>
      </c>
      <c r="N38" s="65"/>
      <c r="O38" s="52">
        <f t="shared" si="16"/>
        <v>0</v>
      </c>
      <c r="P38" s="65">
        <f t="shared" si="17"/>
        <v>82787</v>
      </c>
      <c r="Q38" s="48">
        <v>79847</v>
      </c>
      <c r="R38" s="48">
        <f t="shared" si="18"/>
        <v>2940</v>
      </c>
      <c r="S38" s="8"/>
      <c r="T38" s="9"/>
      <c r="U38" s="8"/>
      <c r="V38" s="8"/>
      <c r="W38" s="9">
        <v>0</v>
      </c>
      <c r="X38" s="8">
        <v>5000</v>
      </c>
      <c r="Y38" s="27">
        <v>41755</v>
      </c>
      <c r="Z38" s="8">
        <v>18097.5</v>
      </c>
      <c r="AA38" s="26">
        <v>37700</v>
      </c>
      <c r="AB38" s="27">
        <v>38092</v>
      </c>
      <c r="AC38" s="8">
        <v>2940</v>
      </c>
      <c r="AD38" s="26">
        <v>2940</v>
      </c>
      <c r="AE38" s="71">
        <v>2940</v>
      </c>
      <c r="AF38" s="8">
        <v>0</v>
      </c>
      <c r="AG38" s="26">
        <v>0</v>
      </c>
      <c r="AH38" s="71"/>
      <c r="AI38" s="8">
        <v>0</v>
      </c>
      <c r="AJ38" s="26"/>
      <c r="AK38" s="71"/>
      <c r="AL38" s="8">
        <v>0</v>
      </c>
      <c r="AM38" s="26"/>
      <c r="AN38" s="71"/>
      <c r="AO38" s="55">
        <v>0</v>
      </c>
      <c r="AP38" s="26"/>
      <c r="AQ38" s="71"/>
      <c r="AR38" s="55">
        <v>0</v>
      </c>
      <c r="AS38" s="68"/>
      <c r="AT38" s="71"/>
      <c r="AU38" s="67">
        <v>0</v>
      </c>
      <c r="AV38" s="68"/>
      <c r="AW38" s="71"/>
      <c r="AX38" s="67">
        <f>+IF((_xlfn.XLOOKUP($B38,'Curva S'!$B$2:$B$100,'Curva S'!$O$2:$O$100,0,0,1)*$I38-$J38)&lt;0,0,(_xlfn.XLOOKUP($B38,'Curva S'!$B$2:$B$100,'Curva S'!$O$2:$O$100,0,0,1)*$I38-$J38))</f>
        <v>0</v>
      </c>
      <c r="AY38" s="68"/>
      <c r="AZ38" s="71"/>
      <c r="BA38" s="67">
        <v>0</v>
      </c>
      <c r="BB38" s="68"/>
      <c r="BC38" s="70"/>
      <c r="BD38" s="68"/>
      <c r="BE38" s="71"/>
      <c r="BF38" s="68"/>
      <c r="BG38" s="71"/>
      <c r="BH38" s="67"/>
      <c r="BI38" s="71"/>
      <c r="BK38" s="103" t="str">
        <f t="shared" si="9"/>
        <v/>
      </c>
      <c r="BL38" s="103" t="str">
        <f t="shared" si="10"/>
        <v/>
      </c>
      <c r="BM38" s="103" t="str">
        <f t="shared" si="11"/>
        <v/>
      </c>
    </row>
    <row r="39" spans="1:65" ht="14.25" customHeight="1" x14ac:dyDescent="0.2">
      <c r="A39" s="2" t="str">
        <f>+_xlfn.XLOOKUP(B39,'[1]Proyectos (NO FILTRAR)'!$F:$F,'[1]Proyectos (NO FILTRAR)'!$B:$B,0,0,1)</f>
        <v>OT-IEL-UG-FEL2A-060-A</v>
      </c>
      <c r="B39" s="5" t="s">
        <v>60</v>
      </c>
      <c r="C39" s="5" t="str">
        <f>+_xlfn.XLOOKUP(A39,'[1]Proyectos (NO FILTRAR)'!$B:$B,'[1]Proyectos (NO FILTRAR)'!$G:$G,"error",0,1)</f>
        <v>Otros</v>
      </c>
      <c r="D39" s="5" t="s">
        <v>27</v>
      </c>
      <c r="E39" s="5" t="s">
        <v>56</v>
      </c>
      <c r="F39" s="5" t="s">
        <v>28</v>
      </c>
      <c r="G39" s="14" t="s">
        <v>49</v>
      </c>
      <c r="H39" s="14" t="s">
        <v>41</v>
      </c>
      <c r="I39" s="6">
        <v>565759</v>
      </c>
      <c r="J39" s="51">
        <f t="shared" si="12"/>
        <v>565759</v>
      </c>
      <c r="K39" s="47">
        <f t="shared" si="13"/>
        <v>1</v>
      </c>
      <c r="L39" s="7">
        <f t="shared" si="14"/>
        <v>0</v>
      </c>
      <c r="M39" s="52">
        <f t="shared" si="15"/>
        <v>0</v>
      </c>
      <c r="N39" s="65"/>
      <c r="O39" s="52">
        <f t="shared" si="16"/>
        <v>0</v>
      </c>
      <c r="P39" s="65">
        <f t="shared" si="17"/>
        <v>565759</v>
      </c>
      <c r="Q39" s="97">
        <v>119468</v>
      </c>
      <c r="R39" s="48">
        <f t="shared" si="18"/>
        <v>446291</v>
      </c>
      <c r="S39" s="8"/>
      <c r="T39" s="9"/>
      <c r="U39" s="8"/>
      <c r="V39" s="8"/>
      <c r="W39" s="9">
        <v>0</v>
      </c>
      <c r="X39" s="8">
        <v>26000</v>
      </c>
      <c r="Y39" s="27">
        <v>47539</v>
      </c>
      <c r="Z39" s="8">
        <v>35720</v>
      </c>
      <c r="AA39" s="26">
        <v>35720</v>
      </c>
      <c r="AB39" s="27">
        <v>60309</v>
      </c>
      <c r="AC39" s="8">
        <v>145711.08000000002</v>
      </c>
      <c r="AD39" s="26">
        <v>96554</v>
      </c>
      <c r="AE39" s="71">
        <v>96319</v>
      </c>
      <c r="AF39" s="8">
        <v>202668.22999999998</v>
      </c>
      <c r="AG39" s="26">
        <v>118000</v>
      </c>
      <c r="AH39" s="71">
        <v>94543</v>
      </c>
      <c r="AI39" s="8">
        <v>167966.7</v>
      </c>
      <c r="AJ39" s="26">
        <v>118010</v>
      </c>
      <c r="AK39" s="71">
        <v>118166</v>
      </c>
      <c r="AL39" s="8">
        <v>78598.300000000047</v>
      </c>
      <c r="AM39" s="26">
        <v>101918</v>
      </c>
      <c r="AN39" s="71">
        <v>82732</v>
      </c>
      <c r="AO39" s="55">
        <v>36802</v>
      </c>
      <c r="AP39" s="26"/>
      <c r="AQ39" s="71">
        <v>44291</v>
      </c>
      <c r="AR39" s="55">
        <v>0</v>
      </c>
      <c r="AS39" s="68">
        <f>I39-526170</f>
        <v>39589</v>
      </c>
      <c r="AT39" s="71">
        <v>10240</v>
      </c>
      <c r="AU39" s="67">
        <v>0</v>
      </c>
      <c r="AV39" s="68"/>
      <c r="AW39" s="71"/>
      <c r="AX39" s="67">
        <f>+IF((_xlfn.XLOOKUP($B39,'Curva S'!$B$2:$B$100,'Curva S'!$O$2:$O$100,0,0,1)*$I39-$J39)&lt;0,0,(_xlfn.XLOOKUP($B39,'Curva S'!$B$2:$B$100,'Curva S'!$O$2:$O$100,0,0,1)*$I39-$J39))</f>
        <v>0</v>
      </c>
      <c r="AY39" s="68"/>
      <c r="AZ39" s="71"/>
      <c r="BA39" s="67">
        <v>0</v>
      </c>
      <c r="BB39" s="68"/>
      <c r="BC39" s="70"/>
      <c r="BD39" s="68"/>
      <c r="BE39" s="71"/>
      <c r="BF39" s="68"/>
      <c r="BG39" s="71"/>
      <c r="BH39" s="67"/>
      <c r="BI39" s="71"/>
      <c r="BK39" s="103" t="str">
        <f t="shared" si="9"/>
        <v/>
      </c>
      <c r="BL39" s="103" t="str">
        <f t="shared" si="10"/>
        <v/>
      </c>
      <c r="BM39" s="103" t="str">
        <f t="shared" si="11"/>
        <v/>
      </c>
    </row>
    <row r="40" spans="1:65" ht="14.25" customHeight="1" x14ac:dyDescent="0.2">
      <c r="A40" s="2" t="str">
        <f>+_xlfn.XLOOKUP(B40,'[1]Proyectos (NO FILTRAR)'!$F:$F,'[1]Proyectos (NO FILTRAR)'!$B:$B,0,0,1)</f>
        <v>CH-BSC-UG-OTR00-073-A</v>
      </c>
      <c r="B40" s="5" t="s">
        <v>100</v>
      </c>
      <c r="C40" s="5" t="str">
        <f>+_xlfn.XLOOKUP(A40,'[1]Proyectos (NO FILTRAR)'!$B:$B,'[1]Proyectos (NO FILTRAR)'!$G:$G,"error",0,1)</f>
        <v>Chile</v>
      </c>
      <c r="D40" s="5" t="s">
        <v>27</v>
      </c>
      <c r="E40" s="5" t="s">
        <v>56</v>
      </c>
      <c r="F40" s="5" t="s">
        <v>162</v>
      </c>
      <c r="G40" s="14"/>
      <c r="H40" s="14" t="s">
        <v>39</v>
      </c>
      <c r="I40" s="6">
        <v>54706</v>
      </c>
      <c r="J40" s="51">
        <f t="shared" si="12"/>
        <v>54706</v>
      </c>
      <c r="K40" s="47">
        <f t="shared" si="13"/>
        <v>1</v>
      </c>
      <c r="L40" s="7">
        <f t="shared" si="14"/>
        <v>0</v>
      </c>
      <c r="M40" s="52">
        <f t="shared" si="15"/>
        <v>0</v>
      </c>
      <c r="N40" s="65"/>
      <c r="O40" s="52">
        <f t="shared" si="16"/>
        <v>0</v>
      </c>
      <c r="P40" s="65">
        <f t="shared" si="17"/>
        <v>54706</v>
      </c>
      <c r="Q40" s="48">
        <v>0</v>
      </c>
      <c r="R40" s="48">
        <f t="shared" si="18"/>
        <v>54706</v>
      </c>
      <c r="S40" s="8"/>
      <c r="T40" s="9"/>
      <c r="U40" s="8"/>
      <c r="V40" s="8"/>
      <c r="W40" s="9"/>
      <c r="X40" s="8"/>
      <c r="Y40" s="27"/>
      <c r="Z40" s="8"/>
      <c r="AA40" s="26"/>
      <c r="AB40" s="27"/>
      <c r="AC40" s="8"/>
      <c r="AD40" s="26"/>
      <c r="AE40" s="71"/>
      <c r="AF40" s="8"/>
      <c r="AG40" s="26"/>
      <c r="AH40" s="71"/>
      <c r="AI40" s="8">
        <v>65109</v>
      </c>
      <c r="AJ40" s="26">
        <v>50000</v>
      </c>
      <c r="AK40" s="71">
        <v>54706</v>
      </c>
      <c r="AL40" s="8">
        <v>0</v>
      </c>
      <c r="AM40" s="26"/>
      <c r="AN40" s="71"/>
      <c r="AO40" s="55">
        <v>0</v>
      </c>
      <c r="AP40" s="26"/>
      <c r="AQ40" s="71"/>
      <c r="AR40" s="55">
        <v>0</v>
      </c>
      <c r="AS40" s="68"/>
      <c r="AT40" s="71"/>
      <c r="AU40" s="67">
        <v>0</v>
      </c>
      <c r="AV40" s="68"/>
      <c r="AW40" s="71"/>
      <c r="AX40" s="67">
        <f>+IF((_xlfn.XLOOKUP($B40,'Curva S'!$B$2:$B$100,'Curva S'!$O$2:$O$100,0,0,1)*$I40-$J40)&lt;0,0,(_xlfn.XLOOKUP($B40,'Curva S'!$B$2:$B$100,'Curva S'!$O$2:$O$100,0,0,1)*$I40-$J40))</f>
        <v>0</v>
      </c>
      <c r="AY40" s="68"/>
      <c r="AZ40" s="71"/>
      <c r="BA40" s="67">
        <v>0</v>
      </c>
      <c r="BB40" s="68"/>
      <c r="BC40" s="70"/>
      <c r="BD40" s="68"/>
      <c r="BE40" s="71"/>
      <c r="BF40" s="68"/>
      <c r="BG40" s="71"/>
      <c r="BH40" s="67"/>
      <c r="BI40" s="71"/>
      <c r="BK40" s="103" t="str">
        <f t="shared" si="9"/>
        <v/>
      </c>
      <c r="BL40" s="103" t="str">
        <f t="shared" si="10"/>
        <v/>
      </c>
      <c r="BM40" s="103" t="str">
        <f t="shared" si="11"/>
        <v/>
      </c>
    </row>
    <row r="41" spans="1:65" ht="14.25" customHeight="1" x14ac:dyDescent="0.2">
      <c r="A41" s="2" t="str">
        <f>+_xlfn.XLOOKUP(B41,'[1]Proyectos (NO FILTRAR)'!$F:$F,'[1]Proyectos (NO FILTRAR)'!$B:$B,0,0,1)</f>
        <v>PE-MSR-UG-FEL00-071-A</v>
      </c>
      <c r="B41" s="5" t="s">
        <v>93</v>
      </c>
      <c r="C41" s="5" t="str">
        <f>+_xlfn.XLOOKUP(A41,'[1]Proyectos (NO FILTRAR)'!$B:$B,'[1]Proyectos (NO FILTRAR)'!$G:$G,"error",0,1)</f>
        <v>Perú</v>
      </c>
      <c r="D41" s="5" t="s">
        <v>27</v>
      </c>
      <c r="E41" s="5" t="s">
        <v>53</v>
      </c>
      <c r="F41" s="5"/>
      <c r="G41" s="14" t="s">
        <v>34</v>
      </c>
      <c r="H41" s="14" t="s">
        <v>38</v>
      </c>
      <c r="I41" s="6">
        <f>+_xlfn.XLOOKUP(B41,'[1]Proyectos (NO FILTRAR)'!$F:$F,'[1]Proyectos (NO FILTRAR)'!$O:$O,"!",0,1)</f>
        <v>25600</v>
      </c>
      <c r="J41" s="51">
        <f t="shared" si="12"/>
        <v>25600</v>
      </c>
      <c r="K41" s="47">
        <f t="shared" si="13"/>
        <v>1</v>
      </c>
      <c r="L41" s="7">
        <f t="shared" si="14"/>
        <v>0</v>
      </c>
      <c r="M41" s="52">
        <f t="shared" si="15"/>
        <v>0</v>
      </c>
      <c r="N41" s="65"/>
      <c r="O41" s="52">
        <f t="shared" si="16"/>
        <v>0</v>
      </c>
      <c r="P41" s="65">
        <f t="shared" si="17"/>
        <v>25600</v>
      </c>
      <c r="Q41" s="48">
        <v>0</v>
      </c>
      <c r="R41" s="48">
        <f t="shared" si="18"/>
        <v>25600</v>
      </c>
      <c r="S41" s="8"/>
      <c r="T41" s="9"/>
      <c r="U41" s="8"/>
      <c r="V41" s="8"/>
      <c r="W41" s="9"/>
      <c r="X41" s="8"/>
      <c r="Y41" s="27"/>
      <c r="Z41" s="8"/>
      <c r="AA41" s="26"/>
      <c r="AB41" s="27"/>
      <c r="AC41" s="8"/>
      <c r="AD41" s="26"/>
      <c r="AE41" s="71"/>
      <c r="AF41" s="8">
        <v>25600</v>
      </c>
      <c r="AG41" s="26">
        <v>25600</v>
      </c>
      <c r="AH41" s="71">
        <v>25600</v>
      </c>
      <c r="AI41" s="8">
        <v>0</v>
      </c>
      <c r="AJ41" s="26"/>
      <c r="AK41" s="71"/>
      <c r="AL41" s="8">
        <v>0</v>
      </c>
      <c r="AM41" s="26">
        <v>0</v>
      </c>
      <c r="AN41" s="71"/>
      <c r="AO41" s="55">
        <v>0</v>
      </c>
      <c r="AP41" s="26"/>
      <c r="AQ41" s="71"/>
      <c r="AR41" s="55">
        <v>0</v>
      </c>
      <c r="AS41" s="68"/>
      <c r="AT41" s="71"/>
      <c r="AU41" s="67">
        <v>0</v>
      </c>
      <c r="AV41" s="68"/>
      <c r="AW41" s="71"/>
      <c r="AX41" s="67">
        <f>+IF((_xlfn.XLOOKUP($B41,'Curva S'!$B$2:$B$100,'Curva S'!$O$2:$O$100,0,0,1)*$I41-$J41)&lt;0,0,(_xlfn.XLOOKUP($B41,'Curva S'!$B$2:$B$100,'Curva S'!$O$2:$O$100,0,0,1)*$I41-$J41))</f>
        <v>0</v>
      </c>
      <c r="AY41" s="68"/>
      <c r="AZ41" s="71"/>
      <c r="BA41" s="67">
        <v>0</v>
      </c>
      <c r="BB41" s="68"/>
      <c r="BC41" s="70"/>
      <c r="BD41" s="68"/>
      <c r="BE41" s="71"/>
      <c r="BF41" s="68"/>
      <c r="BG41" s="71"/>
      <c r="BH41" s="67"/>
      <c r="BI41" s="71"/>
      <c r="BK41" s="103" t="str">
        <f t="shared" si="9"/>
        <v/>
      </c>
      <c r="BL41" s="103" t="str">
        <f t="shared" si="10"/>
        <v/>
      </c>
      <c r="BM41" s="103" t="str">
        <f t="shared" si="11"/>
        <v/>
      </c>
    </row>
    <row r="42" spans="1:65" ht="14.25" customHeight="1" x14ac:dyDescent="0.2">
      <c r="A42" s="2" t="str">
        <f>+_xlfn.XLOOKUP(B42,'[1]Proyectos (NO FILTRAR)'!$F:$F,'[1]Proyectos (NO FILTRAR)'!$B:$B,0,0,1)</f>
        <v>CH-LUN-CS-OTR00-069-A</v>
      </c>
      <c r="B42" s="5" t="s">
        <v>105</v>
      </c>
      <c r="C42" s="5" t="str">
        <f>+_xlfn.XLOOKUP(A42,'[1]Proyectos (NO FILTRAR)'!$B:$B,'[1]Proyectos (NO FILTRAR)'!$G:$G,"error",0,1)</f>
        <v>Chile</v>
      </c>
      <c r="D42" s="5" t="s">
        <v>27</v>
      </c>
      <c r="E42" s="5" t="s">
        <v>56</v>
      </c>
      <c r="F42" s="5" t="s">
        <v>34</v>
      </c>
      <c r="G42" s="14" t="s">
        <v>30</v>
      </c>
      <c r="H42" s="14" t="s">
        <v>35</v>
      </c>
      <c r="I42" s="6">
        <f>+_xlfn.XLOOKUP(B42,'[1]Proyectos (NO FILTRAR)'!$F:$F,'[1]Proyectos (NO FILTRAR)'!$O:$O,"!",0,1)</f>
        <v>199645</v>
      </c>
      <c r="J42" s="51">
        <f t="shared" si="12"/>
        <v>192950</v>
      </c>
      <c r="K42" s="47">
        <f t="shared" si="13"/>
        <v>0.966465476220291</v>
      </c>
      <c r="L42" s="7">
        <f t="shared" si="14"/>
        <v>6695</v>
      </c>
      <c r="M42" s="52">
        <f t="shared" si="15"/>
        <v>3.3534523779708982E-2</v>
      </c>
      <c r="N42" s="65"/>
      <c r="O42" s="52">
        <f t="shared" si="16"/>
        <v>0</v>
      </c>
      <c r="P42" s="65">
        <f t="shared" si="17"/>
        <v>199645</v>
      </c>
      <c r="Q42" s="48">
        <v>0</v>
      </c>
      <c r="R42" s="48">
        <f t="shared" si="18"/>
        <v>199645</v>
      </c>
      <c r="S42" s="8"/>
      <c r="T42" s="9"/>
      <c r="U42" s="8"/>
      <c r="V42" s="8"/>
      <c r="W42" s="9"/>
      <c r="X42" s="8"/>
      <c r="Y42" s="27"/>
      <c r="Z42" s="8"/>
      <c r="AA42" s="26"/>
      <c r="AB42" s="27"/>
      <c r="AC42" s="8"/>
      <c r="AD42" s="26"/>
      <c r="AE42" s="71"/>
      <c r="AF42" s="8"/>
      <c r="AG42" s="26"/>
      <c r="AH42" s="71"/>
      <c r="AI42" s="8">
        <v>11978.699999999999</v>
      </c>
      <c r="AJ42" s="26">
        <v>19917</v>
      </c>
      <c r="AK42" s="71">
        <v>26615</v>
      </c>
      <c r="AL42" s="8">
        <v>97732.9</v>
      </c>
      <c r="AM42" s="26">
        <v>93740</v>
      </c>
      <c r="AN42" s="71"/>
      <c r="AO42" s="55">
        <v>87074.85</v>
      </c>
      <c r="AP42" s="26"/>
      <c r="AQ42" s="71"/>
      <c r="AR42" s="55">
        <v>101050</v>
      </c>
      <c r="AS42" s="68">
        <v>14698</v>
      </c>
      <c r="AT42" s="71"/>
      <c r="AU42" s="67">
        <v>173030</v>
      </c>
      <c r="AV42" s="68">
        <f>71911*0.7</f>
        <v>50337.7</v>
      </c>
      <c r="AW42" s="71">
        <v>71980</v>
      </c>
      <c r="AX42" s="67">
        <f>+IF((_xlfn.XLOOKUP($B42,'Curva S'!$B$2:$B$100,'Curva S'!$O$2:$O$100,0,0,1)*$I42-$J42)&lt;0,0,(_xlfn.XLOOKUP($B42,'Curva S'!$B$2:$B$100,'Curva S'!$O$2:$O$100,0,0,1)*$I42-$J42))</f>
        <v>0</v>
      </c>
      <c r="AY42" s="68"/>
      <c r="AZ42" s="71">
        <v>60342</v>
      </c>
      <c r="BA42" s="67">
        <v>0</v>
      </c>
      <c r="BB42" s="68"/>
      <c r="BC42" s="70"/>
      <c r="BD42" s="68"/>
      <c r="BE42" s="71"/>
      <c r="BF42" s="68">
        <v>39000</v>
      </c>
      <c r="BG42" s="101">
        <v>34013</v>
      </c>
      <c r="BH42" s="67"/>
      <c r="BI42" s="71"/>
      <c r="BK42" s="103" t="str">
        <f t="shared" si="9"/>
        <v/>
      </c>
      <c r="BL42" s="103">
        <f t="shared" si="10"/>
        <v>0.8721282051282051</v>
      </c>
      <c r="BM42" s="103" t="str">
        <f t="shared" si="11"/>
        <v/>
      </c>
    </row>
    <row r="43" spans="1:65" ht="14.25" customHeight="1" x14ac:dyDescent="0.2">
      <c r="A43" s="2" t="str">
        <f>+_xlfn.XLOOKUP(B43,'[1]Proyectos (NO FILTRAR)'!$F:$F,'[1]Proyectos (NO FILTRAR)'!$B:$B,0,0,1)</f>
        <v>RU-SEL-UG-FEL2A-072-A</v>
      </c>
      <c r="B43" s="17" t="s">
        <v>106</v>
      </c>
      <c r="C43" s="17" t="str">
        <f>+_xlfn.XLOOKUP(A43,'[1]Proyectos (NO FILTRAR)'!$B:$B,'[1]Proyectos (NO FILTRAR)'!$G:$G,"error",0,1)</f>
        <v>Rusia</v>
      </c>
      <c r="D43" s="5" t="s">
        <v>27</v>
      </c>
      <c r="E43" s="5" t="s">
        <v>56</v>
      </c>
      <c r="F43" s="5" t="s">
        <v>30</v>
      </c>
      <c r="G43" s="14" t="s">
        <v>30</v>
      </c>
      <c r="H43" s="14" t="s">
        <v>109</v>
      </c>
      <c r="I43" s="6">
        <v>0</v>
      </c>
      <c r="J43" s="51">
        <f t="shared" si="12"/>
        <v>0</v>
      </c>
      <c r="K43" s="47">
        <f t="shared" si="13"/>
        <v>0</v>
      </c>
      <c r="L43" s="7">
        <f t="shared" si="14"/>
        <v>0</v>
      </c>
      <c r="M43" s="52">
        <f t="shared" si="15"/>
        <v>0</v>
      </c>
      <c r="N43" s="65"/>
      <c r="O43" s="52">
        <f t="shared" si="16"/>
        <v>0</v>
      </c>
      <c r="P43" s="65">
        <f t="shared" si="17"/>
        <v>0</v>
      </c>
      <c r="Q43" s="48">
        <v>0</v>
      </c>
      <c r="R43" s="48">
        <f t="shared" si="18"/>
        <v>0</v>
      </c>
      <c r="S43" s="8"/>
      <c r="T43" s="9"/>
      <c r="U43" s="8"/>
      <c r="V43" s="8"/>
      <c r="W43" s="9"/>
      <c r="X43" s="8"/>
      <c r="Y43" s="27"/>
      <c r="Z43" s="8"/>
      <c r="AA43" s="26"/>
      <c r="AB43" s="27"/>
      <c r="AC43" s="8"/>
      <c r="AD43" s="26"/>
      <c r="AE43" s="71"/>
      <c r="AF43" s="8"/>
      <c r="AG43" s="26"/>
      <c r="AH43" s="71"/>
      <c r="AI43" s="8">
        <v>72000</v>
      </c>
      <c r="AJ43" s="31"/>
      <c r="AK43" s="71"/>
      <c r="AL43" s="8">
        <v>0</v>
      </c>
      <c r="AM43" s="26">
        <v>0</v>
      </c>
      <c r="AN43" s="71"/>
      <c r="AO43" s="55">
        <v>0</v>
      </c>
      <c r="AP43" s="26"/>
      <c r="AQ43" s="71"/>
      <c r="AR43" s="55">
        <v>0</v>
      </c>
      <c r="AS43" s="68"/>
      <c r="AT43" s="71"/>
      <c r="AU43" s="67">
        <v>0</v>
      </c>
      <c r="AV43" s="68"/>
      <c r="AW43" s="71"/>
      <c r="AX43" s="67">
        <f>+IF((_xlfn.XLOOKUP($B43,'Curva S'!$B$2:$B$100,'Curva S'!$O$2:$O$100,0,0,1)*$I43-$J43)&lt;0,0,(_xlfn.XLOOKUP($B43,'Curva S'!$B$2:$B$100,'Curva S'!$O$2:$O$100,0,0,1)*$I43-$J43))</f>
        <v>0</v>
      </c>
      <c r="AY43" s="68"/>
      <c r="AZ43" s="71"/>
      <c r="BA43" s="67">
        <v>0</v>
      </c>
      <c r="BB43" s="68"/>
      <c r="BC43" s="70"/>
      <c r="BD43" s="68"/>
      <c r="BE43" s="71"/>
      <c r="BF43" s="68"/>
      <c r="BG43" s="71"/>
      <c r="BH43" s="67"/>
      <c r="BI43" s="71"/>
      <c r="BK43" s="103" t="str">
        <f t="shared" si="9"/>
        <v/>
      </c>
      <c r="BL43" s="103" t="str">
        <f t="shared" si="10"/>
        <v/>
      </c>
      <c r="BM43" s="103" t="str">
        <f t="shared" si="11"/>
        <v/>
      </c>
    </row>
    <row r="44" spans="1:65" ht="14.25" customHeight="1" x14ac:dyDescent="0.2">
      <c r="A44" s="2" t="str">
        <f>+_xlfn.XLOOKUP(B44,'[1]Proyectos (NO FILTRAR)'!$F:$F,'[1]Proyectos (NO FILTRAR)'!$B:$B,0,0,1)</f>
        <v>CH-BHP-UG-FEL01-074-A</v>
      </c>
      <c r="B44" s="5" t="s">
        <v>107</v>
      </c>
      <c r="C44" s="17" t="str">
        <f>+_xlfn.XLOOKUP(A44,'[1]Proyectos (NO FILTRAR)'!$B:$B,'[1]Proyectos (NO FILTRAR)'!$G:$G,"error",0,1)</f>
        <v>Chile</v>
      </c>
      <c r="D44" s="5" t="s">
        <v>27</v>
      </c>
      <c r="E44" s="5" t="s">
        <v>56</v>
      </c>
      <c r="F44" s="5" t="s">
        <v>34</v>
      </c>
      <c r="G44" s="14" t="s">
        <v>49</v>
      </c>
      <c r="H44" s="14" t="s">
        <v>35</v>
      </c>
      <c r="I44" s="6">
        <v>35036</v>
      </c>
      <c r="J44" s="51">
        <f t="shared" si="12"/>
        <v>35036</v>
      </c>
      <c r="K44" s="47">
        <f t="shared" si="13"/>
        <v>1</v>
      </c>
      <c r="L44" s="7">
        <f t="shared" si="14"/>
        <v>0</v>
      </c>
      <c r="M44" s="52">
        <f t="shared" si="15"/>
        <v>0</v>
      </c>
      <c r="N44" s="65"/>
      <c r="O44" s="52">
        <f t="shared" si="16"/>
        <v>0</v>
      </c>
      <c r="P44" s="65">
        <f t="shared" si="17"/>
        <v>35036</v>
      </c>
      <c r="Q44" s="48">
        <v>0</v>
      </c>
      <c r="R44" s="48">
        <f t="shared" si="18"/>
        <v>35036</v>
      </c>
      <c r="S44" s="8"/>
      <c r="T44" s="9"/>
      <c r="U44" s="8"/>
      <c r="V44" s="8"/>
      <c r="W44" s="9"/>
      <c r="X44" s="8"/>
      <c r="Y44" s="27"/>
      <c r="Z44" s="8"/>
      <c r="AA44" s="26"/>
      <c r="AB44" s="27"/>
      <c r="AC44" s="8"/>
      <c r="AD44" s="26"/>
      <c r="AE44" s="71"/>
      <c r="AF44" s="8"/>
      <c r="AG44" s="26"/>
      <c r="AH44" s="71"/>
      <c r="AI44" s="8">
        <v>65618.850000000006</v>
      </c>
      <c r="AJ44" s="31"/>
      <c r="AK44" s="71"/>
      <c r="AL44" s="8">
        <v>0</v>
      </c>
      <c r="AM44" s="31"/>
      <c r="AN44" s="71"/>
      <c r="AO44" s="55">
        <v>0</v>
      </c>
      <c r="AP44" s="31"/>
      <c r="AQ44" s="71">
        <v>35036</v>
      </c>
      <c r="AR44" s="55">
        <v>0</v>
      </c>
      <c r="AS44" s="69"/>
      <c r="AT44" s="71"/>
      <c r="AU44" s="67">
        <v>0</v>
      </c>
      <c r="AV44" s="69"/>
      <c r="AW44" s="71"/>
      <c r="AX44" s="67">
        <f>+IF((_xlfn.XLOOKUP($B44,'Curva S'!$B$2:$B$100,'Curva S'!$O$2:$O$100,0,0,1)*$I44-$J44)&lt;0,0,(_xlfn.XLOOKUP($B44,'Curva S'!$B$2:$B$100,'Curva S'!$O$2:$O$100,0,0,1)*$I44-$J44))</f>
        <v>0</v>
      </c>
      <c r="AY44" s="69"/>
      <c r="AZ44" s="71"/>
      <c r="BA44" s="67">
        <v>0</v>
      </c>
      <c r="BB44" s="69"/>
      <c r="BC44" s="70"/>
      <c r="BD44" s="69"/>
      <c r="BE44" s="71"/>
      <c r="BF44" s="69"/>
      <c r="BG44" s="71"/>
      <c r="BH44" s="67"/>
      <c r="BI44" s="71"/>
      <c r="BK44" s="103" t="str">
        <f t="shared" si="9"/>
        <v/>
      </c>
      <c r="BL44" s="103" t="str">
        <f t="shared" si="10"/>
        <v/>
      </c>
      <c r="BM44" s="103" t="str">
        <f t="shared" si="11"/>
        <v/>
      </c>
    </row>
    <row r="45" spans="1:65" ht="14.25" customHeight="1" x14ac:dyDescent="0.2">
      <c r="A45" s="2" t="str">
        <f>+_xlfn.XLOOKUP(B45,'[1]Proyectos (NO FILTRAR)'!$F:$F,'[1]Proyectos (NO FILTRAR)'!$B:$B,0,0,1)</f>
        <v>CH-AMS-CS-OTR00-075-A</v>
      </c>
      <c r="B45" s="5" t="s">
        <v>108</v>
      </c>
      <c r="C45" s="37" t="str">
        <f>+_xlfn.XLOOKUP(A45,'[1]Proyectos (NO FILTRAR)'!$B:$B,'[1]Proyectos (NO FILTRAR)'!$G:$G,"error",0,1)</f>
        <v>Chile</v>
      </c>
      <c r="D45" s="5" t="s">
        <v>27</v>
      </c>
      <c r="E45" s="5" t="s">
        <v>56</v>
      </c>
      <c r="F45" s="5" t="s">
        <v>104</v>
      </c>
      <c r="G45" s="14" t="s">
        <v>32</v>
      </c>
      <c r="H45" s="14" t="s">
        <v>44</v>
      </c>
      <c r="I45" s="6">
        <v>225450.5</v>
      </c>
      <c r="J45" s="51">
        <f t="shared" si="12"/>
        <v>225450.5</v>
      </c>
      <c r="K45" s="47">
        <f t="shared" si="13"/>
        <v>1</v>
      </c>
      <c r="L45" s="7">
        <f t="shared" si="14"/>
        <v>0</v>
      </c>
      <c r="M45" s="52">
        <f t="shared" si="15"/>
        <v>0</v>
      </c>
      <c r="N45" s="65"/>
      <c r="O45" s="52">
        <f t="shared" si="16"/>
        <v>0</v>
      </c>
      <c r="P45" s="65">
        <f t="shared" si="17"/>
        <v>225450.5</v>
      </c>
      <c r="Q45" s="48">
        <v>0</v>
      </c>
      <c r="R45" s="48">
        <f t="shared" si="18"/>
        <v>225450.5</v>
      </c>
      <c r="S45" s="8"/>
      <c r="T45" s="9"/>
      <c r="U45" s="8"/>
      <c r="V45" s="8"/>
      <c r="W45" s="9"/>
      <c r="X45" s="8"/>
      <c r="Y45" s="27"/>
      <c r="Z45" s="8"/>
      <c r="AA45" s="26"/>
      <c r="AB45" s="27"/>
      <c r="AC45" s="8"/>
      <c r="AD45" s="26"/>
      <c r="AE45" s="71"/>
      <c r="AF45" s="8"/>
      <c r="AG45" s="26"/>
      <c r="AH45" s="71"/>
      <c r="AI45" s="8">
        <v>0</v>
      </c>
      <c r="AJ45" s="26">
        <v>0</v>
      </c>
      <c r="AK45" s="71">
        <v>62047.5</v>
      </c>
      <c r="AL45" s="8">
        <v>61812.500000000015</v>
      </c>
      <c r="AM45" s="26">
        <v>61813</v>
      </c>
      <c r="AN45" s="71">
        <v>44853</v>
      </c>
      <c r="AO45" s="55">
        <v>118299.5</v>
      </c>
      <c r="AP45" s="26"/>
      <c r="AQ45" s="71">
        <v>35250</v>
      </c>
      <c r="AR45" s="55">
        <v>83049.5</v>
      </c>
      <c r="AS45" s="68">
        <v>74540</v>
      </c>
      <c r="AT45" s="71">
        <v>74540</v>
      </c>
      <c r="AU45" s="67">
        <v>8509.5</v>
      </c>
      <c r="AV45" s="68">
        <v>8509.5</v>
      </c>
      <c r="AW45" s="71">
        <v>8760</v>
      </c>
      <c r="AX45" s="67">
        <f>+IF((_xlfn.XLOOKUP($B45,'Curva S'!$B$2:$B$100,'Curva S'!$O$2:$O$100,0,0,1)*$I45-$J45)&lt;0,0,(_xlfn.XLOOKUP($B45,'Curva S'!$B$2:$B$100,'Curva S'!$O$2:$O$100,0,0,1)*$I45-$J45))</f>
        <v>0</v>
      </c>
      <c r="AY45" s="68"/>
      <c r="AZ45" s="71"/>
      <c r="BA45" s="67">
        <v>0</v>
      </c>
      <c r="BB45" s="68"/>
      <c r="BC45" s="70"/>
      <c r="BD45" s="68"/>
      <c r="BE45" s="71"/>
      <c r="BF45" s="68"/>
      <c r="BG45" s="71"/>
      <c r="BH45" s="67"/>
      <c r="BI45" s="71"/>
      <c r="BK45" s="103" t="str">
        <f t="shared" si="9"/>
        <v/>
      </c>
      <c r="BL45" s="103" t="str">
        <f t="shared" si="10"/>
        <v/>
      </c>
      <c r="BM45" s="103" t="str">
        <f t="shared" si="11"/>
        <v/>
      </c>
    </row>
    <row r="46" spans="1:65" ht="14.25" customHeight="1" x14ac:dyDescent="0.2">
      <c r="A46" s="2" t="str">
        <f>+_xlfn.XLOOKUP(B46,'[1]Proyectos (NO FILTRAR)'!$F:$F,'[1]Proyectos (NO FILTRAR)'!$B:$B,0,0,1)</f>
        <v>CH-AMS-CS-OTR00-063-A</v>
      </c>
      <c r="B46" s="98" t="s">
        <v>116</v>
      </c>
      <c r="C46" s="5" t="str">
        <f>+_xlfn.XLOOKUP(A46,'[1]Proyectos (NO FILTRAR)'!$B:$B,'[1]Proyectos (NO FILTRAR)'!$G:$G,"error",0,1)</f>
        <v>Chile</v>
      </c>
      <c r="D46" s="5" t="s">
        <v>27</v>
      </c>
      <c r="E46" s="5" t="s">
        <v>56</v>
      </c>
      <c r="F46" s="5" t="s">
        <v>33</v>
      </c>
      <c r="G46" s="14" t="s">
        <v>32</v>
      </c>
      <c r="H46" s="14" t="s">
        <v>121</v>
      </c>
      <c r="I46" s="6">
        <f>+_xlfn.XLOOKUP(B46,'[1]Proyectos (NO FILTRAR)'!$F:$F,'[1]Proyectos (NO FILTRAR)'!$O:$O,"!",0,1)</f>
        <v>91650</v>
      </c>
      <c r="J46" s="51">
        <f t="shared" si="12"/>
        <v>88642</v>
      </c>
      <c r="K46" s="47">
        <f t="shared" si="13"/>
        <v>0.96717948717948721</v>
      </c>
      <c r="L46" s="98">
        <f t="shared" si="14"/>
        <v>3008</v>
      </c>
      <c r="M46" s="52">
        <f t="shared" si="15"/>
        <v>3.282051282051282E-2</v>
      </c>
      <c r="N46" s="65"/>
      <c r="O46" s="52">
        <f t="shared" si="16"/>
        <v>0</v>
      </c>
      <c r="P46" s="65">
        <f t="shared" si="17"/>
        <v>91650</v>
      </c>
      <c r="Q46" s="48">
        <v>0</v>
      </c>
      <c r="R46" s="48">
        <f t="shared" si="18"/>
        <v>91650</v>
      </c>
      <c r="S46" s="8"/>
      <c r="T46" s="9"/>
      <c r="U46" s="8"/>
      <c r="V46" s="8"/>
      <c r="W46" s="9"/>
      <c r="X46" s="8"/>
      <c r="Y46" s="27"/>
      <c r="Z46" s="8"/>
      <c r="AA46" s="26"/>
      <c r="AB46" s="27"/>
      <c r="AC46" s="8"/>
      <c r="AD46" s="26"/>
      <c r="AE46" s="71"/>
      <c r="AF46" s="8"/>
      <c r="AG46" s="26"/>
      <c r="AH46" s="71"/>
      <c r="AI46" s="8"/>
      <c r="AJ46" s="26"/>
      <c r="AK46" s="71"/>
      <c r="AL46" s="8">
        <v>54990</v>
      </c>
      <c r="AM46" s="26">
        <v>54990</v>
      </c>
      <c r="AN46" s="71">
        <v>31730</v>
      </c>
      <c r="AO46" s="55">
        <v>32424.999999999993</v>
      </c>
      <c r="AP46" s="26"/>
      <c r="AQ46" s="71"/>
      <c r="AR46" s="55">
        <v>33341.5</v>
      </c>
      <c r="AS46" s="68">
        <v>21884</v>
      </c>
      <c r="AT46" s="71">
        <v>21884</v>
      </c>
      <c r="AU46" s="67">
        <v>35286.5</v>
      </c>
      <c r="AV46" s="68"/>
      <c r="AW46" s="71">
        <v>15305</v>
      </c>
      <c r="AX46" s="67">
        <f>+IF((_xlfn.XLOOKUP($B46,'Curva S'!$B$2:$B$100,'Curva S'!$O$2:$O$100,0,0,1)*$I46-$J46)&lt;0,0,(_xlfn.XLOOKUP($B46,'Curva S'!$B$2:$B$100,'Curva S'!$O$2:$O$100,0,0,1)*$I46-$J46))</f>
        <v>3008</v>
      </c>
      <c r="AY46" s="68"/>
      <c r="AZ46" s="71"/>
      <c r="BA46" s="67">
        <v>0</v>
      </c>
      <c r="BB46" s="68"/>
      <c r="BC46" s="70">
        <v>19723</v>
      </c>
      <c r="BD46" s="68"/>
      <c r="BE46" s="71"/>
      <c r="BF46" s="68"/>
      <c r="BG46" s="71"/>
      <c r="BH46" s="68"/>
      <c r="BI46" s="71"/>
      <c r="BK46" s="103" t="str">
        <f t="shared" si="9"/>
        <v/>
      </c>
      <c r="BL46" s="103" t="str">
        <f t="shared" si="10"/>
        <v/>
      </c>
      <c r="BM46" s="103" t="str">
        <f t="shared" si="11"/>
        <v/>
      </c>
    </row>
    <row r="47" spans="1:65" ht="14.25" customHeight="1" x14ac:dyDescent="0.2">
      <c r="A47" s="2" t="str">
        <f>+_xlfn.XLOOKUP(B47,'[1]Proyectos (NO FILTRAR)'!$F:$F,'[1]Proyectos (NO FILTRAR)'!$B:$B,0,0,1)</f>
        <v>PE-GLE-OP-FEL2A-054-A</v>
      </c>
      <c r="B47" s="5" t="s">
        <v>118</v>
      </c>
      <c r="C47" s="5" t="str">
        <f>+_xlfn.XLOOKUP(A47,'[1]Proyectos (NO FILTRAR)'!$B:$B,'[1]Proyectos (NO FILTRAR)'!$G:$G,"error",0,1)</f>
        <v>Perú</v>
      </c>
      <c r="D47" s="5" t="s">
        <v>27</v>
      </c>
      <c r="E47" s="5" t="s">
        <v>56</v>
      </c>
      <c r="F47" s="5" t="s">
        <v>104</v>
      </c>
      <c r="G47" s="14"/>
      <c r="H47" s="14" t="s">
        <v>38</v>
      </c>
      <c r="I47" s="6">
        <f>+_xlfn.XLOOKUP(B47,'[1]Proyectos (NO FILTRAR)'!$F:$F,'[1]Proyectos (NO FILTRAR)'!$O:$O,"!",0,1)</f>
        <v>198000</v>
      </c>
      <c r="J47" s="51">
        <f t="shared" si="12"/>
        <v>198000</v>
      </c>
      <c r="K47" s="47">
        <f t="shared" si="13"/>
        <v>1</v>
      </c>
      <c r="L47" s="7">
        <f t="shared" si="14"/>
        <v>0</v>
      </c>
      <c r="M47" s="52">
        <f t="shared" si="15"/>
        <v>0</v>
      </c>
      <c r="N47" s="65"/>
      <c r="O47" s="52">
        <f t="shared" si="16"/>
        <v>0</v>
      </c>
      <c r="P47" s="65">
        <f t="shared" si="17"/>
        <v>198000</v>
      </c>
      <c r="Q47" s="48">
        <v>0</v>
      </c>
      <c r="R47" s="48">
        <f t="shared" si="18"/>
        <v>198000</v>
      </c>
      <c r="S47" s="8"/>
      <c r="T47" s="9"/>
      <c r="U47" s="8"/>
      <c r="V47" s="8"/>
      <c r="W47" s="9"/>
      <c r="X47" s="8"/>
      <c r="Y47" s="27"/>
      <c r="Z47" s="8"/>
      <c r="AA47" s="26"/>
      <c r="AB47" s="27"/>
      <c r="AC47" s="8"/>
      <c r="AD47" s="26"/>
      <c r="AE47" s="71"/>
      <c r="AF47" s="8"/>
      <c r="AG47" s="26"/>
      <c r="AH47" s="71"/>
      <c r="AI47" s="8"/>
      <c r="AJ47" s="26"/>
      <c r="AK47" s="71"/>
      <c r="AL47" s="8">
        <v>73260</v>
      </c>
      <c r="AM47" s="26">
        <v>88024</v>
      </c>
      <c r="AN47" s="71">
        <v>85103.1</v>
      </c>
      <c r="AO47" s="55">
        <v>83196.899999999994</v>
      </c>
      <c r="AP47" s="26"/>
      <c r="AQ47" s="71">
        <v>70708.75</v>
      </c>
      <c r="AR47" s="55">
        <v>42188.149999999994</v>
      </c>
      <c r="AS47" s="68">
        <v>0</v>
      </c>
      <c r="AT47" s="71"/>
      <c r="AU47" s="67">
        <v>42188.149999999994</v>
      </c>
      <c r="AV47" s="68">
        <v>38000</v>
      </c>
      <c r="AW47" s="71">
        <v>42188.149999999994</v>
      </c>
      <c r="AX47" s="67">
        <f>+IF((_xlfn.XLOOKUP($B47,'Curva S'!$B$2:$B$100,'Curva S'!$O$2:$O$100,0,0,1)*$I47-$J47)&lt;0,0,(_xlfn.XLOOKUP($B47,'Curva S'!$B$2:$B$100,'Curva S'!$O$2:$O$100,0,0,1)*$I47-$J47))</f>
        <v>0</v>
      </c>
      <c r="AY47" s="68"/>
      <c r="AZ47" s="71"/>
      <c r="BA47" s="67">
        <v>0</v>
      </c>
      <c r="BB47" s="68"/>
      <c r="BC47" s="70"/>
      <c r="BD47" s="68"/>
      <c r="BE47" s="71"/>
      <c r="BF47" s="68"/>
      <c r="BG47" s="71"/>
      <c r="BH47" s="67"/>
      <c r="BI47" s="71"/>
      <c r="BK47" s="103" t="str">
        <f t="shared" si="9"/>
        <v/>
      </c>
      <c r="BL47" s="103" t="str">
        <f t="shared" si="10"/>
        <v/>
      </c>
      <c r="BM47" s="103" t="str">
        <f t="shared" si="11"/>
        <v/>
      </c>
    </row>
    <row r="48" spans="1:65" ht="14.25" customHeight="1" x14ac:dyDescent="0.2">
      <c r="A48" s="2" t="str">
        <f>+_xlfn.XLOOKUP(B48,'[1]Proyectos (NO FILTRAR)'!$F:$F,'[1]Proyectos (NO FILTRAR)'!$B:$B,0,0,1)</f>
        <v>PE-COR-UG-FEL00-076-A</v>
      </c>
      <c r="B48" s="5" t="s">
        <v>119</v>
      </c>
      <c r="C48" s="5" t="str">
        <f>+_xlfn.XLOOKUP(A48,'[1]Proyectos (NO FILTRAR)'!$B:$B,'[1]Proyectos (NO FILTRAR)'!$G:$G,"error",0,1)</f>
        <v>Perú</v>
      </c>
      <c r="D48" s="5" t="s">
        <v>27</v>
      </c>
      <c r="E48" s="5" t="s">
        <v>56</v>
      </c>
      <c r="F48" s="5" t="s">
        <v>162</v>
      </c>
      <c r="G48" s="14"/>
      <c r="H48" s="14" t="s">
        <v>50</v>
      </c>
      <c r="I48" s="6">
        <f>+_xlfn.XLOOKUP(B48,'[1]Proyectos (NO FILTRAR)'!$F:$F,'[1]Proyectos (NO FILTRAR)'!$O:$O,"!",0,1)</f>
        <v>105000</v>
      </c>
      <c r="J48" s="51">
        <f t="shared" si="12"/>
        <v>105000</v>
      </c>
      <c r="K48" s="47">
        <f t="shared" si="13"/>
        <v>1</v>
      </c>
      <c r="L48" s="7">
        <f t="shared" si="14"/>
        <v>0</v>
      </c>
      <c r="M48" s="52">
        <f t="shared" si="15"/>
        <v>0</v>
      </c>
      <c r="N48" s="65"/>
      <c r="O48" s="52">
        <f t="shared" si="16"/>
        <v>0</v>
      </c>
      <c r="P48" s="65">
        <f t="shared" si="17"/>
        <v>105000</v>
      </c>
      <c r="Q48" s="48">
        <v>0</v>
      </c>
      <c r="R48" s="48">
        <f t="shared" si="18"/>
        <v>105000</v>
      </c>
      <c r="S48" s="8"/>
      <c r="T48" s="9"/>
      <c r="U48" s="8"/>
      <c r="V48" s="8"/>
      <c r="W48" s="9"/>
      <c r="X48" s="8"/>
      <c r="Y48" s="27"/>
      <c r="Z48" s="8"/>
      <c r="AA48" s="26"/>
      <c r="AB48" s="27"/>
      <c r="AC48" s="8"/>
      <c r="AD48" s="26"/>
      <c r="AE48" s="71"/>
      <c r="AF48" s="8"/>
      <c r="AG48" s="26"/>
      <c r="AH48" s="71"/>
      <c r="AI48" s="8"/>
      <c r="AJ48" s="26"/>
      <c r="AK48" s="71"/>
      <c r="AL48" s="8">
        <v>0</v>
      </c>
      <c r="AM48" s="26">
        <v>0</v>
      </c>
      <c r="AN48" s="71"/>
      <c r="AO48" s="55">
        <v>46933.000000000007</v>
      </c>
      <c r="AP48" s="26"/>
      <c r="AQ48" s="71"/>
      <c r="AR48" s="55">
        <v>17462.600000000006</v>
      </c>
      <c r="AS48" s="68">
        <v>22492</v>
      </c>
      <c r="AT48" s="71"/>
      <c r="AU48" s="67">
        <v>105060</v>
      </c>
      <c r="AV48" s="68">
        <v>20185</v>
      </c>
      <c r="AW48" s="71">
        <v>105000</v>
      </c>
      <c r="AX48" s="67">
        <f>+IF((_xlfn.XLOOKUP($B48,'Curva S'!$B$2:$B$100,'Curva S'!$O$2:$O$100,0,0,1)*$I48-$J48)&lt;0,0,(_xlfn.XLOOKUP($B48,'Curva S'!$B$2:$B$100,'Curva S'!$O$2:$O$100,0,0,1)*$I48-$J48))</f>
        <v>0</v>
      </c>
      <c r="AY48" s="68"/>
      <c r="AZ48" s="71"/>
      <c r="BA48" s="67">
        <v>0</v>
      </c>
      <c r="BB48" s="68"/>
      <c r="BC48" s="70"/>
      <c r="BD48" s="68"/>
      <c r="BE48" s="71"/>
      <c r="BF48" s="68"/>
      <c r="BG48" s="71"/>
      <c r="BH48" s="67"/>
      <c r="BI48" s="71"/>
      <c r="BK48" s="103" t="str">
        <f t="shared" si="9"/>
        <v/>
      </c>
      <c r="BL48" s="103" t="str">
        <f t="shared" si="10"/>
        <v/>
      </c>
      <c r="BM48" s="103" t="str">
        <f t="shared" si="11"/>
        <v/>
      </c>
    </row>
    <row r="49" spans="1:65" ht="14.25" customHeight="1" x14ac:dyDescent="0.2">
      <c r="A49" s="2" t="str">
        <f>+_xlfn.XLOOKUP(B49,'[1]Proyectos (NO FILTRAR)'!$F:$F,'[1]Proyectos (NO FILTRAR)'!$B:$B,0,0,1)</f>
        <v>CH-BSA-CS-OTR00-052-A</v>
      </c>
      <c r="B49" s="5" t="s">
        <v>163</v>
      </c>
      <c r="C49" s="5" t="str">
        <f>+_xlfn.XLOOKUP(A49,'[1]Proyectos (NO FILTRAR)'!$B:$B,'[1]Proyectos (NO FILTRAR)'!$G:$G,"error",0,1)</f>
        <v>Chile</v>
      </c>
      <c r="D49" s="5" t="s">
        <v>27</v>
      </c>
      <c r="E49" s="5" t="s">
        <v>56</v>
      </c>
      <c r="F49" s="5" t="s">
        <v>36</v>
      </c>
      <c r="G49" s="14"/>
      <c r="H49" s="14" t="s">
        <v>39</v>
      </c>
      <c r="I49" s="6">
        <v>88166</v>
      </c>
      <c r="J49" s="51">
        <f t="shared" si="12"/>
        <v>88166</v>
      </c>
      <c r="K49" s="47">
        <f t="shared" si="13"/>
        <v>1</v>
      </c>
      <c r="L49" s="7">
        <f t="shared" si="14"/>
        <v>0</v>
      </c>
      <c r="M49" s="52">
        <f t="shared" si="15"/>
        <v>0</v>
      </c>
      <c r="N49" s="65"/>
      <c r="O49" s="52">
        <f t="shared" si="16"/>
        <v>0</v>
      </c>
      <c r="P49" s="65">
        <f t="shared" si="17"/>
        <v>88166</v>
      </c>
      <c r="Q49" s="48">
        <v>0</v>
      </c>
      <c r="R49" s="48">
        <f t="shared" si="18"/>
        <v>88166</v>
      </c>
      <c r="S49" s="8"/>
      <c r="T49" s="9"/>
      <c r="U49" s="8"/>
      <c r="V49" s="8"/>
      <c r="W49" s="9"/>
      <c r="X49" s="8"/>
      <c r="Y49" s="27"/>
      <c r="Z49" s="8"/>
      <c r="AA49" s="26"/>
      <c r="AB49" s="27"/>
      <c r="AC49" s="8"/>
      <c r="AD49" s="26"/>
      <c r="AE49" s="71"/>
      <c r="AF49" s="8"/>
      <c r="AG49" s="26"/>
      <c r="AH49" s="71"/>
      <c r="AI49" s="8"/>
      <c r="AJ49" s="26"/>
      <c r="AK49" s="71"/>
      <c r="AL49" s="8"/>
      <c r="AM49" s="26"/>
      <c r="AN49" s="71"/>
      <c r="AO49" s="55">
        <v>0</v>
      </c>
      <c r="AP49" s="26"/>
      <c r="AQ49" s="71"/>
      <c r="AR49" s="55">
        <v>13339.999999999998</v>
      </c>
      <c r="AS49" s="68">
        <v>88166</v>
      </c>
      <c r="AT49" s="71">
        <v>88166</v>
      </c>
      <c r="AU49" s="67">
        <v>0</v>
      </c>
      <c r="AV49" s="68"/>
      <c r="AW49" s="71"/>
      <c r="AX49" s="67">
        <f>+IF((_xlfn.XLOOKUP($B49,'Curva S'!$B$2:$B$100,'Curva S'!$O$2:$O$100,0,0,1)*$I49-$J49)&lt;0,0,(_xlfn.XLOOKUP($B49,'Curva S'!$B$2:$B$100,'Curva S'!$O$2:$O$100,0,0,1)*$I49-$J49))</f>
        <v>0</v>
      </c>
      <c r="AY49" s="68"/>
      <c r="AZ49" s="71"/>
      <c r="BA49" s="67">
        <v>0</v>
      </c>
      <c r="BB49" s="68"/>
      <c r="BC49" s="70"/>
      <c r="BD49" s="68"/>
      <c r="BE49" s="71"/>
      <c r="BF49" s="68"/>
      <c r="BG49" s="71"/>
      <c r="BH49" s="67"/>
      <c r="BI49" s="71"/>
      <c r="BK49" s="103" t="str">
        <f t="shared" si="9"/>
        <v/>
      </c>
      <c r="BL49" s="103" t="str">
        <f t="shared" si="10"/>
        <v/>
      </c>
      <c r="BM49" s="103" t="str">
        <f t="shared" si="11"/>
        <v/>
      </c>
    </row>
    <row r="50" spans="1:65" ht="14.25" customHeight="1" x14ac:dyDescent="0.2">
      <c r="A50" s="2" t="str">
        <f>+_xlfn.XLOOKUP(B50,'[1]Proyectos (NO FILTRAR)'!$F:$F,'[1]Proyectos (NO FILTRAR)'!$B:$B,0,0,1)</f>
        <v>PE-MSR-UG-OTR00-077-A</v>
      </c>
      <c r="B50" s="5" t="s">
        <v>164</v>
      </c>
      <c r="C50" s="5" t="str">
        <f>+_xlfn.XLOOKUP(A50,'[1]Proyectos (NO FILTRAR)'!$B:$B,'[1]Proyectos (NO FILTRAR)'!$G:$G,"error",0,1)</f>
        <v>Perú</v>
      </c>
      <c r="D50" s="5" t="s">
        <v>27</v>
      </c>
      <c r="E50" s="5" t="s">
        <v>56</v>
      </c>
      <c r="F50" s="5" t="s">
        <v>28</v>
      </c>
      <c r="G50" s="14"/>
      <c r="H50" s="14" t="s">
        <v>38</v>
      </c>
      <c r="I50" s="6">
        <v>119893</v>
      </c>
      <c r="J50" s="51">
        <f t="shared" si="12"/>
        <v>119893</v>
      </c>
      <c r="K50" s="47">
        <f t="shared" si="13"/>
        <v>1</v>
      </c>
      <c r="L50" s="7">
        <f t="shared" si="14"/>
        <v>0</v>
      </c>
      <c r="M50" s="52">
        <f t="shared" si="15"/>
        <v>0</v>
      </c>
      <c r="N50" s="65"/>
      <c r="O50" s="52">
        <f t="shared" si="16"/>
        <v>0</v>
      </c>
      <c r="P50" s="65">
        <f t="shared" si="17"/>
        <v>119893</v>
      </c>
      <c r="Q50" s="48">
        <v>0</v>
      </c>
      <c r="R50" s="48">
        <f t="shared" si="18"/>
        <v>119893</v>
      </c>
      <c r="S50" s="8"/>
      <c r="T50" s="9"/>
      <c r="U50" s="8"/>
      <c r="V50" s="8"/>
      <c r="W50" s="9"/>
      <c r="X50" s="8"/>
      <c r="Y50" s="27"/>
      <c r="Z50" s="8"/>
      <c r="AA50" s="26"/>
      <c r="AB50" s="27"/>
      <c r="AC50" s="8"/>
      <c r="AD50" s="26"/>
      <c r="AE50" s="71"/>
      <c r="AF50" s="8"/>
      <c r="AG50" s="26"/>
      <c r="AH50" s="71"/>
      <c r="AI50" s="8"/>
      <c r="AJ50" s="26"/>
      <c r="AK50" s="71"/>
      <c r="AL50" s="8"/>
      <c r="AM50" s="26"/>
      <c r="AN50" s="71"/>
      <c r="AO50" s="55">
        <v>0</v>
      </c>
      <c r="AP50" s="26"/>
      <c r="AQ50" s="71"/>
      <c r="AR50" s="55">
        <v>16780.68</v>
      </c>
      <c r="AS50" s="68">
        <v>0</v>
      </c>
      <c r="AT50" s="71"/>
      <c r="AU50" s="67">
        <v>47545.26</v>
      </c>
      <c r="AV50" s="68"/>
      <c r="AW50" s="71">
        <v>32242</v>
      </c>
      <c r="AX50" s="67">
        <f>+IF((_xlfn.XLOOKUP($B50,'Curva S'!$B$2:$B$100,'Curva S'!$O$2:$O$100,0,0,1)*$I50-$J50)&lt;0,0,(_xlfn.XLOOKUP($B50,'Curva S'!$B$2:$B$100,'Curva S'!$O$2:$O$100,0,0,1)*$I50-$J50))</f>
        <v>0</v>
      </c>
      <c r="AY50" s="68"/>
      <c r="AZ50" s="71">
        <v>82138</v>
      </c>
      <c r="BA50" s="67">
        <v>0</v>
      </c>
      <c r="BB50" s="68"/>
      <c r="BC50" s="70">
        <v>5513</v>
      </c>
      <c r="BD50" s="68"/>
      <c r="BE50" s="71"/>
      <c r="BF50" s="68"/>
      <c r="BG50" s="71"/>
      <c r="BH50" s="67"/>
      <c r="BI50" s="71"/>
      <c r="BK50" s="103" t="str">
        <f t="shared" si="9"/>
        <v/>
      </c>
      <c r="BL50" s="103" t="str">
        <f t="shared" si="10"/>
        <v/>
      </c>
      <c r="BM50" s="103" t="str">
        <f t="shared" si="11"/>
        <v/>
      </c>
    </row>
    <row r="51" spans="1:65" ht="14.25" customHeight="1" x14ac:dyDescent="0.2">
      <c r="A51" s="2" t="str">
        <f>+_xlfn.XLOOKUP(B51,'[1]Proyectos (NO FILTRAR)'!$F:$F,'[1]Proyectos (NO FILTRAR)'!$B:$B,0,0,1)</f>
        <v>CH-CCO-OP-FEL00-078-A</v>
      </c>
      <c r="B51" s="5" t="s">
        <v>165</v>
      </c>
      <c r="C51" s="5" t="str">
        <f>+_xlfn.XLOOKUP(A51,'[1]Proyectos (NO FILTRAR)'!$B:$B,'[1]Proyectos (NO FILTRAR)'!$G:$G,"error",0,1)</f>
        <v>Chile</v>
      </c>
      <c r="D51" s="5" t="s">
        <v>27</v>
      </c>
      <c r="E51" s="5" t="s">
        <v>56</v>
      </c>
      <c r="F51" s="5" t="s">
        <v>104</v>
      </c>
      <c r="G51" s="14"/>
      <c r="H51" s="14" t="s">
        <v>39</v>
      </c>
      <c r="I51" s="6">
        <f>+_xlfn.XLOOKUP(B51,'[1]Proyectos (NO FILTRAR)'!$F:$F,'[1]Proyectos (NO FILTRAR)'!$O:$O,"!",0,1)</f>
        <v>261986</v>
      </c>
      <c r="J51" s="51">
        <f t="shared" si="12"/>
        <v>261786</v>
      </c>
      <c r="K51" s="47">
        <f t="shared" si="13"/>
        <v>0.99923660042903051</v>
      </c>
      <c r="L51" s="7">
        <f t="shared" si="14"/>
        <v>200</v>
      </c>
      <c r="M51" s="52">
        <f t="shared" si="15"/>
        <v>7.6339957096944111E-4</v>
      </c>
      <c r="N51" s="65"/>
      <c r="O51" s="52">
        <f t="shared" si="16"/>
        <v>0</v>
      </c>
      <c r="P51" s="65">
        <f t="shared" si="17"/>
        <v>261986</v>
      </c>
      <c r="Q51" s="48">
        <v>0</v>
      </c>
      <c r="R51" s="48">
        <f t="shared" si="18"/>
        <v>261986</v>
      </c>
      <c r="S51" s="8"/>
      <c r="T51" s="9"/>
      <c r="U51" s="8"/>
      <c r="V51" s="8"/>
      <c r="W51" s="9"/>
      <c r="X51" s="8"/>
      <c r="Y51" s="27"/>
      <c r="Z51" s="8"/>
      <c r="AA51" s="26"/>
      <c r="AB51" s="27"/>
      <c r="AC51" s="8"/>
      <c r="AD51" s="26"/>
      <c r="AE51" s="71"/>
      <c r="AF51" s="8"/>
      <c r="AG51" s="26"/>
      <c r="AH51" s="71"/>
      <c r="AI51" s="8"/>
      <c r="AJ51" s="26"/>
      <c r="AK51" s="71"/>
      <c r="AL51" s="8"/>
      <c r="AM51" s="26"/>
      <c r="AN51" s="71"/>
      <c r="AO51" s="55">
        <v>0</v>
      </c>
      <c r="AP51" s="26"/>
      <c r="AQ51" s="71"/>
      <c r="AR51" s="55">
        <v>0</v>
      </c>
      <c r="AS51" s="68">
        <v>0</v>
      </c>
      <c r="AT51" s="71"/>
      <c r="AU51" s="67">
        <v>54551.280000000006</v>
      </c>
      <c r="AV51" s="68"/>
      <c r="AW51" s="71">
        <v>62422</v>
      </c>
      <c r="AX51" s="67">
        <f>+IF((_xlfn.XLOOKUP($B51,'Curva S'!$B$2:$B$100,'Curva S'!$O$2:$O$100,0,0,1)*$I51-$J51)&lt;0,0,(_xlfn.XLOOKUP($B51,'Curva S'!$B$2:$B$100,'Curva S'!$O$2:$O$100,0,0,1)*$I51-$J51))</f>
        <v>0</v>
      </c>
      <c r="AY51" s="68"/>
      <c r="AZ51" s="71">
        <v>82409</v>
      </c>
      <c r="BA51" s="67">
        <v>9081.5400000000081</v>
      </c>
      <c r="BB51" s="68"/>
      <c r="BC51" s="70">
        <v>37000</v>
      </c>
      <c r="BD51" s="68">
        <v>12795</v>
      </c>
      <c r="BE51" s="71">
        <v>12795</v>
      </c>
      <c r="BF51" s="99">
        <v>12795</v>
      </c>
      <c r="BG51" s="71">
        <v>45478</v>
      </c>
      <c r="BH51" s="67">
        <f>_xlfn.XLOOKUP(A51,'[3]Resumen POM'!$I:$I,'[3]Resumen POM'!$D:$D,"",0,1)</f>
        <v>21702</v>
      </c>
      <c r="BI51" s="71">
        <v>21682</v>
      </c>
      <c r="BK51" s="103">
        <f t="shared" si="9"/>
        <v>1</v>
      </c>
      <c r="BL51" s="103">
        <f t="shared" si="10"/>
        <v>1</v>
      </c>
      <c r="BM51" s="103">
        <f t="shared" si="11"/>
        <v>0.99907842595152518</v>
      </c>
    </row>
    <row r="52" spans="1:65" ht="14.25" customHeight="1" x14ac:dyDescent="0.2">
      <c r="A52" s="2" t="str">
        <f>+_xlfn.XLOOKUP(B52,'[1]Proyectos (NO FILTRAR)'!$F:$F,'[1]Proyectos (NO FILTRAR)'!$B:$B,0,0,1)</f>
        <v>PE-MSR-UG-FEL00-079-A</v>
      </c>
      <c r="B52" s="5" t="s">
        <v>166</v>
      </c>
      <c r="C52" s="5" t="str">
        <f>+_xlfn.XLOOKUP(A52,'[1]Proyectos (NO FILTRAR)'!$B:$B,'[1]Proyectos (NO FILTRAR)'!$G:$G,"error",0,1)</f>
        <v>Perú</v>
      </c>
      <c r="D52" s="5" t="s">
        <v>27</v>
      </c>
      <c r="E52" s="5" t="s">
        <v>56</v>
      </c>
      <c r="F52" s="5" t="s">
        <v>28</v>
      </c>
      <c r="G52" s="14"/>
      <c r="H52" s="14" t="s">
        <v>38</v>
      </c>
      <c r="I52" s="6">
        <f>+_xlfn.XLOOKUP(B52,'[1]Proyectos (NO FILTRAR)'!$F:$F,'[1]Proyectos (NO FILTRAR)'!$O:$O,"!",0,1)</f>
        <v>53339</v>
      </c>
      <c r="J52" s="51">
        <f t="shared" si="12"/>
        <v>53339</v>
      </c>
      <c r="K52" s="47">
        <f t="shared" si="13"/>
        <v>1</v>
      </c>
      <c r="L52" s="7">
        <f t="shared" si="14"/>
        <v>0</v>
      </c>
      <c r="M52" s="52">
        <f t="shared" si="15"/>
        <v>0</v>
      </c>
      <c r="N52" s="65"/>
      <c r="O52" s="52">
        <f t="shared" si="16"/>
        <v>0</v>
      </c>
      <c r="P52" s="65">
        <f t="shared" si="17"/>
        <v>53339</v>
      </c>
      <c r="Q52" s="48">
        <v>0</v>
      </c>
      <c r="R52" s="48">
        <f t="shared" si="18"/>
        <v>53339</v>
      </c>
      <c r="S52" s="8"/>
      <c r="T52" s="9"/>
      <c r="U52" s="8"/>
      <c r="V52" s="8"/>
      <c r="W52" s="9"/>
      <c r="X52" s="8"/>
      <c r="Y52" s="27"/>
      <c r="Z52" s="8"/>
      <c r="AA52" s="26"/>
      <c r="AB52" s="27"/>
      <c r="AC52" s="8"/>
      <c r="AD52" s="26"/>
      <c r="AE52" s="71"/>
      <c r="AF52" s="8"/>
      <c r="AG52" s="26"/>
      <c r="AH52" s="71"/>
      <c r="AI52" s="8"/>
      <c r="AJ52" s="26"/>
      <c r="AK52" s="71"/>
      <c r="AL52" s="8"/>
      <c r="AM52" s="26"/>
      <c r="AN52" s="71"/>
      <c r="AO52" s="55">
        <v>0</v>
      </c>
      <c r="AP52" s="26"/>
      <c r="AQ52" s="71"/>
      <c r="AR52" s="55">
        <v>57591.9</v>
      </c>
      <c r="AS52" s="68">
        <v>0</v>
      </c>
      <c r="AT52" s="71"/>
      <c r="AU52" s="67">
        <v>64710</v>
      </c>
      <c r="AV52" s="68"/>
      <c r="AW52" s="71">
        <v>53339</v>
      </c>
      <c r="AX52" s="67">
        <f>+IF((_xlfn.XLOOKUP($B52,'Curva S'!$B$2:$B$100,'Curva S'!$O$2:$O$100,0,0,1)*$I52-$J52)&lt;0,0,(_xlfn.XLOOKUP($B52,'Curva S'!$B$2:$B$100,'Curva S'!$O$2:$O$100,0,0,1)*$I52-$J52))</f>
        <v>0</v>
      </c>
      <c r="AY52" s="68"/>
      <c r="AZ52" s="71"/>
      <c r="BA52" s="67">
        <v>0</v>
      </c>
      <c r="BB52" s="68"/>
      <c r="BC52" s="70"/>
      <c r="BD52" s="68"/>
      <c r="BE52" s="71"/>
      <c r="BF52" s="68"/>
      <c r="BG52" s="71"/>
      <c r="BH52" s="67"/>
      <c r="BI52" s="71"/>
      <c r="BK52" s="103" t="str">
        <f t="shared" si="9"/>
        <v/>
      </c>
      <c r="BL52" s="103" t="str">
        <f t="shared" si="10"/>
        <v/>
      </c>
      <c r="BM52" s="103" t="str">
        <f t="shared" si="11"/>
        <v/>
      </c>
    </row>
    <row r="53" spans="1:65" ht="14.25" customHeight="1" x14ac:dyDescent="0.2">
      <c r="A53" s="2" t="str">
        <f>+_xlfn.XLOOKUP(B53,'[1]Proyectos (NO FILTRAR)'!$F:$F,'[1]Proyectos (NO FILTRAR)'!$B:$B,0,0,1)</f>
        <v>OT-MCA-CS-OTR00-080-A</v>
      </c>
      <c r="B53" s="98" t="s">
        <v>167</v>
      </c>
      <c r="C53" s="5" t="str">
        <f>+_xlfn.XLOOKUP(A53,'[1]Proyectos (NO FILTRAR)'!$B:$B,'[1]Proyectos (NO FILTRAR)'!$G:$G,"error",0,1)</f>
        <v>Otros</v>
      </c>
      <c r="D53" s="5" t="s">
        <v>27</v>
      </c>
      <c r="E53" s="5" t="s">
        <v>56</v>
      </c>
      <c r="F53" s="5" t="s">
        <v>34</v>
      </c>
      <c r="G53" s="14"/>
      <c r="H53" s="14" t="s">
        <v>39</v>
      </c>
      <c r="I53" s="6">
        <f>+_xlfn.XLOOKUP(B53,'[1]Proyectos (NO FILTRAR)'!$F:$F,'[1]Proyectos (NO FILTRAR)'!$O:$O,"!",0,1)</f>
        <v>611100</v>
      </c>
      <c r="J53" s="51">
        <f t="shared" si="12"/>
        <v>572400</v>
      </c>
      <c r="K53" s="47">
        <f t="shared" si="13"/>
        <v>0.93667157584683358</v>
      </c>
      <c r="L53" s="7">
        <f t="shared" si="14"/>
        <v>38700</v>
      </c>
      <c r="M53" s="52">
        <f t="shared" si="15"/>
        <v>6.3328424153166418E-2</v>
      </c>
      <c r="N53" s="65"/>
      <c r="O53" s="52">
        <f t="shared" si="16"/>
        <v>0</v>
      </c>
      <c r="P53" s="65">
        <f t="shared" si="17"/>
        <v>611100</v>
      </c>
      <c r="Q53" s="48">
        <v>0</v>
      </c>
      <c r="R53" s="48">
        <f t="shared" si="18"/>
        <v>611100</v>
      </c>
      <c r="S53" s="8"/>
      <c r="T53" s="9"/>
      <c r="U53" s="8"/>
      <c r="V53" s="8"/>
      <c r="W53" s="9"/>
      <c r="X53" s="8"/>
      <c r="Y53" s="27"/>
      <c r="Z53" s="8"/>
      <c r="AA53" s="26"/>
      <c r="AB53" s="27"/>
      <c r="AC53" s="8"/>
      <c r="AD53" s="26"/>
      <c r="AE53" s="71"/>
      <c r="AF53" s="8"/>
      <c r="AG53" s="26"/>
      <c r="AH53" s="71"/>
      <c r="AI53" s="8"/>
      <c r="AJ53" s="26"/>
      <c r="AK53" s="71"/>
      <c r="AL53" s="8"/>
      <c r="AM53" s="26"/>
      <c r="AN53" s="71"/>
      <c r="AO53" s="55">
        <v>0</v>
      </c>
      <c r="AP53" s="26"/>
      <c r="AQ53" s="71"/>
      <c r="AR53" s="55">
        <v>85554.000000000015</v>
      </c>
      <c r="AS53" s="68">
        <v>0</v>
      </c>
      <c r="AT53" s="71">
        <v>288500</v>
      </c>
      <c r="AU53" s="67">
        <v>0</v>
      </c>
      <c r="AV53" s="68"/>
      <c r="AW53" s="71">
        <v>283900</v>
      </c>
      <c r="AX53" s="67">
        <f>+IF((_xlfn.XLOOKUP($B53,'Curva S'!$B$2:$B$100,'Curva S'!$O$2:$O$100,0,0,1)*$I53-$J53)&lt;0,0,(_xlfn.XLOOKUP($B53,'Curva S'!$B$2:$B$100,'Curva S'!$O$2:$O$100,0,0,1)*$I53-$J53))</f>
        <v>0</v>
      </c>
      <c r="AY53" s="68"/>
      <c r="AZ53" s="71"/>
      <c r="BA53" s="67">
        <v>0</v>
      </c>
      <c r="BB53" s="68"/>
      <c r="BC53" s="70"/>
      <c r="BD53" s="68"/>
      <c r="BE53" s="71"/>
      <c r="BF53" s="68"/>
      <c r="BG53" s="71"/>
      <c r="BH53" s="67"/>
      <c r="BI53" s="71"/>
      <c r="BK53" s="103" t="str">
        <f t="shared" si="9"/>
        <v/>
      </c>
      <c r="BL53" s="103" t="str">
        <f t="shared" si="10"/>
        <v/>
      </c>
      <c r="BM53" s="103" t="str">
        <f t="shared" si="11"/>
        <v/>
      </c>
    </row>
    <row r="54" spans="1:65" ht="14.25" customHeight="1" x14ac:dyDescent="0.2">
      <c r="A54" s="2" t="str">
        <f>+_xlfn.XLOOKUP(B54,'[1]Proyectos (NO FILTRAR)'!$F:$F,'[1]Proyectos (NO FILTRAR)'!$B:$B,0,0,1)</f>
        <v>RU-ECH-UG-FEL00-081-A</v>
      </c>
      <c r="B54" s="98" t="s">
        <v>178</v>
      </c>
      <c r="C54" s="5" t="str">
        <f>+_xlfn.XLOOKUP(A54,'[1]Proyectos (NO FILTRAR)'!$B:$B,'[1]Proyectos (NO FILTRAR)'!$G:$G,"error",0,1)</f>
        <v>Rusia</v>
      </c>
      <c r="D54" s="5" t="s">
        <v>27</v>
      </c>
      <c r="E54" s="5" t="s">
        <v>56</v>
      </c>
      <c r="F54" s="5" t="s">
        <v>30</v>
      </c>
      <c r="G54" s="14"/>
      <c r="H54" s="14" t="s">
        <v>109</v>
      </c>
      <c r="I54" s="6">
        <f>+_xlfn.XLOOKUP(B54,'[1]Proyectos (NO FILTRAR)'!$F:$F,'[1]Proyectos (NO FILTRAR)'!$O:$O,"!",0,1)</f>
        <v>152100</v>
      </c>
      <c r="J54" s="51">
        <f t="shared" si="12"/>
        <v>152100</v>
      </c>
      <c r="K54" s="47">
        <f t="shared" si="13"/>
        <v>1</v>
      </c>
      <c r="L54" s="98">
        <f t="shared" si="14"/>
        <v>0</v>
      </c>
      <c r="M54" s="52">
        <f t="shared" si="15"/>
        <v>0</v>
      </c>
      <c r="N54" s="65"/>
      <c r="O54" s="52">
        <f t="shared" si="16"/>
        <v>0</v>
      </c>
      <c r="P54" s="65">
        <f t="shared" si="17"/>
        <v>152100</v>
      </c>
      <c r="Q54" s="48">
        <v>0</v>
      </c>
      <c r="R54" s="48">
        <f t="shared" si="18"/>
        <v>152100</v>
      </c>
      <c r="S54" s="8"/>
      <c r="T54" s="9"/>
      <c r="U54" s="8"/>
      <c r="V54" s="8"/>
      <c r="W54" s="9"/>
      <c r="X54" s="8"/>
      <c r="Y54" s="27"/>
      <c r="Z54" s="8"/>
      <c r="AA54" s="26"/>
      <c r="AB54" s="27"/>
      <c r="AC54" s="8"/>
      <c r="AD54" s="26"/>
      <c r="AE54" s="71"/>
      <c r="AF54" s="8"/>
      <c r="AG54" s="26"/>
      <c r="AH54" s="71"/>
      <c r="AI54" s="8"/>
      <c r="AJ54" s="26"/>
      <c r="AK54" s="71"/>
      <c r="AL54" s="8"/>
      <c r="AM54" s="26"/>
      <c r="AN54" s="71"/>
      <c r="AO54" s="55">
        <v>0</v>
      </c>
      <c r="AP54" s="26"/>
      <c r="AQ54" s="71"/>
      <c r="AR54" s="55">
        <v>15499.800000000001</v>
      </c>
      <c r="AS54" s="68">
        <v>0</v>
      </c>
      <c r="AT54" s="71"/>
      <c r="AU54" s="67">
        <v>105398.64000000001</v>
      </c>
      <c r="AV54" s="68">
        <v>91260</v>
      </c>
      <c r="AW54" s="71">
        <v>76050</v>
      </c>
      <c r="AX54" s="67">
        <f>+IF((_xlfn.XLOOKUP($B54,'Curva S'!$B$2:$B$100,'Curva S'!$O$2:$O$100,0,0,1)*$I54-$J54)&lt;0,0,(_xlfn.XLOOKUP($B54,'Curva S'!$B$2:$B$100,'Curva S'!$O$2:$O$100,0,0,1)*$I54-$J54))</f>
        <v>0</v>
      </c>
      <c r="AY54" s="68"/>
      <c r="AZ54" s="71"/>
      <c r="BA54" s="67">
        <v>78948</v>
      </c>
      <c r="BB54" s="68"/>
      <c r="BC54" s="100"/>
      <c r="BD54" s="68">
        <v>78851</v>
      </c>
      <c r="BE54" s="71"/>
      <c r="BF54" s="99">
        <v>78881</v>
      </c>
      <c r="BG54" s="71"/>
      <c r="BH54" s="68">
        <f>_xlfn.XLOOKUP(A54,'[3]Resumen POM'!$I:$I,'[3]Resumen POM'!$D:$D,"",0,1)</f>
        <v>78880.5</v>
      </c>
      <c r="BI54" s="71">
        <v>76050</v>
      </c>
      <c r="BK54" s="103">
        <f t="shared" si="9"/>
        <v>0</v>
      </c>
      <c r="BL54" s="103">
        <f t="shared" si="10"/>
        <v>0</v>
      </c>
      <c r="BM54" s="103">
        <f t="shared" si="11"/>
        <v>0.96411660676593069</v>
      </c>
    </row>
    <row r="55" spans="1:65" ht="14.25" customHeight="1" x14ac:dyDescent="0.2">
      <c r="A55" s="2" t="str">
        <f>+_xlfn.XLOOKUP(B55,'[1]Proyectos (NO FILTRAR)'!$F:$F,'[1]Proyectos (NO FILTRAR)'!$B:$B,0,0,1)</f>
        <v>BR-J&amp;F-UG-FEL03-048-A</v>
      </c>
      <c r="B55" s="5" t="s">
        <v>184</v>
      </c>
      <c r="C55" s="5" t="str">
        <f>+_xlfn.XLOOKUP(A55,'[1]Proyectos (NO FILTRAR)'!$B:$B,'[1]Proyectos (NO FILTRAR)'!$G:$G,"error",0,1)</f>
        <v>Brasil</v>
      </c>
      <c r="D55" s="5" t="s">
        <v>27</v>
      </c>
      <c r="E55" s="5" t="s">
        <v>56</v>
      </c>
      <c r="F55" s="5" t="s">
        <v>33</v>
      </c>
      <c r="G55" s="14"/>
      <c r="H55" s="14" t="s">
        <v>35</v>
      </c>
      <c r="I55" s="6">
        <f>+_xlfn.XLOOKUP(B55,'[1]Proyectos (NO FILTRAR)'!$F:$F,'[1]Proyectos (NO FILTRAR)'!$O:$O,"!",0,1)</f>
        <v>239308</v>
      </c>
      <c r="J55" s="51">
        <f t="shared" si="12"/>
        <v>208259</v>
      </c>
      <c r="K55" s="47">
        <f t="shared" si="13"/>
        <v>0.87025506878165382</v>
      </c>
      <c r="L55" s="7">
        <f t="shared" si="14"/>
        <v>31049</v>
      </c>
      <c r="M55" s="52">
        <f t="shared" si="15"/>
        <v>0.12974493121834624</v>
      </c>
      <c r="N55" s="65"/>
      <c r="O55" s="52">
        <f t="shared" si="16"/>
        <v>0</v>
      </c>
      <c r="P55" s="65">
        <f t="shared" si="17"/>
        <v>239308</v>
      </c>
      <c r="Q55" s="48">
        <v>0</v>
      </c>
      <c r="R55" s="48">
        <f t="shared" si="18"/>
        <v>239308</v>
      </c>
      <c r="S55" s="8"/>
      <c r="T55" s="9"/>
      <c r="U55" s="8"/>
      <c r="V55" s="8"/>
      <c r="W55" s="9"/>
      <c r="X55" s="8"/>
      <c r="Y55" s="27"/>
      <c r="Z55" s="8"/>
      <c r="AA55" s="26"/>
      <c r="AB55" s="27"/>
      <c r="AC55" s="8"/>
      <c r="AD55" s="26"/>
      <c r="AE55" s="71"/>
      <c r="AF55" s="8"/>
      <c r="AG55" s="26"/>
      <c r="AH55" s="71"/>
      <c r="AI55" s="8"/>
      <c r="AJ55" s="26"/>
      <c r="AK55" s="71"/>
      <c r="AL55" s="8"/>
      <c r="AM55" s="26"/>
      <c r="AN55" s="71"/>
      <c r="AO55" s="55">
        <v>0</v>
      </c>
      <c r="AP55" s="26"/>
      <c r="AQ55" s="71"/>
      <c r="AR55" s="55">
        <v>131619.5</v>
      </c>
      <c r="AS55" s="68">
        <v>130722</v>
      </c>
      <c r="AT55" s="71">
        <v>130722</v>
      </c>
      <c r="AU55" s="67">
        <v>56177.69</v>
      </c>
      <c r="AV55" s="68"/>
      <c r="AW55" s="71"/>
      <c r="AX55" s="67">
        <f>+IF((_xlfn.XLOOKUP($B55,'Curva S'!$B$2:$B$100,'Curva S'!$O$2:$O$100,0,0,1)*$I55-$J55)&lt;0,0,(_xlfn.XLOOKUP($B55,'Curva S'!$B$2:$B$100,'Curva S'!$O$2:$O$100,0,0,1)*$I55-$J55))</f>
        <v>0</v>
      </c>
      <c r="AY55" s="68"/>
      <c r="AZ55" s="71">
        <v>27947</v>
      </c>
      <c r="BA55" s="67">
        <v>65084.149999999994</v>
      </c>
      <c r="BB55" s="68"/>
      <c r="BC55" s="70">
        <v>26332</v>
      </c>
      <c r="BD55" s="68">
        <v>20000</v>
      </c>
      <c r="BE55" s="71">
        <v>11169</v>
      </c>
      <c r="BF55" s="68">
        <v>12000</v>
      </c>
      <c r="BG55" s="101">
        <v>12089</v>
      </c>
      <c r="BH55" s="67"/>
      <c r="BI55" s="71"/>
      <c r="BK55" s="103">
        <f t="shared" si="9"/>
        <v>0.55845</v>
      </c>
      <c r="BL55" s="103">
        <f t="shared" si="10"/>
        <v>1</v>
      </c>
      <c r="BM55" s="103" t="str">
        <f t="shared" si="11"/>
        <v/>
      </c>
    </row>
    <row r="56" spans="1:65" ht="14.25" customHeight="1" x14ac:dyDescent="0.2">
      <c r="A56" s="2" t="str">
        <f>+_xlfn.XLOOKUP(B56,'[1]Proyectos (NO FILTRAR)'!$F:$F,'[1]Proyectos (NO FILTRAR)'!$B:$B,0,0,1)</f>
        <v>CH-BSC-UG-OTR00-082-A</v>
      </c>
      <c r="B56" s="5" t="s">
        <v>185</v>
      </c>
      <c r="C56" s="5" t="str">
        <f>+_xlfn.XLOOKUP(A56,'[1]Proyectos (NO FILTRAR)'!$B:$B,'[1]Proyectos (NO FILTRAR)'!$G:$G,"error",0,1)</f>
        <v>Chile</v>
      </c>
      <c r="D56" s="5" t="s">
        <v>27</v>
      </c>
      <c r="E56" s="5" t="s">
        <v>56</v>
      </c>
      <c r="F56" s="5" t="s">
        <v>162</v>
      </c>
      <c r="G56" s="14"/>
      <c r="H56" s="14" t="s">
        <v>162</v>
      </c>
      <c r="I56" s="6">
        <v>40000</v>
      </c>
      <c r="J56" s="51">
        <f t="shared" si="12"/>
        <v>40000</v>
      </c>
      <c r="K56" s="47">
        <f t="shared" si="13"/>
        <v>1</v>
      </c>
      <c r="L56" s="7">
        <f t="shared" si="14"/>
        <v>0</v>
      </c>
      <c r="M56" s="52">
        <f t="shared" si="15"/>
        <v>0</v>
      </c>
      <c r="N56" s="65"/>
      <c r="O56" s="52">
        <f t="shared" si="16"/>
        <v>0</v>
      </c>
      <c r="P56" s="65">
        <f t="shared" si="17"/>
        <v>40000</v>
      </c>
      <c r="Q56" s="48">
        <v>0</v>
      </c>
      <c r="R56" s="48">
        <f t="shared" si="18"/>
        <v>40000</v>
      </c>
      <c r="S56" s="8"/>
      <c r="T56" s="9"/>
      <c r="U56" s="8"/>
      <c r="V56" s="8"/>
      <c r="W56" s="9"/>
      <c r="X56" s="8"/>
      <c r="Y56" s="27"/>
      <c r="Z56" s="8"/>
      <c r="AA56" s="26"/>
      <c r="AB56" s="27"/>
      <c r="AC56" s="8"/>
      <c r="AD56" s="26"/>
      <c r="AE56" s="71"/>
      <c r="AF56" s="8"/>
      <c r="AG56" s="26"/>
      <c r="AH56" s="71"/>
      <c r="AI56" s="8"/>
      <c r="AJ56" s="26"/>
      <c r="AK56" s="71"/>
      <c r="AL56" s="8"/>
      <c r="AM56" s="26"/>
      <c r="AN56" s="71"/>
      <c r="AO56" s="55">
        <v>0</v>
      </c>
      <c r="AP56" s="26"/>
      <c r="AQ56" s="71"/>
      <c r="AR56" s="55">
        <v>30000</v>
      </c>
      <c r="AS56" s="68">
        <v>30000</v>
      </c>
      <c r="AT56" s="71"/>
      <c r="AU56" s="67">
        <v>0</v>
      </c>
      <c r="AV56" s="68"/>
      <c r="AW56" s="71">
        <v>40000</v>
      </c>
      <c r="AX56" s="67">
        <f>+IF((_xlfn.XLOOKUP($B56,'Curva S'!$B$2:$B$100,'Curva S'!$O$2:$O$100,0,0,1)*$I56-$J56)&lt;0,0,(_xlfn.XLOOKUP($B56,'Curva S'!$B$2:$B$100,'Curva S'!$O$2:$O$100,0,0,1)*$I56-$J56))</f>
        <v>0</v>
      </c>
      <c r="AY56" s="68"/>
      <c r="AZ56" s="71"/>
      <c r="BA56" s="67">
        <v>0</v>
      </c>
      <c r="BB56" s="68"/>
      <c r="BC56" s="70"/>
      <c r="BD56" s="68"/>
      <c r="BE56" s="71"/>
      <c r="BF56" s="68"/>
      <c r="BG56" s="71"/>
      <c r="BH56" s="67"/>
      <c r="BI56" s="71"/>
      <c r="BK56" s="103" t="str">
        <f t="shared" si="9"/>
        <v/>
      </c>
      <c r="BL56" s="103" t="str">
        <f t="shared" si="10"/>
        <v/>
      </c>
      <c r="BM56" s="103" t="str">
        <f t="shared" si="11"/>
        <v/>
      </c>
    </row>
    <row r="57" spans="1:65" ht="14.25" customHeight="1" x14ac:dyDescent="0.2">
      <c r="A57" s="2" t="str">
        <f>+_xlfn.XLOOKUP(B57,'[1]Proyectos (NO FILTRAR)'!$F:$F,'[1]Proyectos (NO FILTRAR)'!$B:$B,0,0,1)</f>
        <v>CH-BHP-OP-OTR00-085-A</v>
      </c>
      <c r="B57" s="5" t="s">
        <v>186</v>
      </c>
      <c r="C57" s="5" t="str">
        <f>+_xlfn.XLOOKUP(A57,'[1]Proyectos (NO FILTRAR)'!$B:$B,'[1]Proyectos (NO FILTRAR)'!$G:$G,"error",0,1)</f>
        <v>Chile</v>
      </c>
      <c r="D57" s="5" t="s">
        <v>27</v>
      </c>
      <c r="E57" s="5" t="s">
        <v>56</v>
      </c>
      <c r="F57" s="5" t="s">
        <v>62</v>
      </c>
      <c r="G57" s="14" t="s">
        <v>32</v>
      </c>
      <c r="H57" s="14" t="s">
        <v>31</v>
      </c>
      <c r="I57" s="6">
        <v>34950</v>
      </c>
      <c r="J57" s="51">
        <f t="shared" si="12"/>
        <v>34950</v>
      </c>
      <c r="K57" s="47">
        <f t="shared" si="13"/>
        <v>1</v>
      </c>
      <c r="L57" s="7">
        <f t="shared" si="14"/>
        <v>0</v>
      </c>
      <c r="M57" s="52">
        <f t="shared" si="15"/>
        <v>0</v>
      </c>
      <c r="N57" s="65"/>
      <c r="O57" s="52">
        <f t="shared" si="16"/>
        <v>0</v>
      </c>
      <c r="P57" s="65">
        <f t="shared" si="17"/>
        <v>34950</v>
      </c>
      <c r="Q57" s="48">
        <v>0</v>
      </c>
      <c r="R57" s="48">
        <f t="shared" si="18"/>
        <v>34950</v>
      </c>
      <c r="S57" s="8"/>
      <c r="T57" s="9"/>
      <c r="U57" s="8"/>
      <c r="V57" s="8"/>
      <c r="W57" s="9"/>
      <c r="X57" s="8"/>
      <c r="Y57" s="27"/>
      <c r="Z57" s="8"/>
      <c r="AA57" s="26"/>
      <c r="AB57" s="27"/>
      <c r="AC57" s="8"/>
      <c r="AD57" s="26"/>
      <c r="AE57" s="71"/>
      <c r="AF57" s="8"/>
      <c r="AG57" s="26"/>
      <c r="AH57" s="71"/>
      <c r="AI57" s="8"/>
      <c r="AJ57" s="26"/>
      <c r="AK57" s="71"/>
      <c r="AL57" s="8"/>
      <c r="AM57" s="26"/>
      <c r="AN57" s="71"/>
      <c r="AO57" s="55">
        <v>0</v>
      </c>
      <c r="AP57" s="26"/>
      <c r="AQ57" s="71">
        <v>34950</v>
      </c>
      <c r="AR57" s="55">
        <v>0</v>
      </c>
      <c r="AS57" s="68"/>
      <c r="AT57" s="71"/>
      <c r="AU57" s="67">
        <v>0</v>
      </c>
      <c r="AV57" s="68"/>
      <c r="AW57" s="71"/>
      <c r="AX57" s="67">
        <f>+IF((_xlfn.XLOOKUP($B57,'Curva S'!$B$2:$B$100,'Curva S'!$O$2:$O$100,0,0,1)*$I57-$J57)&lt;0,0,(_xlfn.XLOOKUP($B57,'Curva S'!$B$2:$B$100,'Curva S'!$O$2:$O$100,0,0,1)*$I57-$J57))</f>
        <v>0</v>
      </c>
      <c r="AY57" s="68"/>
      <c r="AZ57" s="71"/>
      <c r="BA57" s="67">
        <v>0</v>
      </c>
      <c r="BB57" s="68"/>
      <c r="BC57" s="70"/>
      <c r="BD57" s="68"/>
      <c r="BE57" s="71"/>
      <c r="BF57" s="68"/>
      <c r="BG57" s="71"/>
      <c r="BH57" s="67"/>
      <c r="BI57" s="71"/>
      <c r="BK57" s="103" t="str">
        <f t="shared" si="9"/>
        <v/>
      </c>
      <c r="BL57" s="103" t="str">
        <f t="shared" si="10"/>
        <v/>
      </c>
      <c r="BM57" s="103" t="str">
        <f t="shared" si="11"/>
        <v/>
      </c>
    </row>
    <row r="58" spans="1:65" ht="14.25" customHeight="1" x14ac:dyDescent="0.2">
      <c r="A58" s="2" t="str">
        <f>+_xlfn.XLOOKUP(B58,'[1]Proyectos (NO FILTRAR)'!$F:$F,'[1]Proyectos (NO FILTRAR)'!$B:$B,0,0,1)</f>
        <v>PE-MSR-GM-OTR00-092-A</v>
      </c>
      <c r="B58" s="5" t="s">
        <v>193</v>
      </c>
      <c r="C58" s="5" t="str">
        <f>+_xlfn.XLOOKUP(A58,'[1]Proyectos (NO FILTRAR)'!$B:$B,'[1]Proyectos (NO FILTRAR)'!$G:$G,"error",0,1)</f>
        <v>Perú</v>
      </c>
      <c r="D58" s="5" t="s">
        <v>27</v>
      </c>
      <c r="E58" s="5" t="s">
        <v>56</v>
      </c>
      <c r="F58" s="5" t="s">
        <v>162</v>
      </c>
      <c r="G58" s="14"/>
      <c r="H58" s="14" t="s">
        <v>39</v>
      </c>
      <c r="I58" s="6">
        <v>24551</v>
      </c>
      <c r="J58" s="51">
        <f t="shared" si="12"/>
        <v>24551</v>
      </c>
      <c r="K58" s="47">
        <f t="shared" si="13"/>
        <v>1</v>
      </c>
      <c r="L58" s="7">
        <f t="shared" si="14"/>
        <v>0</v>
      </c>
      <c r="M58" s="52">
        <f t="shared" si="15"/>
        <v>0</v>
      </c>
      <c r="N58" s="65"/>
      <c r="O58" s="52">
        <f t="shared" si="16"/>
        <v>0</v>
      </c>
      <c r="P58" s="65">
        <f t="shared" si="17"/>
        <v>24551</v>
      </c>
      <c r="Q58" s="48">
        <v>0</v>
      </c>
      <c r="R58" s="48">
        <f t="shared" si="18"/>
        <v>24551</v>
      </c>
      <c r="S58" s="8"/>
      <c r="T58" s="9"/>
      <c r="U58" s="8"/>
      <c r="V58" s="8"/>
      <c r="W58" s="9"/>
      <c r="X58" s="8"/>
      <c r="Y58" s="27"/>
      <c r="Z58" s="8"/>
      <c r="AA58" s="26"/>
      <c r="AB58" s="27"/>
      <c r="AC58" s="8"/>
      <c r="AD58" s="26"/>
      <c r="AE58" s="71"/>
      <c r="AF58" s="8"/>
      <c r="AG58" s="26"/>
      <c r="AH58" s="71"/>
      <c r="AI58" s="8"/>
      <c r="AJ58" s="26"/>
      <c r="AK58" s="71"/>
      <c r="AL58" s="8"/>
      <c r="AM58" s="26"/>
      <c r="AN58" s="71"/>
      <c r="AO58" s="55">
        <v>0</v>
      </c>
      <c r="AP58" s="26"/>
      <c r="AQ58" s="71"/>
      <c r="AR58" s="55">
        <v>0</v>
      </c>
      <c r="AS58" s="68"/>
      <c r="AT58" s="71"/>
      <c r="AU58" s="67">
        <v>0</v>
      </c>
      <c r="AV58" s="68"/>
      <c r="AW58" s="71">
        <v>24551</v>
      </c>
      <c r="AX58" s="67">
        <f>+IF((_xlfn.XLOOKUP($B58,'Curva S'!$B$2:$B$100,'Curva S'!$O$2:$O$100,0,0,1)*$I58-$J58)&lt;0,0,(_xlfn.XLOOKUP($B58,'Curva S'!$B$2:$B$100,'Curva S'!$O$2:$O$100,0,0,1)*$I58-$J58))</f>
        <v>0</v>
      </c>
      <c r="AY58" s="68"/>
      <c r="AZ58" s="71"/>
      <c r="BA58" s="67">
        <v>0</v>
      </c>
      <c r="BB58" s="68"/>
      <c r="BC58" s="70"/>
      <c r="BD58" s="68"/>
      <c r="BE58" s="71"/>
      <c r="BF58" s="68"/>
      <c r="BG58" s="71"/>
      <c r="BH58" s="67"/>
      <c r="BI58" s="71"/>
      <c r="BK58" s="103" t="str">
        <f t="shared" si="9"/>
        <v/>
      </c>
      <c r="BL58" s="103" t="str">
        <f t="shared" si="10"/>
        <v/>
      </c>
      <c r="BM58" s="103" t="str">
        <f t="shared" si="11"/>
        <v/>
      </c>
    </row>
    <row r="59" spans="1:65" ht="14.25" customHeight="1" x14ac:dyDescent="0.2">
      <c r="A59" s="2" t="str">
        <f>+_xlfn.XLOOKUP(B59,'[1]Proyectos (NO FILTRAR)'!$F:$F,'[1]Proyectos (NO FILTRAR)'!$B:$B,0,0,1)</f>
        <v>PE-MSR-CS-OTR00-090-A</v>
      </c>
      <c r="B59" s="5" t="s">
        <v>187</v>
      </c>
      <c r="C59" s="5" t="str">
        <f>+_xlfn.XLOOKUP(A59,'[1]Proyectos (NO FILTRAR)'!$B:$B,'[1]Proyectos (NO FILTRAR)'!$G:$G,"error",0,1)</f>
        <v>Perú</v>
      </c>
      <c r="D59" s="5" t="s">
        <v>27</v>
      </c>
      <c r="E59" s="5" t="s">
        <v>56</v>
      </c>
      <c r="F59" s="5" t="s">
        <v>162</v>
      </c>
      <c r="G59" s="14"/>
      <c r="H59" s="14" t="s">
        <v>39</v>
      </c>
      <c r="I59" s="6">
        <v>8262</v>
      </c>
      <c r="J59" s="51">
        <f t="shared" si="12"/>
        <v>8262</v>
      </c>
      <c r="K59" s="47">
        <f t="shared" si="13"/>
        <v>1</v>
      </c>
      <c r="L59" s="7">
        <f t="shared" si="14"/>
        <v>0</v>
      </c>
      <c r="M59" s="52">
        <f t="shared" si="15"/>
        <v>0</v>
      </c>
      <c r="N59" s="65"/>
      <c r="O59" s="52">
        <f t="shared" si="16"/>
        <v>0</v>
      </c>
      <c r="P59" s="65">
        <f t="shared" si="17"/>
        <v>8262</v>
      </c>
      <c r="Q59" s="48">
        <v>0</v>
      </c>
      <c r="R59" s="48">
        <f t="shared" si="18"/>
        <v>8262</v>
      </c>
      <c r="S59" s="8"/>
      <c r="T59" s="9"/>
      <c r="U59" s="8"/>
      <c r="V59" s="8"/>
      <c r="W59" s="9"/>
      <c r="X59" s="8"/>
      <c r="Y59" s="27"/>
      <c r="Z59" s="8"/>
      <c r="AA59" s="26"/>
      <c r="AB59" s="27"/>
      <c r="AC59" s="8"/>
      <c r="AD59" s="26"/>
      <c r="AE59" s="71"/>
      <c r="AF59" s="8"/>
      <c r="AG59" s="26"/>
      <c r="AH59" s="71"/>
      <c r="AI59" s="8"/>
      <c r="AJ59" s="26"/>
      <c r="AK59" s="71"/>
      <c r="AL59" s="8"/>
      <c r="AM59" s="26"/>
      <c r="AN59" s="71"/>
      <c r="AO59" s="55">
        <v>0</v>
      </c>
      <c r="AP59" s="26"/>
      <c r="AQ59" s="71">
        <v>8262</v>
      </c>
      <c r="AR59" s="55">
        <v>0</v>
      </c>
      <c r="AS59" s="68"/>
      <c r="AT59" s="71"/>
      <c r="AU59" s="67">
        <v>0</v>
      </c>
      <c r="AV59" s="68"/>
      <c r="AW59" s="71"/>
      <c r="AX59" s="67">
        <f>+IF((_xlfn.XLOOKUP($B59,'Curva S'!$B$2:$B$100,'Curva S'!$O$2:$O$100,0,0,1)*$I59-$J59)&lt;0,0,(_xlfn.XLOOKUP($B59,'Curva S'!$B$2:$B$100,'Curva S'!$O$2:$O$100,0,0,1)*$I59-$J59))</f>
        <v>0</v>
      </c>
      <c r="AY59" s="68"/>
      <c r="AZ59" s="71"/>
      <c r="BA59" s="67">
        <v>0</v>
      </c>
      <c r="BB59" s="68"/>
      <c r="BC59" s="70"/>
      <c r="BD59" s="68"/>
      <c r="BE59" s="71"/>
      <c r="BF59" s="68"/>
      <c r="BG59" s="71"/>
      <c r="BH59" s="67"/>
      <c r="BI59" s="71"/>
      <c r="BK59" s="103" t="str">
        <f t="shared" si="9"/>
        <v/>
      </c>
      <c r="BL59" s="103" t="str">
        <f t="shared" si="10"/>
        <v/>
      </c>
      <c r="BM59" s="103" t="str">
        <f t="shared" si="11"/>
        <v/>
      </c>
    </row>
    <row r="60" spans="1:65" ht="14.25" customHeight="1" x14ac:dyDescent="0.2">
      <c r="A60" s="2" t="str">
        <f>+_xlfn.XLOOKUP(B60,'[1]Proyectos (NO FILTRAR)'!$F:$F,'[1]Proyectos (NO FILTRAR)'!$B:$B,0,0,1)</f>
        <v>CH-CMP-OP-FEL03-010-A</v>
      </c>
      <c r="B60" s="5" t="s">
        <v>17</v>
      </c>
      <c r="C60" s="5" t="str">
        <f>+_xlfn.XLOOKUP(A60,'[1]Proyectos (NO FILTRAR)'!$B:$B,'[1]Proyectos (NO FILTRAR)'!$G:$G,"error",0,1)</f>
        <v>Chile</v>
      </c>
      <c r="D60" s="5" t="s">
        <v>27</v>
      </c>
      <c r="E60" s="5" t="s">
        <v>53</v>
      </c>
      <c r="F60" s="5"/>
      <c r="G60" s="5" t="s">
        <v>32</v>
      </c>
      <c r="H60" s="5" t="s">
        <v>40</v>
      </c>
      <c r="I60" s="6">
        <v>40233</v>
      </c>
      <c r="J60" s="51">
        <f t="shared" si="12"/>
        <v>40233</v>
      </c>
      <c r="K60" s="47">
        <f t="shared" si="13"/>
        <v>1</v>
      </c>
      <c r="L60" s="7">
        <f t="shared" si="14"/>
        <v>0</v>
      </c>
      <c r="M60" s="52">
        <f t="shared" si="15"/>
        <v>0</v>
      </c>
      <c r="N60" s="65"/>
      <c r="O60" s="52">
        <f t="shared" si="16"/>
        <v>0</v>
      </c>
      <c r="P60" s="65">
        <f t="shared" si="17"/>
        <v>40233</v>
      </c>
      <c r="Q60" s="48">
        <v>40233</v>
      </c>
      <c r="R60" s="48">
        <f t="shared" si="18"/>
        <v>0</v>
      </c>
      <c r="S60" s="8">
        <v>37831</v>
      </c>
      <c r="T60" s="9">
        <v>40233</v>
      </c>
      <c r="U60" s="8">
        <v>0</v>
      </c>
      <c r="V60" s="8">
        <v>0</v>
      </c>
      <c r="W60" s="9">
        <v>0</v>
      </c>
      <c r="X60" s="8">
        <v>0</v>
      </c>
      <c r="Y60" s="27"/>
      <c r="Z60" s="8">
        <v>0</v>
      </c>
      <c r="AA60" s="26">
        <v>0</v>
      </c>
      <c r="AB60" s="27"/>
      <c r="AC60" s="8">
        <v>0</v>
      </c>
      <c r="AD60" s="26"/>
      <c r="AE60" s="71"/>
      <c r="AF60" s="8">
        <v>0</v>
      </c>
      <c r="AG60" s="26"/>
      <c r="AH60" s="71"/>
      <c r="AI60" s="8">
        <v>0</v>
      </c>
      <c r="AJ60" s="26"/>
      <c r="AK60" s="71"/>
      <c r="AL60" s="8">
        <v>0</v>
      </c>
      <c r="AM60" s="26"/>
      <c r="AN60" s="71"/>
      <c r="AO60" s="55">
        <v>0</v>
      </c>
      <c r="AP60" s="26"/>
      <c r="AQ60" s="71"/>
      <c r="AR60" s="55">
        <v>0</v>
      </c>
      <c r="AS60" s="68"/>
      <c r="AT60" s="71"/>
      <c r="AU60" s="67">
        <v>0</v>
      </c>
      <c r="AV60" s="68"/>
      <c r="AW60" s="71"/>
      <c r="AX60" s="67">
        <f>+IF((_xlfn.XLOOKUP($B60,'Curva S'!$B$2:$B$100,'Curva S'!$O$2:$O$100,0,0,1)*$I60-$J60)&lt;0,0,(_xlfn.XLOOKUP($B60,'Curva S'!$B$2:$B$100,'Curva S'!$O$2:$O$100,0,0,1)*$I60-$J60))</f>
        <v>0</v>
      </c>
      <c r="AY60" s="68"/>
      <c r="AZ60" s="71"/>
      <c r="BA60" s="67">
        <v>0</v>
      </c>
      <c r="BB60" s="68"/>
      <c r="BC60" s="70"/>
      <c r="BD60" s="68"/>
      <c r="BE60" s="71"/>
      <c r="BF60" s="68"/>
      <c r="BG60" s="71"/>
      <c r="BH60" s="67"/>
      <c r="BI60" s="71"/>
      <c r="BK60" s="103" t="str">
        <f t="shared" si="9"/>
        <v/>
      </c>
      <c r="BL60" s="103" t="str">
        <f t="shared" si="10"/>
        <v/>
      </c>
      <c r="BM60" s="103" t="str">
        <f t="shared" si="11"/>
        <v/>
      </c>
    </row>
    <row r="61" spans="1:65" ht="14.25" customHeight="1" x14ac:dyDescent="0.2">
      <c r="A61" s="2" t="str">
        <f>+_xlfn.XLOOKUP(B61,'[1]Proyectos (NO FILTRAR)'!$F:$F,'[1]Proyectos (NO FILTRAR)'!$B:$B,0,0,1)</f>
        <v>CH-CMP-OP-OTR00-084-A</v>
      </c>
      <c r="B61" s="98" t="s">
        <v>195</v>
      </c>
      <c r="C61" s="5" t="str">
        <f>+_xlfn.XLOOKUP(A61,'[1]Proyectos (NO FILTRAR)'!$B:$B,'[1]Proyectos (NO FILTRAR)'!$G:$G,"error",0,1)</f>
        <v>Chile</v>
      </c>
      <c r="D61" s="5" t="s">
        <v>27</v>
      </c>
      <c r="E61" s="5" t="s">
        <v>56</v>
      </c>
      <c r="F61" s="5" t="s">
        <v>104</v>
      </c>
      <c r="G61" s="14"/>
      <c r="H61" s="14" t="s">
        <v>39</v>
      </c>
      <c r="I61" s="6">
        <f>+_xlfn.XLOOKUP(B61,'[1]Proyectos (NO FILTRAR)'!$F:$F,'[1]Proyectos (NO FILTRAR)'!$O:$O,"!",0,1)</f>
        <v>62985</v>
      </c>
      <c r="J61" s="51">
        <f t="shared" si="12"/>
        <v>61149</v>
      </c>
      <c r="K61" s="47">
        <f t="shared" si="13"/>
        <v>0.97085020242914977</v>
      </c>
      <c r="L61" s="98">
        <f t="shared" si="14"/>
        <v>1836</v>
      </c>
      <c r="M61" s="52">
        <f t="shared" si="15"/>
        <v>2.9149797570850202E-2</v>
      </c>
      <c r="N61" s="65"/>
      <c r="O61" s="52">
        <f t="shared" si="16"/>
        <v>0</v>
      </c>
      <c r="P61" s="65">
        <f t="shared" si="17"/>
        <v>62985</v>
      </c>
      <c r="Q61" s="48">
        <v>0</v>
      </c>
      <c r="R61" s="48">
        <f t="shared" si="18"/>
        <v>62985</v>
      </c>
      <c r="S61" s="8"/>
      <c r="T61" s="9"/>
      <c r="U61" s="8"/>
      <c r="V61" s="8"/>
      <c r="W61" s="9"/>
      <c r="X61" s="8"/>
      <c r="Y61" s="27"/>
      <c r="Z61" s="8"/>
      <c r="AA61" s="26"/>
      <c r="AB61" s="27"/>
      <c r="AC61" s="8"/>
      <c r="AD61" s="26"/>
      <c r="AE61" s="71"/>
      <c r="AF61" s="8"/>
      <c r="AG61" s="26"/>
      <c r="AH61" s="71"/>
      <c r="AI61" s="8"/>
      <c r="AJ61" s="26"/>
      <c r="AK61" s="71"/>
      <c r="AL61" s="8"/>
      <c r="AM61" s="26"/>
      <c r="AN61" s="71"/>
      <c r="AO61" s="55">
        <v>0</v>
      </c>
      <c r="AP61" s="26"/>
      <c r="AQ61" s="71"/>
      <c r="AR61" s="55">
        <v>0</v>
      </c>
      <c r="AS61" s="68">
        <v>0</v>
      </c>
      <c r="AT61" s="71"/>
      <c r="AU61" s="67">
        <v>0</v>
      </c>
      <c r="AV61" s="68">
        <v>28800</v>
      </c>
      <c r="AW61" s="71">
        <v>26563</v>
      </c>
      <c r="AX61" s="67">
        <f>+IF((_xlfn.XLOOKUP($B61,'Curva S'!$B$2:$B$100,'Curva S'!$O$2:$O$100,0,0,1)*$I61-$J61)&lt;0,0,(_xlfn.XLOOKUP($B61,'Curva S'!$B$2:$B$100,'Curva S'!$O$2:$O$100,0,0,1)*$I61-$J61))</f>
        <v>0</v>
      </c>
      <c r="AY61" s="68"/>
      <c r="AZ61" s="71"/>
      <c r="BA61" s="67">
        <v>0</v>
      </c>
      <c r="BB61" s="68"/>
      <c r="BC61" s="70"/>
      <c r="BD61" s="68"/>
      <c r="BE61" s="71">
        <v>34586</v>
      </c>
      <c r="BF61" s="68"/>
      <c r="BG61" s="71"/>
      <c r="BH61" s="68"/>
      <c r="BI61" s="71"/>
      <c r="BK61" s="103">
        <f t="shared" si="9"/>
        <v>1</v>
      </c>
      <c r="BL61" s="103" t="str">
        <f t="shared" si="10"/>
        <v/>
      </c>
      <c r="BM61" s="103" t="str">
        <f t="shared" si="11"/>
        <v/>
      </c>
    </row>
    <row r="62" spans="1:65" ht="14.25" customHeight="1" x14ac:dyDescent="0.2">
      <c r="A62" s="2" t="str">
        <f>+_xlfn.XLOOKUP(B62,'[1]Proyectos (NO FILTRAR)'!$F:$F,'[1]Proyectos (NO FILTRAR)'!$B:$B,0,0,1)</f>
        <v>CH-CMP-UG-FEL03-093-A</v>
      </c>
      <c r="B62" s="5" t="s">
        <v>196</v>
      </c>
      <c r="C62" s="5" t="str">
        <f>+_xlfn.XLOOKUP(A62,'[1]Proyectos (NO FILTRAR)'!$B:$B,'[1]Proyectos (NO FILTRAR)'!$G:$G,"error",0,1)</f>
        <v>Chile</v>
      </c>
      <c r="D62" s="5" t="s">
        <v>27</v>
      </c>
      <c r="E62" s="5" t="s">
        <v>56</v>
      </c>
      <c r="F62" s="5" t="s">
        <v>30</v>
      </c>
      <c r="G62" s="14"/>
      <c r="H62" s="14" t="s">
        <v>50</v>
      </c>
      <c r="I62" s="6">
        <f>+_xlfn.XLOOKUP(B62,'[1]Proyectos (NO FILTRAR)'!$F:$F,'[1]Proyectos (NO FILTRAR)'!$O:$O,"!",0,1)</f>
        <v>900007.88</v>
      </c>
      <c r="J62" s="51">
        <f t="shared" si="12"/>
        <v>769067.03</v>
      </c>
      <c r="K62" s="47">
        <f t="shared" si="13"/>
        <v>0.85451144049983208</v>
      </c>
      <c r="L62" s="7">
        <f t="shared" si="14"/>
        <v>130940.84999999998</v>
      </c>
      <c r="M62" s="52">
        <f t="shared" si="15"/>
        <v>0.1454885595001679</v>
      </c>
      <c r="N62" s="65"/>
      <c r="O62" s="52">
        <f t="shared" si="16"/>
        <v>0</v>
      </c>
      <c r="P62" s="65">
        <f t="shared" si="17"/>
        <v>900007.88</v>
      </c>
      <c r="Q62" s="48">
        <v>0</v>
      </c>
      <c r="R62" s="48">
        <f t="shared" si="18"/>
        <v>900007.88</v>
      </c>
      <c r="S62" s="8"/>
      <c r="T62" s="9"/>
      <c r="U62" s="8"/>
      <c r="V62" s="8"/>
      <c r="W62" s="9"/>
      <c r="X62" s="8"/>
      <c r="Y62" s="27"/>
      <c r="Z62" s="8"/>
      <c r="AA62" s="26"/>
      <c r="AB62" s="27"/>
      <c r="AC62" s="8"/>
      <c r="AD62" s="26"/>
      <c r="AE62" s="71"/>
      <c r="AF62" s="8"/>
      <c r="AG62" s="26"/>
      <c r="AH62" s="71"/>
      <c r="AI62" s="8"/>
      <c r="AJ62" s="26"/>
      <c r="AK62" s="71"/>
      <c r="AL62" s="8"/>
      <c r="AM62" s="26"/>
      <c r="AN62" s="71"/>
      <c r="AO62" s="55">
        <v>0</v>
      </c>
      <c r="AP62" s="26"/>
      <c r="AQ62" s="71"/>
      <c r="AR62" s="55">
        <v>0</v>
      </c>
      <c r="AS62" s="68">
        <v>0</v>
      </c>
      <c r="AT62" s="71"/>
      <c r="AU62" s="67">
        <v>0</v>
      </c>
      <c r="AV62" s="68">
        <v>140000</v>
      </c>
      <c r="AW62" s="71">
        <v>135485</v>
      </c>
      <c r="AX62" s="67">
        <f>+IF((_xlfn.XLOOKUP($B62,'Curva S'!$B$2:$B$100,'Curva S'!$O$2:$O$100,0,0,1)*$I62-$J62)&lt;0,0,(_xlfn.XLOOKUP($B62,'Curva S'!$B$2:$B$100,'Curva S'!$O$2:$O$100,0,0,1)*$I62-$J62))</f>
        <v>0</v>
      </c>
      <c r="AY62" s="68"/>
      <c r="AZ62" s="71">
        <v>237714</v>
      </c>
      <c r="BA62" s="67">
        <v>0</v>
      </c>
      <c r="BB62" s="68"/>
      <c r="BC62" s="70">
        <v>108299</v>
      </c>
      <c r="BD62" s="68">
        <v>120000</v>
      </c>
      <c r="BE62" s="71">
        <v>86735</v>
      </c>
      <c r="BF62" s="68">
        <v>85000</v>
      </c>
      <c r="BG62" s="101">
        <v>81961.67</v>
      </c>
      <c r="BH62" s="67">
        <f>_xlfn.XLOOKUP(A62,'[3]Resumen POM'!$I:$I,'[3]Resumen POM'!$D:$D,"",0,1)</f>
        <v>120000</v>
      </c>
      <c r="BI62" s="71">
        <v>118872.36</v>
      </c>
      <c r="BK62" s="103">
        <f t="shared" si="9"/>
        <v>0.72279166666666672</v>
      </c>
      <c r="BL62" s="103">
        <f t="shared" si="10"/>
        <v>0.96425494117647059</v>
      </c>
      <c r="BM62" s="103">
        <f t="shared" si="11"/>
        <v>0.99060300000000001</v>
      </c>
    </row>
    <row r="63" spans="1:65" ht="14.25" customHeight="1" x14ac:dyDescent="0.2">
      <c r="A63" s="2" t="str">
        <f>+_xlfn.XLOOKUP(B63,'[1]Proyectos (NO FILTRAR)'!$F:$F,'[1]Proyectos (NO FILTRAR)'!$B:$B,0,0,1)</f>
        <v>OT-EMX-CS-OTR00-091-A</v>
      </c>
      <c r="B63" s="5" t="s">
        <v>204</v>
      </c>
      <c r="C63" s="5" t="str">
        <f>+_xlfn.XLOOKUP(A63,'[1]Proyectos (NO FILTRAR)'!$B:$B,'[1]Proyectos (NO FILTRAR)'!$G:$G,"error",0,1)</f>
        <v>Otros</v>
      </c>
      <c r="D63" s="5" t="s">
        <v>27</v>
      </c>
      <c r="E63" s="5" t="s">
        <v>56</v>
      </c>
      <c r="F63" s="5" t="s">
        <v>28</v>
      </c>
      <c r="G63" s="14"/>
      <c r="H63" s="14" t="s">
        <v>213</v>
      </c>
      <c r="I63" s="6">
        <f>+_xlfn.XLOOKUP(B63,'[1]Proyectos (NO FILTRAR)'!$F:$F,'[1]Proyectos (NO FILTRAR)'!$O:$O,"!",0,1)</f>
        <v>14850</v>
      </c>
      <c r="J63" s="51">
        <f t="shared" si="12"/>
        <v>14850</v>
      </c>
      <c r="K63" s="47">
        <f t="shared" si="13"/>
        <v>1</v>
      </c>
      <c r="L63" s="7">
        <f t="shared" si="14"/>
        <v>0</v>
      </c>
      <c r="M63" s="52">
        <f t="shared" si="15"/>
        <v>0</v>
      </c>
      <c r="N63" s="65"/>
      <c r="O63" s="52">
        <f t="shared" si="16"/>
        <v>0</v>
      </c>
      <c r="P63" s="65">
        <f t="shared" si="17"/>
        <v>14850</v>
      </c>
      <c r="Q63" s="48">
        <v>0</v>
      </c>
      <c r="R63" s="48">
        <f t="shared" si="18"/>
        <v>14850</v>
      </c>
      <c r="S63" s="8"/>
      <c r="T63" s="9"/>
      <c r="U63" s="8"/>
      <c r="V63" s="8"/>
      <c r="W63" s="9"/>
      <c r="X63" s="8"/>
      <c r="Y63" s="27"/>
      <c r="Z63" s="8"/>
      <c r="AA63" s="26"/>
      <c r="AB63" s="27"/>
      <c r="AC63" s="8"/>
      <c r="AD63" s="26"/>
      <c r="AE63" s="71"/>
      <c r="AF63" s="8"/>
      <c r="AG63" s="26"/>
      <c r="AH63" s="71"/>
      <c r="AI63" s="8"/>
      <c r="AJ63" s="26"/>
      <c r="AK63" s="71"/>
      <c r="AL63" s="8"/>
      <c r="AM63" s="26"/>
      <c r="AN63" s="71"/>
      <c r="AO63" s="55"/>
      <c r="AP63" s="26"/>
      <c r="AQ63" s="71"/>
      <c r="AR63" s="55">
        <v>0</v>
      </c>
      <c r="AS63" s="68">
        <v>15000</v>
      </c>
      <c r="AT63" s="71">
        <v>14850</v>
      </c>
      <c r="AU63" s="67">
        <v>0</v>
      </c>
      <c r="AV63" s="68"/>
      <c r="AW63" s="71"/>
      <c r="AX63" s="67">
        <f>+IF((_xlfn.XLOOKUP($B63,'Curva S'!$B$2:$B$100,'Curva S'!$O$2:$O$100,0,0,1)*$I63-$J63)&lt;0,0,(_xlfn.XLOOKUP($B63,'Curva S'!$B$2:$B$100,'Curva S'!$O$2:$O$100,0,0,1)*$I63-$J63))</f>
        <v>0</v>
      </c>
      <c r="AY63" s="68"/>
      <c r="AZ63" s="71"/>
      <c r="BA63" s="67">
        <v>0</v>
      </c>
      <c r="BB63" s="68"/>
      <c r="BC63" s="70"/>
      <c r="BD63" s="68"/>
      <c r="BE63" s="71"/>
      <c r="BF63" s="68"/>
      <c r="BG63" s="71"/>
      <c r="BH63" s="67"/>
      <c r="BI63" s="71"/>
      <c r="BK63" s="103" t="str">
        <f t="shared" si="9"/>
        <v/>
      </c>
      <c r="BL63" s="103" t="str">
        <f t="shared" si="10"/>
        <v/>
      </c>
      <c r="BM63" s="103" t="str">
        <f t="shared" si="11"/>
        <v/>
      </c>
    </row>
    <row r="64" spans="1:65" ht="14.25" customHeight="1" x14ac:dyDescent="0.2">
      <c r="A64" s="2" t="str">
        <f>+_xlfn.XLOOKUP(B64,'[1]Proyectos (NO FILTRAR)'!$F:$F,'[1]Proyectos (NO FILTRAR)'!$B:$B,0,0,1)</f>
        <v>CH-MCI-OP-OTR00-089-A</v>
      </c>
      <c r="B64" s="5" t="s">
        <v>205</v>
      </c>
      <c r="C64" s="5" t="str">
        <f>+_xlfn.XLOOKUP(A64,'[1]Proyectos (NO FILTRAR)'!$B:$B,'[1]Proyectos (NO FILTRAR)'!$G:$G,"error",0,1)</f>
        <v>Chile</v>
      </c>
      <c r="D64" s="5" t="s">
        <v>27</v>
      </c>
      <c r="E64" s="5" t="s">
        <v>56</v>
      </c>
      <c r="F64" s="5" t="s">
        <v>104</v>
      </c>
      <c r="G64" s="14"/>
      <c r="H64" s="14" t="s">
        <v>39</v>
      </c>
      <c r="I64" s="6">
        <f>+_xlfn.XLOOKUP(B64,'[1]Proyectos (NO FILTRAR)'!$F:$F,'[1]Proyectos (NO FILTRAR)'!$O:$O,"!",0,1)</f>
        <v>239000</v>
      </c>
      <c r="J64" s="51">
        <f t="shared" si="12"/>
        <v>215280</v>
      </c>
      <c r="K64" s="47">
        <f t="shared" si="13"/>
        <v>0.90075313807531376</v>
      </c>
      <c r="L64" s="7">
        <f t="shared" si="14"/>
        <v>23720</v>
      </c>
      <c r="M64" s="52">
        <f t="shared" si="15"/>
        <v>9.9246861924686194E-2</v>
      </c>
      <c r="N64" s="65"/>
      <c r="O64" s="52">
        <f t="shared" si="16"/>
        <v>0</v>
      </c>
      <c r="P64" s="65">
        <f t="shared" si="17"/>
        <v>239000</v>
      </c>
      <c r="Q64" s="48">
        <v>0</v>
      </c>
      <c r="R64" s="48">
        <f t="shared" si="18"/>
        <v>239000</v>
      </c>
      <c r="S64" s="8"/>
      <c r="T64" s="9"/>
      <c r="U64" s="8"/>
      <c r="V64" s="8"/>
      <c r="W64" s="9"/>
      <c r="X64" s="8"/>
      <c r="Y64" s="27"/>
      <c r="Z64" s="8"/>
      <c r="AA64" s="26"/>
      <c r="AB64" s="27"/>
      <c r="AC64" s="8"/>
      <c r="AD64" s="26"/>
      <c r="AE64" s="71"/>
      <c r="AF64" s="8"/>
      <c r="AG64" s="26"/>
      <c r="AH64" s="71"/>
      <c r="AI64" s="8"/>
      <c r="AJ64" s="26"/>
      <c r="AK64" s="71"/>
      <c r="AL64" s="8"/>
      <c r="AM64" s="26"/>
      <c r="AN64" s="71"/>
      <c r="AO64" s="55"/>
      <c r="AP64" s="26"/>
      <c r="AQ64" s="71"/>
      <c r="AR64" s="55"/>
      <c r="AS64" s="68"/>
      <c r="AT64" s="71">
        <v>71760</v>
      </c>
      <c r="AU64" s="67">
        <v>69250</v>
      </c>
      <c r="AV64" s="68"/>
      <c r="AW64" s="71"/>
      <c r="AX64" s="67">
        <f>+IF((_xlfn.XLOOKUP($B64,'Curva S'!$B$2:$B$100,'Curva S'!$O$2:$O$100,0,0,1)*$I64-$J64)&lt;0,0,(_xlfn.XLOOKUP($B64,'Curva S'!$B$2:$B$100,'Curva S'!$O$2:$O$100,0,0,1)*$I64-$J64))</f>
        <v>0</v>
      </c>
      <c r="AY64" s="68"/>
      <c r="AZ64" s="71"/>
      <c r="BA64" s="67">
        <v>167240</v>
      </c>
      <c r="BB64" s="68"/>
      <c r="BC64" s="70">
        <v>71760</v>
      </c>
      <c r="BD64" s="68"/>
      <c r="BE64" s="71">
        <v>71760</v>
      </c>
      <c r="BF64" s="68"/>
      <c r="BG64" s="71"/>
      <c r="BH64" s="67">
        <f>_xlfn.XLOOKUP(A64,'[3]Resumen POM'!$I:$I,'[3]Resumen POM'!$D:$D,"",0,1)</f>
        <v>23500</v>
      </c>
      <c r="BI64" s="71"/>
      <c r="BK64" s="103">
        <f t="shared" si="9"/>
        <v>1</v>
      </c>
      <c r="BL64" s="103" t="str">
        <f t="shared" si="10"/>
        <v/>
      </c>
      <c r="BM64" s="103">
        <f t="shared" si="11"/>
        <v>0</v>
      </c>
    </row>
    <row r="65" spans="1:65" ht="14.25" customHeight="1" x14ac:dyDescent="0.2">
      <c r="A65" s="2" t="str">
        <f>+_xlfn.XLOOKUP(B65,'[1]Proyectos (NO FILTRAR)'!$F:$F,'[1]Proyectos (NO FILTRAR)'!$B:$B,0,0,1)</f>
        <v>PE-MSR-UG-FEL00-086-A</v>
      </c>
      <c r="B65" s="5" t="s">
        <v>217</v>
      </c>
      <c r="C65" s="5" t="str">
        <f>+_xlfn.XLOOKUP(A65,'[1]Proyectos (NO FILTRAR)'!$B:$B,'[1]Proyectos (NO FILTRAR)'!$G:$G,"error",0,1)</f>
        <v>Perú</v>
      </c>
      <c r="D65" s="5" t="s">
        <v>27</v>
      </c>
      <c r="E65" s="5" t="s">
        <v>56</v>
      </c>
      <c r="F65" s="5" t="s">
        <v>62</v>
      </c>
      <c r="G65" s="14"/>
      <c r="H65" s="14" t="s">
        <v>38</v>
      </c>
      <c r="I65" s="6">
        <v>95282.87</v>
      </c>
      <c r="J65" s="51">
        <f t="shared" si="12"/>
        <v>95282.87</v>
      </c>
      <c r="K65" s="47">
        <f t="shared" si="13"/>
        <v>1</v>
      </c>
      <c r="L65" s="7">
        <f t="shared" si="14"/>
        <v>0</v>
      </c>
      <c r="M65" s="52">
        <f t="shared" si="15"/>
        <v>0</v>
      </c>
      <c r="N65" s="65"/>
      <c r="O65" s="52">
        <f t="shared" si="16"/>
        <v>0</v>
      </c>
      <c r="P65" s="65">
        <f t="shared" si="17"/>
        <v>95282.87</v>
      </c>
      <c r="Q65" s="48">
        <v>0</v>
      </c>
      <c r="R65" s="48">
        <f t="shared" si="18"/>
        <v>95282.87</v>
      </c>
      <c r="S65" s="8"/>
      <c r="T65" s="9"/>
      <c r="U65" s="8"/>
      <c r="V65" s="8"/>
      <c r="W65" s="9"/>
      <c r="X65" s="8"/>
      <c r="Y65" s="27"/>
      <c r="Z65" s="8"/>
      <c r="AA65" s="26"/>
      <c r="AB65" s="27"/>
      <c r="AC65" s="8"/>
      <c r="AD65" s="26"/>
      <c r="AE65" s="71"/>
      <c r="AF65" s="8"/>
      <c r="AG65" s="26"/>
      <c r="AH65" s="71"/>
      <c r="AI65" s="8"/>
      <c r="AJ65" s="26"/>
      <c r="AK65" s="71"/>
      <c r="AL65" s="8"/>
      <c r="AM65" s="26"/>
      <c r="AN65" s="71"/>
      <c r="AO65" s="55"/>
      <c r="AP65" s="26"/>
      <c r="AQ65" s="71"/>
      <c r="AR65" s="55"/>
      <c r="AS65" s="68"/>
      <c r="AT65" s="71"/>
      <c r="AU65" s="67">
        <v>0</v>
      </c>
      <c r="AV65" s="68"/>
      <c r="AW65" s="71">
        <v>84801.87</v>
      </c>
      <c r="AX65" s="67">
        <f>+IF((_xlfn.XLOOKUP($B65,'Curva S'!$B$2:$B$100,'Curva S'!$O$2:$O$100,0,0,1)*$I65-$J65)&lt;0,0,(_xlfn.XLOOKUP($B65,'Curva S'!$B$2:$B$100,'Curva S'!$O$2:$O$100,0,0,1)*$I65-$J65))</f>
        <v>0</v>
      </c>
      <c r="AY65" s="68"/>
      <c r="AZ65" s="71">
        <v>10481</v>
      </c>
      <c r="BA65" s="67">
        <v>0</v>
      </c>
      <c r="BB65" s="68"/>
      <c r="BC65" s="70"/>
      <c r="BD65" s="68"/>
      <c r="BE65" s="71"/>
      <c r="BF65" s="68"/>
      <c r="BG65" s="71"/>
      <c r="BH65" s="67"/>
      <c r="BI65" s="71"/>
      <c r="BK65" s="103" t="str">
        <f t="shared" si="9"/>
        <v/>
      </c>
      <c r="BL65" s="103" t="str">
        <f t="shared" si="10"/>
        <v/>
      </c>
      <c r="BM65" s="103" t="str">
        <f t="shared" si="11"/>
        <v/>
      </c>
    </row>
    <row r="66" spans="1:65" ht="14.25" customHeight="1" x14ac:dyDescent="0.2">
      <c r="A66" s="2" t="str">
        <f>+_xlfn.XLOOKUP(B66,'[1]Proyectos (NO FILTRAR)'!$F:$F,'[1]Proyectos (NO FILTRAR)'!$B:$B,0,0,1)</f>
        <v>OT-EMX-CS-OTR00-087-A</v>
      </c>
      <c r="B66" s="5" t="s">
        <v>218</v>
      </c>
      <c r="C66" s="5" t="str">
        <f>+_xlfn.XLOOKUP(A66,'[1]Proyectos (NO FILTRAR)'!$B:$B,'[1]Proyectos (NO FILTRAR)'!$G:$G,"error",0,1)</f>
        <v>Otros</v>
      </c>
      <c r="D66" s="5" t="s">
        <v>27</v>
      </c>
      <c r="E66" s="5" t="s">
        <v>56</v>
      </c>
      <c r="F66" s="5" t="s">
        <v>213</v>
      </c>
      <c r="G66" s="14"/>
      <c r="H66" s="14" t="s">
        <v>62</v>
      </c>
      <c r="I66" s="6">
        <f>+_xlfn.XLOOKUP(B66,'[1]Proyectos (NO FILTRAR)'!$F:$F,'[1]Proyectos (NO FILTRAR)'!$O:$O,"!",0,1)</f>
        <v>159694</v>
      </c>
      <c r="J66" s="51">
        <f t="shared" si="12"/>
        <v>159694</v>
      </c>
      <c r="K66" s="47">
        <f t="shared" si="13"/>
        <v>1</v>
      </c>
      <c r="L66" s="7">
        <f t="shared" si="14"/>
        <v>0</v>
      </c>
      <c r="M66" s="52">
        <f t="shared" si="15"/>
        <v>0</v>
      </c>
      <c r="N66" s="65"/>
      <c r="O66" s="52">
        <f t="shared" si="16"/>
        <v>0</v>
      </c>
      <c r="P66" s="65">
        <f t="shared" si="17"/>
        <v>159694</v>
      </c>
      <c r="Q66" s="48">
        <v>0</v>
      </c>
      <c r="R66" s="48">
        <f t="shared" si="18"/>
        <v>159694</v>
      </c>
      <c r="S66" s="8"/>
      <c r="T66" s="9"/>
      <c r="U66" s="8"/>
      <c r="V66" s="8"/>
      <c r="W66" s="9"/>
      <c r="X66" s="8"/>
      <c r="Y66" s="27"/>
      <c r="Z66" s="8"/>
      <c r="AA66" s="26"/>
      <c r="AB66" s="27"/>
      <c r="AC66" s="8"/>
      <c r="AD66" s="26"/>
      <c r="AE66" s="71"/>
      <c r="AF66" s="8"/>
      <c r="AG66" s="26"/>
      <c r="AH66" s="71"/>
      <c r="AI66" s="8"/>
      <c r="AJ66" s="26"/>
      <c r="AK66" s="71"/>
      <c r="AL66" s="8"/>
      <c r="AM66" s="26"/>
      <c r="AN66" s="71"/>
      <c r="AO66" s="55"/>
      <c r="AP66" s="26"/>
      <c r="AQ66" s="71"/>
      <c r="AR66" s="55"/>
      <c r="AS66" s="68"/>
      <c r="AT66" s="71"/>
      <c r="AU66" s="67">
        <v>0</v>
      </c>
      <c r="AV66" s="68"/>
      <c r="AW66" s="71">
        <v>26649</v>
      </c>
      <c r="AX66" s="67">
        <f>+IF((_xlfn.XLOOKUP($B66,'Curva S'!$B$2:$B$100,'Curva S'!$O$2:$O$100,0,0,1)*$I66-$J66)&lt;0,0,(_xlfn.XLOOKUP($B66,'Curva S'!$B$2:$B$100,'Curva S'!$O$2:$O$100,0,0,1)*$I66-$J66))</f>
        <v>0</v>
      </c>
      <c r="AY66" s="68"/>
      <c r="AZ66" s="71">
        <v>133045</v>
      </c>
      <c r="BA66" s="67">
        <v>0</v>
      </c>
      <c r="BB66" s="68"/>
      <c r="BC66" s="70"/>
      <c r="BD66" s="68"/>
      <c r="BE66" s="71"/>
      <c r="BF66" s="68"/>
      <c r="BG66" s="71"/>
      <c r="BH66" s="67"/>
      <c r="BI66" s="71"/>
      <c r="BK66" s="103" t="str">
        <f t="shared" si="9"/>
        <v/>
      </c>
      <c r="BL66" s="103" t="str">
        <f t="shared" si="10"/>
        <v/>
      </c>
      <c r="BM66" s="103" t="str">
        <f t="shared" si="11"/>
        <v/>
      </c>
    </row>
    <row r="67" spans="1:65" ht="14.25" customHeight="1" x14ac:dyDescent="0.2">
      <c r="A67" s="2" t="str">
        <f>+_xlfn.XLOOKUP(B67,'[1]Proyectos (NO FILTRAR)'!$F:$F,'[1]Proyectos (NO FILTRAR)'!$B:$B,0,0,1)</f>
        <v>OT-IEL-UG-FEL2A-088-A</v>
      </c>
      <c r="B67" s="98" t="s">
        <v>219</v>
      </c>
      <c r="C67" s="5" t="str">
        <f>+_xlfn.XLOOKUP(A67,'[1]Proyectos (NO FILTRAR)'!$B:$B,'[1]Proyectos (NO FILTRAR)'!$G:$G,"error",0,1)</f>
        <v>Otros</v>
      </c>
      <c r="D67" s="5" t="s">
        <v>27</v>
      </c>
      <c r="E67" s="5" t="s">
        <v>56</v>
      </c>
      <c r="F67" s="5" t="s">
        <v>62</v>
      </c>
      <c r="G67" s="14"/>
      <c r="H67" s="14" t="s">
        <v>41</v>
      </c>
      <c r="I67" s="6">
        <f>+_xlfn.XLOOKUP(B67,'[1]Proyectos (NO FILTRAR)'!$F:$F,'[1]Proyectos (NO FILTRAR)'!$O:$O,"!",0,1)</f>
        <v>196720</v>
      </c>
      <c r="J67" s="51">
        <f t="shared" ref="J67:J99" si="19">+Q67+AE67+AH67+AK67+AN67+AQ67+AT67+AW67+AZ67+BC67+BE67+BG67+BI67</f>
        <v>155307</v>
      </c>
      <c r="K67" s="47">
        <f t="shared" ref="K67:K100" si="20">+IFERROR(J67/I67,0)</f>
        <v>0.78948251321675478</v>
      </c>
      <c r="L67" s="98">
        <f t="shared" ref="L67:L73" si="21">+I67-J67</f>
        <v>41413</v>
      </c>
      <c r="M67" s="52">
        <f t="shared" ref="M67:M73" si="22">+IFERROR(L67/I67,0)</f>
        <v>0.21051748678324522</v>
      </c>
      <c r="N67" s="65"/>
      <c r="O67" s="52">
        <f t="shared" ref="O67:O100" si="23">IFERROR(N67/I67,0)</f>
        <v>0</v>
      </c>
      <c r="P67" s="65">
        <f t="shared" ref="P67:P73" si="24">+I67-N67</f>
        <v>196720</v>
      </c>
      <c r="Q67" s="48">
        <v>0</v>
      </c>
      <c r="R67" s="48">
        <f t="shared" ref="R67:R73" si="25">+I67-Q67</f>
        <v>196720</v>
      </c>
      <c r="S67" s="8"/>
      <c r="T67" s="9"/>
      <c r="U67" s="8"/>
      <c r="V67" s="8"/>
      <c r="W67" s="9"/>
      <c r="X67" s="8"/>
      <c r="Y67" s="27"/>
      <c r="Z67" s="8"/>
      <c r="AA67" s="26"/>
      <c r="AB67" s="27"/>
      <c r="AC67" s="8"/>
      <c r="AD67" s="26"/>
      <c r="AE67" s="71"/>
      <c r="AF67" s="8"/>
      <c r="AG67" s="26"/>
      <c r="AH67" s="71"/>
      <c r="AI67" s="8"/>
      <c r="AJ67" s="26"/>
      <c r="AK67" s="71"/>
      <c r="AL67" s="8"/>
      <c r="AM67" s="26"/>
      <c r="AN67" s="71"/>
      <c r="AO67" s="55"/>
      <c r="AP67" s="26"/>
      <c r="AQ67" s="71"/>
      <c r="AR67" s="55"/>
      <c r="AS67" s="68"/>
      <c r="AT67" s="71"/>
      <c r="AU67" s="67">
        <v>0</v>
      </c>
      <c r="AV67" s="68"/>
      <c r="AW67" s="71">
        <f>16776+21370</f>
        <v>38146</v>
      </c>
      <c r="AX67" s="67">
        <f>+IF((_xlfn.XLOOKUP($B67,'Curva S'!$B$2:$B$100,'Curva S'!$O$2:$O$100,0,0,1)*$I67-$J67)&lt;0,0,(_xlfn.XLOOKUP($B67,'Curva S'!$B$2:$B$100,'Curva S'!$O$2:$O$100,0,0,1)*$I67-$J67))</f>
        <v>0</v>
      </c>
      <c r="AY67" s="68"/>
      <c r="AZ67" s="71">
        <v>24596</v>
      </c>
      <c r="BA67" s="67">
        <v>0</v>
      </c>
      <c r="BB67" s="68"/>
      <c r="BC67" s="70">
        <v>45925</v>
      </c>
      <c r="BD67" s="68"/>
      <c r="BE67" s="71">
        <v>46640</v>
      </c>
      <c r="BF67" s="68"/>
      <c r="BG67" s="71"/>
      <c r="BH67" s="67"/>
      <c r="BI67" s="71"/>
      <c r="BK67" s="103">
        <f t="shared" si="9"/>
        <v>1</v>
      </c>
      <c r="BL67" s="103" t="str">
        <f t="shared" si="10"/>
        <v/>
      </c>
      <c r="BM67" s="103" t="str">
        <f t="shared" si="11"/>
        <v/>
      </c>
    </row>
    <row r="68" spans="1:65" ht="14.25" customHeight="1" x14ac:dyDescent="0.2">
      <c r="A68" s="2" t="str">
        <f>+_xlfn.XLOOKUP(B68,'[1]Proyectos (NO FILTRAR)'!$F:$F,'[1]Proyectos (NO FILTRAR)'!$B:$B,0,0,1)</f>
        <v>BR-J&amp;F-CS-OTR00-100-A</v>
      </c>
      <c r="B68" s="98" t="s">
        <v>220</v>
      </c>
      <c r="C68" s="5" t="str">
        <f>+_xlfn.XLOOKUP(A68,'[1]Proyectos (NO FILTRAR)'!$B:$B,'[1]Proyectos (NO FILTRAR)'!$G:$G,"error",0,1)</f>
        <v>Brasil</v>
      </c>
      <c r="D68" s="5" t="s">
        <v>27</v>
      </c>
      <c r="E68" s="5" t="s">
        <v>56</v>
      </c>
      <c r="F68" s="5" t="s">
        <v>62</v>
      </c>
      <c r="G68" s="14"/>
      <c r="H68" s="14" t="s">
        <v>38</v>
      </c>
      <c r="I68" s="6">
        <f>+_xlfn.XLOOKUP(B68,'[1]Proyectos (NO FILTRAR)'!$F:$F,'[1]Proyectos (NO FILTRAR)'!$O:$O,"!",0,1)</f>
        <v>112664</v>
      </c>
      <c r="J68" s="51">
        <f t="shared" si="19"/>
        <v>110873</v>
      </c>
      <c r="K68" s="47">
        <f t="shared" si="20"/>
        <v>0.98410317403962222</v>
      </c>
      <c r="L68" s="98">
        <f t="shared" si="21"/>
        <v>1791</v>
      </c>
      <c r="M68" s="52">
        <f t="shared" si="22"/>
        <v>1.589682596037776E-2</v>
      </c>
      <c r="N68" s="65"/>
      <c r="O68" s="52">
        <f t="shared" si="23"/>
        <v>0</v>
      </c>
      <c r="P68" s="65">
        <f t="shared" si="24"/>
        <v>112664</v>
      </c>
      <c r="Q68" s="48">
        <v>0</v>
      </c>
      <c r="R68" s="48">
        <f t="shared" si="25"/>
        <v>112664</v>
      </c>
      <c r="S68" s="48">
        <v>1</v>
      </c>
      <c r="T68" s="48">
        <f>+K68-S68</f>
        <v>-1.5896825960377781E-2</v>
      </c>
      <c r="U68" s="48">
        <v>2</v>
      </c>
      <c r="V68" s="48">
        <f>+M68-U68</f>
        <v>-1.9841031740396222</v>
      </c>
      <c r="W68" s="48">
        <v>3</v>
      </c>
      <c r="X68" s="48">
        <f>+O68-W68</f>
        <v>-3</v>
      </c>
      <c r="Y68" s="48">
        <v>4</v>
      </c>
      <c r="Z68" s="48">
        <f>+Q68-Y68</f>
        <v>-4</v>
      </c>
      <c r="AA68" s="48">
        <v>5</v>
      </c>
      <c r="AB68" s="48">
        <f>+S68-AA68</f>
        <v>-4</v>
      </c>
      <c r="AC68" s="8"/>
      <c r="AD68" s="26"/>
      <c r="AE68" s="71"/>
      <c r="AF68" s="8"/>
      <c r="AG68" s="26"/>
      <c r="AH68" s="71"/>
      <c r="AI68" s="8"/>
      <c r="AJ68" s="26"/>
      <c r="AK68" s="71"/>
      <c r="AL68" s="8"/>
      <c r="AM68" s="26"/>
      <c r="AN68" s="71"/>
      <c r="AO68" s="55"/>
      <c r="AP68" s="26"/>
      <c r="AQ68" s="71"/>
      <c r="AR68" s="55"/>
      <c r="AS68" s="68"/>
      <c r="AT68" s="71"/>
      <c r="AU68" s="67">
        <v>70000</v>
      </c>
      <c r="AV68" s="68"/>
      <c r="AW68" s="71">
        <v>72664</v>
      </c>
      <c r="AX68" s="67">
        <f>+IF((_xlfn.XLOOKUP($B68,'Curva S'!$B$2:$B$100,'Curva S'!$O$2:$O$100,0,0,1)*$I68-$J68)&lt;0,0,(_xlfn.XLOOKUP($B68,'Curva S'!$B$2:$B$100,'Curva S'!$O$2:$O$100,0,0,1)*$I68-$J68))</f>
        <v>0</v>
      </c>
      <c r="AY68" s="68"/>
      <c r="AZ68" s="71"/>
      <c r="BA68" s="67">
        <v>0</v>
      </c>
      <c r="BB68" s="68"/>
      <c r="BC68" s="70"/>
      <c r="BD68" s="68"/>
      <c r="BE68" s="71">
        <v>38209</v>
      </c>
      <c r="BF68" s="68"/>
      <c r="BG68" s="71"/>
      <c r="BH68" s="68"/>
      <c r="BI68" s="71"/>
      <c r="BK68" s="103">
        <f t="shared" ref="BK68:BK96" si="26">+IF(AND(BD68&gt;0,BE68=""),0,IF(BE68="","",IF(BE68&gt;=BD68,1,BE68/BD68)))</f>
        <v>1</v>
      </c>
      <c r="BL68" s="103" t="str">
        <f t="shared" ref="BL68:BL96" si="27">+IF(AND(BF68&gt;0,BG68=""),0,IF(BG68="","",IF(BG68&gt;=BF68,1,BG68/BF68)))</f>
        <v/>
      </c>
      <c r="BM68" s="103" t="str">
        <f t="shared" ref="BM68:BM96" si="28">+IF(AND(BH68&gt;0,BI68=""),0,IF(BI68="","",IF(BI68&gt;=BH68,1,BI68/BH68)))</f>
        <v/>
      </c>
    </row>
    <row r="69" spans="1:65" ht="14.25" customHeight="1" x14ac:dyDescent="0.2">
      <c r="A69" s="2" t="str">
        <f>+_xlfn.XLOOKUP(B69,'[1]Proyectos (NO FILTRAR)'!$F:$F,'[1]Proyectos (NO FILTRAR)'!$B:$B,0,0,1)</f>
        <v>PE-SME-CS-OTR00-099-A</v>
      </c>
      <c r="B69" s="5" t="s">
        <v>224</v>
      </c>
      <c r="C69" s="5" t="str">
        <f>+_xlfn.XLOOKUP(A69,'[1]Proyectos (NO FILTRAR)'!$B:$B,'[1]Proyectos (NO FILTRAR)'!$G:$G,"error",0,1)</f>
        <v>Perú</v>
      </c>
      <c r="D69" s="5" t="s">
        <v>27</v>
      </c>
      <c r="E69" s="5" t="s">
        <v>56</v>
      </c>
      <c r="F69" s="5" t="s">
        <v>62</v>
      </c>
      <c r="G69" s="14"/>
      <c r="H69" s="14" t="s">
        <v>62</v>
      </c>
      <c r="I69" s="6">
        <f>+_xlfn.XLOOKUP(B69,'[1]Proyectos (NO FILTRAR)'!$F:$F,'[1]Proyectos (NO FILTRAR)'!$O:$O,"!",0,1)</f>
        <v>83610</v>
      </c>
      <c r="J69" s="51">
        <f t="shared" si="19"/>
        <v>77963</v>
      </c>
      <c r="K69" s="47">
        <f t="shared" si="20"/>
        <v>0.93246023202966155</v>
      </c>
      <c r="L69" s="7">
        <f t="shared" si="21"/>
        <v>5647</v>
      </c>
      <c r="M69" s="52">
        <f t="shared" si="22"/>
        <v>6.7539767970338477E-2</v>
      </c>
      <c r="N69" s="65"/>
      <c r="O69" s="52">
        <f t="shared" si="23"/>
        <v>0</v>
      </c>
      <c r="P69" s="65">
        <f t="shared" si="24"/>
        <v>83610</v>
      </c>
      <c r="Q69" s="48">
        <v>0</v>
      </c>
      <c r="R69" s="48">
        <f t="shared" si="25"/>
        <v>83610</v>
      </c>
      <c r="S69" s="8"/>
      <c r="T69" s="9"/>
      <c r="U69" s="8"/>
      <c r="V69" s="8"/>
      <c r="W69" s="9"/>
      <c r="X69" s="8"/>
      <c r="Y69" s="27"/>
      <c r="Z69" s="8"/>
      <c r="AA69" s="26"/>
      <c r="AB69" s="27"/>
      <c r="AC69" s="8"/>
      <c r="AD69" s="26"/>
      <c r="AE69" s="71"/>
      <c r="AF69" s="8"/>
      <c r="AG69" s="26"/>
      <c r="AH69" s="71"/>
      <c r="AI69" s="8"/>
      <c r="AJ69" s="26"/>
      <c r="AK69" s="71"/>
      <c r="AL69" s="8"/>
      <c r="AM69" s="26"/>
      <c r="AN69" s="71"/>
      <c r="AO69" s="55"/>
      <c r="AP69" s="26"/>
      <c r="AQ69" s="71"/>
      <c r="AR69" s="55"/>
      <c r="AS69" s="68"/>
      <c r="AT69" s="71"/>
      <c r="AU69" s="67">
        <v>25919.1</v>
      </c>
      <c r="AV69" s="68"/>
      <c r="AW69" s="71">
        <v>20941</v>
      </c>
      <c r="AX69" s="67">
        <f>+IF((_xlfn.XLOOKUP($B69,'Curva S'!$B$2:$B$100,'Curva S'!$O$2:$O$100,0,0,1)*$I69-$J69)&lt;0,0,(_xlfn.XLOOKUP($B69,'Curva S'!$B$2:$B$100,'Curva S'!$O$2:$O$100,0,0,1)*$I69-$J69))</f>
        <v>0</v>
      </c>
      <c r="AY69" s="68"/>
      <c r="AZ69" s="71">
        <v>32848</v>
      </c>
      <c r="BA69" s="67">
        <v>29821</v>
      </c>
      <c r="BB69" s="68"/>
      <c r="BC69" s="70">
        <v>24174</v>
      </c>
      <c r="BD69" s="68"/>
      <c r="BE69" s="71"/>
      <c r="BF69" s="68"/>
      <c r="BG69" s="71"/>
      <c r="BH69" s="67"/>
      <c r="BI69" s="71"/>
      <c r="BK69" s="103" t="str">
        <f t="shared" si="26"/>
        <v/>
      </c>
      <c r="BL69" s="103" t="str">
        <f t="shared" si="27"/>
        <v/>
      </c>
      <c r="BM69" s="103" t="str">
        <f t="shared" si="28"/>
        <v/>
      </c>
    </row>
    <row r="70" spans="1:65" ht="14.25" customHeight="1" x14ac:dyDescent="0.2">
      <c r="A70" s="2" t="str">
        <f>+_xlfn.XLOOKUP(B70,'[1]Proyectos (NO FILTRAR)'!$F:$F,'[1]Proyectos (NO FILTRAR)'!$B:$B,0,0,1)</f>
        <v>CH-GLE-CS-OTR00-094-A</v>
      </c>
      <c r="B70" s="5" t="s">
        <v>226</v>
      </c>
      <c r="C70" s="5" t="str">
        <f>+_xlfn.XLOOKUP(A70,'[1]Proyectos (NO FILTRAR)'!$B:$B,'[1]Proyectos (NO FILTRAR)'!$G:$G,"error",0,1)</f>
        <v>Chile</v>
      </c>
      <c r="D70" s="5" t="s">
        <v>27</v>
      </c>
      <c r="E70" s="5" t="s">
        <v>56</v>
      </c>
      <c r="F70" s="5" t="s">
        <v>104</v>
      </c>
      <c r="G70" s="14"/>
      <c r="H70" s="14" t="s">
        <v>62</v>
      </c>
      <c r="I70" s="6">
        <f>+_xlfn.XLOOKUP(B70,'[1]Proyectos (NO FILTRAR)'!$F:$F,'[1]Proyectos (NO FILTRAR)'!$O:$O,"!",0,1)</f>
        <v>12000</v>
      </c>
      <c r="J70" s="51">
        <f t="shared" si="19"/>
        <v>12000</v>
      </c>
      <c r="K70" s="47">
        <f t="shared" si="20"/>
        <v>1</v>
      </c>
      <c r="L70" s="7">
        <f t="shared" si="21"/>
        <v>0</v>
      </c>
      <c r="M70" s="52">
        <f t="shared" si="22"/>
        <v>0</v>
      </c>
      <c r="N70" s="65"/>
      <c r="O70" s="52">
        <f t="shared" si="23"/>
        <v>0</v>
      </c>
      <c r="P70" s="65">
        <f t="shared" si="24"/>
        <v>12000</v>
      </c>
      <c r="Q70" s="48">
        <v>0</v>
      </c>
      <c r="R70" s="48">
        <f t="shared" si="25"/>
        <v>12000</v>
      </c>
      <c r="S70" s="8"/>
      <c r="T70" s="9"/>
      <c r="U70" s="8"/>
      <c r="V70" s="8"/>
      <c r="W70" s="9"/>
      <c r="X70" s="8"/>
      <c r="Y70" s="27"/>
      <c r="Z70" s="8"/>
      <c r="AA70" s="26"/>
      <c r="AB70" s="27"/>
      <c r="AC70" s="8"/>
      <c r="AD70" s="26"/>
      <c r="AE70" s="71"/>
      <c r="AF70" s="8"/>
      <c r="AG70" s="26"/>
      <c r="AH70" s="71"/>
      <c r="AI70" s="8"/>
      <c r="AJ70" s="26"/>
      <c r="AK70" s="71"/>
      <c r="AL70" s="8"/>
      <c r="AM70" s="26"/>
      <c r="AN70" s="71"/>
      <c r="AO70" s="55"/>
      <c r="AP70" s="26"/>
      <c r="AQ70" s="71"/>
      <c r="AR70" s="55"/>
      <c r="AS70" s="68"/>
      <c r="AT70" s="71"/>
      <c r="AU70" s="67">
        <v>4800</v>
      </c>
      <c r="AV70" s="68"/>
      <c r="AW70" s="71"/>
      <c r="AX70" s="67">
        <f>+IF((_xlfn.XLOOKUP($B70,'Curva S'!$B$2:$B$100,'Curva S'!$O$2:$O$100,0,0,1)*$I70-$J70)&lt;0,0,(_xlfn.XLOOKUP($B70,'Curva S'!$B$2:$B$100,'Curva S'!$O$2:$O$100,0,0,1)*$I70-$J70))</f>
        <v>0</v>
      </c>
      <c r="AY70" s="68"/>
      <c r="AZ70" s="71">
        <v>12000</v>
      </c>
      <c r="BA70" s="67">
        <v>0</v>
      </c>
      <c r="BB70" s="68"/>
      <c r="BC70" s="70"/>
      <c r="BD70" s="68"/>
      <c r="BE70" s="71"/>
      <c r="BF70" s="68"/>
      <c r="BG70" s="71"/>
      <c r="BH70" s="67"/>
      <c r="BI70" s="71"/>
      <c r="BK70" s="103" t="str">
        <f t="shared" si="26"/>
        <v/>
      </c>
      <c r="BL70" s="103" t="str">
        <f t="shared" si="27"/>
        <v/>
      </c>
      <c r="BM70" s="103" t="str">
        <f t="shared" si="28"/>
        <v/>
      </c>
    </row>
    <row r="71" spans="1:65" ht="14.25" customHeight="1" x14ac:dyDescent="0.2">
      <c r="A71" s="2" t="str">
        <f>+_xlfn.XLOOKUP(B71,'[1]Proyectos (NO FILTRAR)'!$F:$F,'[1]Proyectos (NO FILTRAR)'!$B:$B,0,0,1)</f>
        <v>BR-MOS-OP-FEL2A-102-A</v>
      </c>
      <c r="B71" s="5" t="s">
        <v>225</v>
      </c>
      <c r="C71" s="5" t="str">
        <f>+_xlfn.XLOOKUP(A71,'[1]Proyectos (NO FILTRAR)'!$B:$B,'[1]Proyectos (NO FILTRAR)'!$G:$G,"error",0,1)</f>
        <v>Brasil</v>
      </c>
      <c r="D71" s="5" t="s">
        <v>27</v>
      </c>
      <c r="E71" s="5" t="s">
        <v>56</v>
      </c>
      <c r="F71" s="5" t="s">
        <v>62</v>
      </c>
      <c r="G71" s="14"/>
      <c r="H71" s="14" t="s">
        <v>62</v>
      </c>
      <c r="I71" s="6">
        <f>+_xlfn.XLOOKUP(B71,'[1]Proyectos (NO FILTRAR)'!$F:$F,'[1]Proyectos (NO FILTRAR)'!$O:$O,"!",0,1)</f>
        <v>79900</v>
      </c>
      <c r="J71" s="51">
        <f t="shared" si="19"/>
        <v>75129</v>
      </c>
      <c r="K71" s="47">
        <f t="shared" si="20"/>
        <v>0.94028785982478102</v>
      </c>
      <c r="L71" s="7">
        <f t="shared" si="21"/>
        <v>4771</v>
      </c>
      <c r="M71" s="52">
        <f t="shared" si="22"/>
        <v>5.9712140175219024E-2</v>
      </c>
      <c r="N71" s="65"/>
      <c r="O71" s="52">
        <f t="shared" si="23"/>
        <v>0</v>
      </c>
      <c r="P71" s="65">
        <f t="shared" si="24"/>
        <v>79900</v>
      </c>
      <c r="Q71" s="48">
        <v>0</v>
      </c>
      <c r="R71" s="48">
        <f t="shared" si="25"/>
        <v>79900</v>
      </c>
      <c r="S71" s="8"/>
      <c r="T71" s="9"/>
      <c r="U71" s="8"/>
      <c r="V71" s="8"/>
      <c r="W71" s="9"/>
      <c r="X71" s="8"/>
      <c r="Y71" s="27"/>
      <c r="Z71" s="8"/>
      <c r="AA71" s="26"/>
      <c r="AB71" s="27"/>
      <c r="AC71" s="8"/>
      <c r="AD71" s="26"/>
      <c r="AE71" s="71"/>
      <c r="AF71" s="8"/>
      <c r="AG71" s="26"/>
      <c r="AH71" s="71"/>
      <c r="AI71" s="8"/>
      <c r="AJ71" s="26"/>
      <c r="AK71" s="71"/>
      <c r="AL71" s="8"/>
      <c r="AM71" s="26"/>
      <c r="AN71" s="71"/>
      <c r="AO71" s="55"/>
      <c r="AP71" s="26"/>
      <c r="AQ71" s="71"/>
      <c r="AR71" s="55"/>
      <c r="AS71" s="68"/>
      <c r="AT71" s="71"/>
      <c r="AU71" s="67">
        <v>0</v>
      </c>
      <c r="AV71" s="68"/>
      <c r="AW71" s="71"/>
      <c r="AX71" s="67">
        <f>+IF((_xlfn.XLOOKUP($B71,'Curva S'!$B$2:$B$100,'Curva S'!$O$2:$O$100,0,0,1)*$I71-$J71)&lt;0,0,(_xlfn.XLOOKUP($B71,'Curva S'!$B$2:$B$100,'Curva S'!$O$2:$O$100,0,0,1)*$I71-$J71))</f>
        <v>0</v>
      </c>
      <c r="AY71" s="68"/>
      <c r="AZ71" s="71"/>
      <c r="BA71" s="67">
        <v>0</v>
      </c>
      <c r="BB71" s="68"/>
      <c r="BC71" s="70"/>
      <c r="BD71" s="68">
        <v>30000</v>
      </c>
      <c r="BE71" s="71">
        <v>31426</v>
      </c>
      <c r="BF71" s="68">
        <v>28000</v>
      </c>
      <c r="BG71" s="101">
        <v>43703</v>
      </c>
      <c r="BH71" s="67">
        <f>_xlfn.XLOOKUP(A71,'[3]Resumen POM'!$I:$I,'[3]Resumen POM'!$D:$D,"",0,1)</f>
        <v>5000</v>
      </c>
      <c r="BI71" s="71"/>
      <c r="BK71" s="103">
        <f t="shared" si="26"/>
        <v>1</v>
      </c>
      <c r="BL71" s="103">
        <f t="shared" si="27"/>
        <v>1</v>
      </c>
      <c r="BM71" s="103">
        <f t="shared" si="28"/>
        <v>0</v>
      </c>
    </row>
    <row r="72" spans="1:65" ht="14.25" customHeight="1" x14ac:dyDescent="0.2">
      <c r="A72" s="2" t="str">
        <f>+_xlfn.XLOOKUP(B72,'[1]Proyectos (NO FILTRAR)'!$F:$F,'[1]Proyectos (NO FILTRAR)'!$B:$B,0,0,1)</f>
        <v>CH-BHP-OP-FEL00-103-A</v>
      </c>
      <c r="B72" s="5" t="s">
        <v>227</v>
      </c>
      <c r="C72" s="5" t="str">
        <f>+_xlfn.XLOOKUP(A72,'[1]Proyectos (NO FILTRAR)'!$B:$B,'[1]Proyectos (NO FILTRAR)'!$G:$G,"error",0,1)</f>
        <v>Chile</v>
      </c>
      <c r="D72" s="5" t="s">
        <v>27</v>
      </c>
      <c r="E72" s="5" t="s">
        <v>56</v>
      </c>
      <c r="F72" s="5" t="s">
        <v>62</v>
      </c>
      <c r="G72" s="14"/>
      <c r="H72" s="14" t="s">
        <v>62</v>
      </c>
      <c r="I72" s="6">
        <f>+_xlfn.XLOOKUP(B72,'[1]Proyectos (NO FILTRAR)'!$F:$F,'[1]Proyectos (NO FILTRAR)'!$O:$O,"!",0,1)</f>
        <v>70000</v>
      </c>
      <c r="J72" s="51">
        <f t="shared" si="19"/>
        <v>46205</v>
      </c>
      <c r="K72" s="47">
        <f t="shared" si="20"/>
        <v>0.66007142857142853</v>
      </c>
      <c r="L72" s="7">
        <f t="shared" si="21"/>
        <v>23795</v>
      </c>
      <c r="M72" s="52">
        <f t="shared" si="22"/>
        <v>0.33992857142857141</v>
      </c>
      <c r="N72" s="65"/>
      <c r="O72" s="52">
        <f t="shared" si="23"/>
        <v>0</v>
      </c>
      <c r="P72" s="65">
        <f t="shared" si="24"/>
        <v>70000</v>
      </c>
      <c r="Q72" s="48">
        <v>0</v>
      </c>
      <c r="R72" s="48">
        <f t="shared" si="25"/>
        <v>70000</v>
      </c>
      <c r="S72" s="8"/>
      <c r="T72" s="9"/>
      <c r="U72" s="8"/>
      <c r="V72" s="8"/>
      <c r="W72" s="9"/>
      <c r="X72" s="8"/>
      <c r="Y72" s="27"/>
      <c r="Z72" s="8"/>
      <c r="AA72" s="26"/>
      <c r="AB72" s="27"/>
      <c r="AC72" s="8"/>
      <c r="AD72" s="26"/>
      <c r="AE72" s="71"/>
      <c r="AF72" s="8"/>
      <c r="AG72" s="26"/>
      <c r="AH72" s="71"/>
      <c r="AI72" s="8"/>
      <c r="AJ72" s="26"/>
      <c r="AK72" s="71"/>
      <c r="AL72" s="8"/>
      <c r="AM72" s="26"/>
      <c r="AN72" s="71"/>
      <c r="AO72" s="55"/>
      <c r="AP72" s="26"/>
      <c r="AQ72" s="71"/>
      <c r="AR72" s="55"/>
      <c r="AS72" s="68"/>
      <c r="AT72" s="71"/>
      <c r="AU72" s="67">
        <v>0</v>
      </c>
      <c r="AV72" s="68"/>
      <c r="AW72" s="71"/>
      <c r="AX72" s="67">
        <f>+IF((_xlfn.XLOOKUP($B72,'Curva S'!$B$2:$B$100,'Curva S'!$O$2:$O$100,0,0,1)*$I72-$J72)&lt;0,0,(_xlfn.XLOOKUP($B72,'Curva S'!$B$2:$B$100,'Curva S'!$O$2:$O$100,0,0,1)*$I72-$J72))</f>
        <v>0</v>
      </c>
      <c r="AY72" s="68"/>
      <c r="AZ72" s="71">
        <v>24680</v>
      </c>
      <c r="BA72" s="67">
        <v>0</v>
      </c>
      <c r="BB72" s="68"/>
      <c r="BC72" s="70">
        <v>13842</v>
      </c>
      <c r="BD72" s="68"/>
      <c r="BE72" s="71">
        <v>7683</v>
      </c>
      <c r="BF72" s="68"/>
      <c r="BG72" s="71"/>
      <c r="BH72" s="67">
        <f>_xlfn.XLOOKUP(A72,'[3]Resumen POM'!$I:$I,'[3]Resumen POM'!$D:$D,"",0,1)</f>
        <v>11278</v>
      </c>
      <c r="BI72" s="71"/>
      <c r="BK72" s="103">
        <f t="shared" si="26"/>
        <v>1</v>
      </c>
      <c r="BL72" s="103" t="str">
        <f t="shared" si="27"/>
        <v/>
      </c>
      <c r="BM72" s="103">
        <f t="shared" si="28"/>
        <v>0</v>
      </c>
    </row>
    <row r="73" spans="1:65" ht="14.25" customHeight="1" x14ac:dyDescent="0.2">
      <c r="A73" s="2" t="str">
        <f>+_xlfn.XLOOKUP(B73,'[1]Proyectos (NO FILTRAR)'!$F:$F,'[1]Proyectos (NO FILTRAR)'!$B:$B,0,0,1)</f>
        <v>CH-CMP-OT-OTR00-107-A</v>
      </c>
      <c r="B73" s="5" t="s">
        <v>239</v>
      </c>
      <c r="C73" s="5" t="str">
        <f>+_xlfn.XLOOKUP(A73,'[1]Proyectos (NO FILTRAR)'!$B:$B,'[1]Proyectos (NO FILTRAR)'!$G:$G,"error",0,1)</f>
        <v>Chile</v>
      </c>
      <c r="D73" s="5" t="s">
        <v>27</v>
      </c>
      <c r="E73" s="5" t="s">
        <v>56</v>
      </c>
      <c r="F73" s="5" t="s">
        <v>162</v>
      </c>
      <c r="G73" s="14"/>
      <c r="H73" s="14" t="s">
        <v>29</v>
      </c>
      <c r="I73" s="6">
        <f>+_xlfn.XLOOKUP(B73,'[1]Proyectos (NO FILTRAR)'!$F:$F,'[1]Proyectos (NO FILTRAR)'!$O:$O,"!",0,1)</f>
        <v>112506</v>
      </c>
      <c r="J73" s="51">
        <f t="shared" si="19"/>
        <v>0</v>
      </c>
      <c r="K73" s="47">
        <f t="shared" si="20"/>
        <v>0</v>
      </c>
      <c r="L73" s="7">
        <f t="shared" si="21"/>
        <v>112506</v>
      </c>
      <c r="M73" s="52">
        <f t="shared" si="22"/>
        <v>1</v>
      </c>
      <c r="N73" s="65"/>
      <c r="O73" s="52">
        <f t="shared" si="23"/>
        <v>0</v>
      </c>
      <c r="P73" s="65">
        <f t="shared" si="24"/>
        <v>112506</v>
      </c>
      <c r="Q73" s="48">
        <v>0</v>
      </c>
      <c r="R73" s="48">
        <f t="shared" si="25"/>
        <v>112506</v>
      </c>
      <c r="S73" s="8"/>
      <c r="T73" s="9"/>
      <c r="U73" s="8"/>
      <c r="V73" s="8"/>
      <c r="W73" s="9"/>
      <c r="X73" s="8"/>
      <c r="Y73" s="27"/>
      <c r="Z73" s="8"/>
      <c r="AA73" s="26"/>
      <c r="AB73" s="27"/>
      <c r="AC73" s="8"/>
      <c r="AD73" s="26"/>
      <c r="AE73" s="71"/>
      <c r="AF73" s="8"/>
      <c r="AG73" s="26"/>
      <c r="AH73" s="71"/>
      <c r="AI73" s="8"/>
      <c r="AJ73" s="26"/>
      <c r="AK73" s="71"/>
      <c r="AL73" s="8"/>
      <c r="AM73" s="26"/>
      <c r="AN73" s="71"/>
      <c r="AO73" s="55"/>
      <c r="AP73" s="26"/>
      <c r="AQ73" s="71"/>
      <c r="AR73" s="55"/>
      <c r="AS73" s="68"/>
      <c r="AT73" s="71"/>
      <c r="AU73" s="67">
        <v>0</v>
      </c>
      <c r="AV73" s="68"/>
      <c r="AW73" s="71"/>
      <c r="AX73" s="67">
        <f>+IF((_xlfn.XLOOKUP($B73,'Curva S'!$B$2:$B$100,'Curva S'!$O$2:$O$100,0,0,1)*$I73-$J73)&lt;0,0,(_xlfn.XLOOKUP($B73,'Curva S'!$B$2:$B$100,'Curva S'!$O$2:$O$100,0,0,1)*$I73-$J73))</f>
        <v>0</v>
      </c>
      <c r="AY73" s="68"/>
      <c r="AZ73" s="71"/>
      <c r="BA73" s="67">
        <v>0</v>
      </c>
      <c r="BB73" s="68"/>
      <c r="BC73" s="70"/>
      <c r="BD73" s="68">
        <v>60000</v>
      </c>
      <c r="BE73" s="71"/>
      <c r="BF73" s="68"/>
      <c r="BG73" s="71"/>
      <c r="BH73" s="67"/>
      <c r="BI73" s="71"/>
      <c r="BK73" s="103">
        <f t="shared" si="26"/>
        <v>0</v>
      </c>
      <c r="BL73" s="103" t="str">
        <f t="shared" si="27"/>
        <v/>
      </c>
      <c r="BM73" s="103" t="str">
        <f t="shared" si="28"/>
        <v/>
      </c>
    </row>
    <row r="74" spans="1:65" ht="14.25" customHeight="1" x14ac:dyDescent="0.2">
      <c r="A74" s="2" t="str">
        <f>+_xlfn.XLOOKUP(B74,'[1]Proyectos (NO FILTRAR)'!$F:$F,'[1]Proyectos (NO FILTRAR)'!$B:$B,0,0,1)</f>
        <v>PE-MSR-GM-OTR00-109-A</v>
      </c>
      <c r="B74" s="5" t="s">
        <v>248</v>
      </c>
      <c r="C74" s="5" t="str">
        <f>+_xlfn.XLOOKUP(A74,'[1]Proyectos (NO FILTRAR)'!$B:$B,'[1]Proyectos (NO FILTRAR)'!$G:$G,"error",0,1)</f>
        <v>Perú</v>
      </c>
      <c r="D74" s="5" t="s">
        <v>27</v>
      </c>
      <c r="E74" s="5" t="s">
        <v>53</v>
      </c>
      <c r="F74" s="5" t="s">
        <v>162</v>
      </c>
      <c r="G74" s="14"/>
      <c r="H74" s="14"/>
      <c r="I74" s="6">
        <f>+_xlfn.XLOOKUP(B74,'[1]Proyectos (NO FILTRAR)'!$F:$F,'[1]Proyectos (NO FILTRAR)'!$O:$O,"!",0,1)</f>
        <v>13797</v>
      </c>
      <c r="J74" s="51">
        <f t="shared" si="19"/>
        <v>13797</v>
      </c>
      <c r="K74" s="47">
        <f t="shared" ref="K74:K83" si="29">+IFERROR(J74/I74,0)</f>
        <v>1</v>
      </c>
      <c r="L74" s="7">
        <f t="shared" ref="L74:L83" si="30">+I74-J74</f>
        <v>0</v>
      </c>
      <c r="M74" s="52">
        <f t="shared" ref="M74:M83" si="31">+IFERROR(L74/I74,0)</f>
        <v>0</v>
      </c>
      <c r="N74" s="65"/>
      <c r="O74" s="52">
        <f t="shared" ref="O74:O83" si="32">IFERROR(N74/I74,0)</f>
        <v>0</v>
      </c>
      <c r="P74" s="65">
        <f t="shared" ref="P74:P83" si="33">+I74-N74</f>
        <v>13797</v>
      </c>
      <c r="Q74" s="48">
        <v>0</v>
      </c>
      <c r="R74" s="48">
        <f t="shared" ref="R74:R83" si="34">+I74-Q74</f>
        <v>13797</v>
      </c>
      <c r="S74" s="8"/>
      <c r="T74" s="9"/>
      <c r="U74" s="8"/>
      <c r="V74" s="8"/>
      <c r="W74" s="9"/>
      <c r="X74" s="8"/>
      <c r="Y74" s="27"/>
      <c r="Z74" s="8"/>
      <c r="AA74" s="26"/>
      <c r="AB74" s="27"/>
      <c r="AC74" s="8"/>
      <c r="AD74" s="26"/>
      <c r="AE74" s="71"/>
      <c r="AF74" s="8"/>
      <c r="AG74" s="26"/>
      <c r="AH74" s="71"/>
      <c r="AI74" s="8"/>
      <c r="AJ74" s="26"/>
      <c r="AK74" s="71"/>
      <c r="AL74" s="8"/>
      <c r="AM74" s="26"/>
      <c r="AN74" s="71"/>
      <c r="AO74" s="55"/>
      <c r="AP74" s="26"/>
      <c r="AQ74" s="71"/>
      <c r="AR74" s="55"/>
      <c r="AS74" s="68"/>
      <c r="AT74" s="71">
        <v>13797</v>
      </c>
      <c r="AU74" s="67"/>
      <c r="AV74" s="68"/>
      <c r="AW74" s="71"/>
      <c r="AX74" s="67">
        <f>+IF((_xlfn.XLOOKUP($B74,'Curva S'!$B$2:$B$100,'Curva S'!$O$2:$O$100,0,0,1)*$I74-$J74)&lt;0,0,(_xlfn.XLOOKUP($B74,'Curva S'!$B$2:$B$100,'Curva S'!$O$2:$O$100,0,0,1)*$I74-$J74))</f>
        <v>0</v>
      </c>
      <c r="AY74" s="68"/>
      <c r="AZ74" s="71"/>
      <c r="BA74" s="67">
        <v>0</v>
      </c>
      <c r="BB74" s="68"/>
      <c r="BC74" s="70"/>
      <c r="BD74" s="68"/>
      <c r="BE74" s="71"/>
      <c r="BF74" s="68"/>
      <c r="BG74" s="71"/>
      <c r="BH74" s="67"/>
      <c r="BI74" s="71"/>
      <c r="BK74" s="103" t="str">
        <f t="shared" si="26"/>
        <v/>
      </c>
      <c r="BL74" s="103" t="str">
        <f t="shared" si="27"/>
        <v/>
      </c>
      <c r="BM74" s="103" t="str">
        <f t="shared" si="28"/>
        <v/>
      </c>
    </row>
    <row r="75" spans="1:65" ht="14.25" customHeight="1" x14ac:dyDescent="0.2">
      <c r="A75" s="2" t="str">
        <f>+_xlfn.XLOOKUP(B75,'[1]Proyectos (NO FILTRAR)'!$F:$F,'[1]Proyectos (NO FILTRAR)'!$B:$B,0,0,1)</f>
        <v>CH-AMS-OT-OTR00-108-A</v>
      </c>
      <c r="B75" s="5" t="s">
        <v>251</v>
      </c>
      <c r="C75" s="5" t="str">
        <f>+_xlfn.XLOOKUP(A75,'[1]Proyectos (NO FILTRAR)'!$B:$B,'[1]Proyectos (NO FILTRAR)'!$G:$G,"error",0,1)</f>
        <v>Chile</v>
      </c>
      <c r="D75" s="5" t="s">
        <v>27</v>
      </c>
      <c r="E75" s="5" t="s">
        <v>56</v>
      </c>
      <c r="F75" s="5" t="s">
        <v>254</v>
      </c>
      <c r="G75" s="14"/>
      <c r="H75" s="14" t="s">
        <v>44</v>
      </c>
      <c r="I75" s="6">
        <f>+_xlfn.XLOOKUP(B75,'[1]Proyectos (NO FILTRAR)'!$F:$F,'[1]Proyectos (NO FILTRAR)'!$O:$O,"!",0,1)</f>
        <v>191000</v>
      </c>
      <c r="J75" s="51">
        <f t="shared" si="19"/>
        <v>76524.88</v>
      </c>
      <c r="K75" s="47">
        <f t="shared" si="29"/>
        <v>0.40065382198952881</v>
      </c>
      <c r="L75" s="7">
        <f t="shared" si="30"/>
        <v>114475.12</v>
      </c>
      <c r="M75" s="52">
        <f t="shared" si="31"/>
        <v>0.59934617801047119</v>
      </c>
      <c r="N75" s="65"/>
      <c r="O75" s="52">
        <f t="shared" si="32"/>
        <v>0</v>
      </c>
      <c r="P75" s="65">
        <f t="shared" si="33"/>
        <v>191000</v>
      </c>
      <c r="Q75" s="48">
        <v>0</v>
      </c>
      <c r="R75" s="48">
        <f t="shared" si="34"/>
        <v>191000</v>
      </c>
      <c r="S75" s="8"/>
      <c r="T75" s="9"/>
      <c r="U75" s="8"/>
      <c r="V75" s="8"/>
      <c r="W75" s="9"/>
      <c r="X75" s="8"/>
      <c r="Y75" s="27"/>
      <c r="Z75" s="8"/>
      <c r="AA75" s="26"/>
      <c r="AB75" s="27"/>
      <c r="AC75" s="8"/>
      <c r="AD75" s="26"/>
      <c r="AE75" s="71"/>
      <c r="AF75" s="8"/>
      <c r="AG75" s="26"/>
      <c r="AH75" s="71"/>
      <c r="AI75" s="8"/>
      <c r="AJ75" s="26"/>
      <c r="AK75" s="71"/>
      <c r="AL75" s="8"/>
      <c r="AM75" s="26"/>
      <c r="AN75" s="71"/>
      <c r="AO75" s="55"/>
      <c r="AP75" s="26"/>
      <c r="AQ75" s="71"/>
      <c r="AR75" s="55"/>
      <c r="AS75" s="68"/>
      <c r="AT75" s="71"/>
      <c r="AU75" s="67"/>
      <c r="AV75" s="68"/>
      <c r="AW75" s="71"/>
      <c r="AX75" s="67"/>
      <c r="AY75" s="68"/>
      <c r="AZ75" s="71">
        <v>34347</v>
      </c>
      <c r="BA75" s="67"/>
      <c r="BB75" s="68"/>
      <c r="BC75" s="70">
        <v>18000</v>
      </c>
      <c r="BD75" s="68">
        <v>30640</v>
      </c>
      <c r="BE75" s="71"/>
      <c r="BF75" s="68">
        <v>15160</v>
      </c>
      <c r="BG75" s="101">
        <v>11820.81</v>
      </c>
      <c r="BH75" s="67">
        <f>_xlfn.XLOOKUP(A75,'[3]Resumen POM'!$I:$I,'[3]Resumen POM'!$D:$D,"",0,1)</f>
        <v>6101.1021052631577</v>
      </c>
      <c r="BI75" s="71">
        <v>12357.07</v>
      </c>
      <c r="BK75" s="103">
        <f t="shared" si="26"/>
        <v>0</v>
      </c>
      <c r="BL75" s="103">
        <f t="shared" si="27"/>
        <v>0.77973680738786277</v>
      </c>
      <c r="BM75" s="103">
        <f t="shared" si="28"/>
        <v>1</v>
      </c>
    </row>
    <row r="76" spans="1:65" ht="14.25" customHeight="1" x14ac:dyDescent="0.2">
      <c r="A76" s="2" t="str">
        <f>+_xlfn.XLOOKUP(B76,'[1]Proyectos (NO FILTRAR)'!$F:$F,'[1]Proyectos (NO FILTRAR)'!$B:$B,0,0,1)</f>
        <v>CH-COD-OU-FEL00-112-A</v>
      </c>
      <c r="B76" s="5" t="s">
        <v>256</v>
      </c>
      <c r="C76" s="5" t="str">
        <f>+_xlfn.XLOOKUP(A76,'[1]Proyectos (NO FILTRAR)'!$B:$B,'[1]Proyectos (NO FILTRAR)'!$G:$G,"error",0,1)</f>
        <v>Chile</v>
      </c>
      <c r="D76" s="5" t="s">
        <v>27</v>
      </c>
      <c r="E76" s="5" t="s">
        <v>56</v>
      </c>
      <c r="F76" s="5" t="s">
        <v>34</v>
      </c>
      <c r="G76" s="14"/>
      <c r="H76" s="14" t="s">
        <v>35</v>
      </c>
      <c r="I76" s="6">
        <f>+_xlfn.XLOOKUP(B76,'[1]Proyectos (NO FILTRAR)'!$F:$F,'[1]Proyectos (NO FILTRAR)'!$O:$O,"!",0,1)</f>
        <v>85362.89</v>
      </c>
      <c r="J76" s="51">
        <f t="shared" si="19"/>
        <v>75127</v>
      </c>
      <c r="K76" s="47">
        <f t="shared" ref="K76:K81" si="35">+IFERROR(J76/I76,0)</f>
        <v>0.88008969705688267</v>
      </c>
      <c r="L76" s="7">
        <f t="shared" ref="L76:L81" si="36">+I76-J76</f>
        <v>10235.89</v>
      </c>
      <c r="M76" s="52">
        <f t="shared" ref="M76:M81" si="37">+IFERROR(L76/I76,0)</f>
        <v>0.11991030294311732</v>
      </c>
      <c r="N76" s="65"/>
      <c r="O76" s="52">
        <f t="shared" ref="O76:O81" si="38">IFERROR(N76/I76,0)</f>
        <v>0</v>
      </c>
      <c r="P76" s="65">
        <f t="shared" ref="P76:P81" si="39">+I76-N76</f>
        <v>85362.89</v>
      </c>
      <c r="Q76" s="48">
        <v>0</v>
      </c>
      <c r="R76" s="48">
        <f t="shared" ref="R76:R81" si="40">+I76-Q76</f>
        <v>85362.89</v>
      </c>
      <c r="S76" s="8"/>
      <c r="T76" s="9"/>
      <c r="U76" s="8"/>
      <c r="V76" s="8"/>
      <c r="W76" s="9"/>
      <c r="X76" s="8"/>
      <c r="Y76" s="27"/>
      <c r="Z76" s="8"/>
      <c r="AA76" s="26"/>
      <c r="AB76" s="27"/>
      <c r="AC76" s="8"/>
      <c r="AD76" s="26"/>
      <c r="AE76" s="71"/>
      <c r="AF76" s="8"/>
      <c r="AG76" s="26"/>
      <c r="AH76" s="71"/>
      <c r="AI76" s="8"/>
      <c r="AJ76" s="26"/>
      <c r="AK76" s="71"/>
      <c r="AL76" s="8"/>
      <c r="AM76" s="26"/>
      <c r="AN76" s="71"/>
      <c r="AO76" s="55"/>
      <c r="AP76" s="26"/>
      <c r="AQ76" s="71"/>
      <c r="AR76" s="55"/>
      <c r="AS76" s="68"/>
      <c r="AT76" s="71"/>
      <c r="AU76" s="67"/>
      <c r="AV76" s="68"/>
      <c r="AW76" s="71"/>
      <c r="AX76" s="67"/>
      <c r="AY76" s="68"/>
      <c r="AZ76" s="71"/>
      <c r="BA76" s="67"/>
      <c r="BB76" s="68"/>
      <c r="BC76" s="70">
        <v>40000</v>
      </c>
      <c r="BD76" s="68">
        <v>30000</v>
      </c>
      <c r="BE76" s="71">
        <v>35127</v>
      </c>
      <c r="BF76" s="68">
        <v>10000</v>
      </c>
      <c r="BG76" s="71"/>
      <c r="BH76" s="67">
        <f>_xlfn.XLOOKUP(A76,'[3]Resumen POM'!$I:$I,'[3]Resumen POM'!$D:$D,"",0,1)</f>
        <v>10587.78947368421</v>
      </c>
      <c r="BI76" s="71"/>
      <c r="BK76" s="103">
        <f t="shared" si="26"/>
        <v>1</v>
      </c>
      <c r="BL76" s="103">
        <f t="shared" si="27"/>
        <v>0</v>
      </c>
      <c r="BM76" s="103">
        <f t="shared" si="28"/>
        <v>0</v>
      </c>
    </row>
    <row r="77" spans="1:65" ht="14.25" customHeight="1" x14ac:dyDescent="0.2">
      <c r="A77" s="2" t="str">
        <f>+_xlfn.XLOOKUP(B77,'[1]Proyectos (NO FILTRAR)'!$F:$F,'[1]Proyectos (NO FILTRAR)'!$B:$B,0,0,1)</f>
        <v>PE-MAR-OU-FEL01-114-A</v>
      </c>
      <c r="B77" s="5" t="s">
        <v>257</v>
      </c>
      <c r="C77" s="5" t="str">
        <f>+_xlfn.XLOOKUP(A77,'[1]Proyectos (NO FILTRAR)'!$B:$B,'[1]Proyectos (NO FILTRAR)'!$G:$G,"error",0,1)</f>
        <v>Perú</v>
      </c>
      <c r="D77" s="5" t="s">
        <v>27</v>
      </c>
      <c r="E77" s="5" t="s">
        <v>56</v>
      </c>
      <c r="F77" s="5" t="s">
        <v>258</v>
      </c>
      <c r="G77" s="14"/>
      <c r="H77" s="14" t="s">
        <v>259</v>
      </c>
      <c r="I77" s="6">
        <f>+_xlfn.XLOOKUP(B77,'[1]Proyectos (NO FILTRAR)'!$F:$F,'[1]Proyectos (NO FILTRAR)'!$O:$O,"!",0,1)</f>
        <v>161778</v>
      </c>
      <c r="J77" s="51">
        <f t="shared" si="19"/>
        <v>73833</v>
      </c>
      <c r="K77" s="47">
        <f t="shared" si="35"/>
        <v>0.4563846752957757</v>
      </c>
      <c r="L77" s="7">
        <f t="shared" si="36"/>
        <v>87945</v>
      </c>
      <c r="M77" s="52">
        <f t="shared" si="37"/>
        <v>0.54361532470422436</v>
      </c>
      <c r="N77" s="65"/>
      <c r="O77" s="52">
        <f t="shared" si="38"/>
        <v>0</v>
      </c>
      <c r="P77" s="65">
        <f t="shared" si="39"/>
        <v>161778</v>
      </c>
      <c r="Q77" s="48">
        <v>0</v>
      </c>
      <c r="R77" s="48">
        <f t="shared" si="40"/>
        <v>161778</v>
      </c>
      <c r="S77" s="8"/>
      <c r="T77" s="9"/>
      <c r="U77" s="8"/>
      <c r="V77" s="8"/>
      <c r="W77" s="9"/>
      <c r="X77" s="8"/>
      <c r="Y77" s="27"/>
      <c r="Z77" s="8"/>
      <c r="AA77" s="26"/>
      <c r="AB77" s="27"/>
      <c r="AC77" s="8"/>
      <c r="AD77" s="26"/>
      <c r="AE77" s="71"/>
      <c r="AF77" s="8"/>
      <c r="AG77" s="26"/>
      <c r="AH77" s="71"/>
      <c r="AI77" s="8"/>
      <c r="AJ77" s="26"/>
      <c r="AK77" s="71"/>
      <c r="AL77" s="8"/>
      <c r="AM77" s="26"/>
      <c r="AN77" s="71"/>
      <c r="AO77" s="55"/>
      <c r="AP77" s="26"/>
      <c r="AQ77" s="71"/>
      <c r="AR77" s="55"/>
      <c r="AS77" s="68"/>
      <c r="AT77" s="71"/>
      <c r="AU77" s="67"/>
      <c r="AV77" s="68"/>
      <c r="AW77" s="71"/>
      <c r="AX77" s="67"/>
      <c r="AY77" s="68"/>
      <c r="AZ77" s="71"/>
      <c r="BA77" s="67"/>
      <c r="BB77" s="68"/>
      <c r="BC77" s="70"/>
      <c r="BD77" s="68">
        <v>19979</v>
      </c>
      <c r="BE77" s="71">
        <v>33000</v>
      </c>
      <c r="BF77" s="68">
        <v>20000</v>
      </c>
      <c r="BG77" s="101">
        <v>21062</v>
      </c>
      <c r="BH77" s="67">
        <f>_xlfn.XLOOKUP(A77,'[3]Resumen POM'!$I:$I,'[3]Resumen POM'!$D:$D,"",0,1)</f>
        <v>42080</v>
      </c>
      <c r="BI77" s="71">
        <v>19771</v>
      </c>
      <c r="BK77" s="103">
        <f t="shared" si="26"/>
        <v>1</v>
      </c>
      <c r="BL77" s="103">
        <f t="shared" si="27"/>
        <v>1</v>
      </c>
      <c r="BM77" s="103">
        <f t="shared" si="28"/>
        <v>0.46984315589353615</v>
      </c>
    </row>
    <row r="78" spans="1:65" ht="14.25" customHeight="1" x14ac:dyDescent="0.2">
      <c r="A78" s="2" t="str">
        <f>+_xlfn.XLOOKUP(B78,'[1]Proyectos (NO FILTRAR)'!$F:$F,'[1]Proyectos (NO FILTRAR)'!$B:$B,0,0,1)</f>
        <v>PE-MSR-UG-OTR00-097-A</v>
      </c>
      <c r="B78" s="5" t="s">
        <v>260</v>
      </c>
      <c r="C78" s="5" t="str">
        <f>+_xlfn.XLOOKUP(A78,'[1]Proyectos (NO FILTRAR)'!$B:$B,'[1]Proyectos (NO FILTRAR)'!$G:$G,"error",0,1)</f>
        <v>Perú</v>
      </c>
      <c r="D78" s="5" t="s">
        <v>27</v>
      </c>
      <c r="E78" s="5" t="s">
        <v>56</v>
      </c>
      <c r="F78" s="5" t="s">
        <v>261</v>
      </c>
      <c r="G78" s="14"/>
      <c r="H78" s="14" t="s">
        <v>265</v>
      </c>
      <c r="I78" s="6">
        <f>+_xlfn.XLOOKUP(B78,'[1]Proyectos (NO FILTRAR)'!$F:$F,'[1]Proyectos (NO FILTRAR)'!$O:$O,"!",0,1)</f>
        <v>64935</v>
      </c>
      <c r="J78" s="51">
        <f t="shared" si="19"/>
        <v>64935</v>
      </c>
      <c r="K78" s="47">
        <f t="shared" si="35"/>
        <v>1</v>
      </c>
      <c r="L78" s="7">
        <f t="shared" si="36"/>
        <v>0</v>
      </c>
      <c r="M78" s="52">
        <f t="shared" si="37"/>
        <v>0</v>
      </c>
      <c r="N78" s="65"/>
      <c r="O78" s="52">
        <f t="shared" si="38"/>
        <v>0</v>
      </c>
      <c r="P78" s="65">
        <f t="shared" si="39"/>
        <v>64935</v>
      </c>
      <c r="Q78" s="48">
        <v>0</v>
      </c>
      <c r="R78" s="48">
        <f t="shared" si="40"/>
        <v>64935</v>
      </c>
      <c r="S78" s="8"/>
      <c r="T78" s="9"/>
      <c r="U78" s="8"/>
      <c r="V78" s="8"/>
      <c r="W78" s="9"/>
      <c r="X78" s="8"/>
      <c r="Y78" s="27"/>
      <c r="Z78" s="8"/>
      <c r="AA78" s="26"/>
      <c r="AB78" s="27"/>
      <c r="AC78" s="8"/>
      <c r="AD78" s="26"/>
      <c r="AE78" s="71"/>
      <c r="AF78" s="8"/>
      <c r="AG78" s="26"/>
      <c r="AH78" s="71"/>
      <c r="AI78" s="8"/>
      <c r="AJ78" s="26"/>
      <c r="AK78" s="71"/>
      <c r="AL78" s="8"/>
      <c r="AM78" s="26"/>
      <c r="AN78" s="71"/>
      <c r="AO78" s="55"/>
      <c r="AP78" s="26"/>
      <c r="AQ78" s="71"/>
      <c r="AR78" s="55"/>
      <c r="AS78" s="68"/>
      <c r="AT78" s="71"/>
      <c r="AU78" s="67"/>
      <c r="AV78" s="68"/>
      <c r="AW78" s="71"/>
      <c r="AX78" s="67"/>
      <c r="AY78" s="68"/>
      <c r="AZ78" s="71"/>
      <c r="BA78" s="67"/>
      <c r="BB78" s="68"/>
      <c r="BC78" s="70"/>
      <c r="BD78" s="68">
        <v>22078</v>
      </c>
      <c r="BE78" s="71">
        <v>26104</v>
      </c>
      <c r="BF78" s="68">
        <v>25325</v>
      </c>
      <c r="BG78" s="101">
        <v>25519</v>
      </c>
      <c r="BH78" s="67">
        <f>_xlfn.XLOOKUP(A78,'[3]Resumen POM'!$I:$I,'[3]Resumen POM'!$D:$D,"",0,1)</f>
        <v>13312</v>
      </c>
      <c r="BI78" s="71">
        <v>13312</v>
      </c>
      <c r="BK78" s="103">
        <f t="shared" si="26"/>
        <v>1</v>
      </c>
      <c r="BL78" s="103">
        <f t="shared" si="27"/>
        <v>1</v>
      </c>
      <c r="BM78" s="103">
        <f t="shared" si="28"/>
        <v>1</v>
      </c>
    </row>
    <row r="79" spans="1:65" ht="14.25" customHeight="1" x14ac:dyDescent="0.2">
      <c r="A79" s="2" t="str">
        <f>+_xlfn.XLOOKUP(B79,'[1]Proyectos (NO FILTRAR)'!$F:$F,'[1]Proyectos (NO FILTRAR)'!$B:$B,0,0,1)</f>
        <v>CH-LUN-OP-FEL00-110-A</v>
      </c>
      <c r="B79" s="5" t="s">
        <v>262</v>
      </c>
      <c r="C79" s="5" t="str">
        <f>+_xlfn.XLOOKUP(A79,'[1]Proyectos (NO FILTRAR)'!$B:$B,'[1]Proyectos (NO FILTRAR)'!$G:$G,"error",0,1)</f>
        <v>Chile</v>
      </c>
      <c r="D79" s="5" t="s">
        <v>27</v>
      </c>
      <c r="E79" s="5" t="s">
        <v>56</v>
      </c>
      <c r="F79" s="5" t="s">
        <v>258</v>
      </c>
      <c r="G79" s="14"/>
      <c r="H79" s="14" t="s">
        <v>265</v>
      </c>
      <c r="I79" s="6">
        <f>+_xlfn.XLOOKUP(B79,'[1]Proyectos (NO FILTRAR)'!$F:$F,'[1]Proyectos (NO FILTRAR)'!$O:$O,"!",0,1)</f>
        <v>123240</v>
      </c>
      <c r="J79" s="51">
        <f t="shared" si="19"/>
        <v>120155.94</v>
      </c>
      <c r="K79" s="47">
        <f t="shared" si="35"/>
        <v>0.9749751703992211</v>
      </c>
      <c r="L79" s="7">
        <f t="shared" si="36"/>
        <v>3084.0599999999977</v>
      </c>
      <c r="M79" s="52">
        <f t="shared" si="37"/>
        <v>2.5024829600778949E-2</v>
      </c>
      <c r="N79" s="65"/>
      <c r="O79" s="52">
        <f t="shared" si="38"/>
        <v>0</v>
      </c>
      <c r="P79" s="65">
        <f t="shared" si="39"/>
        <v>123240</v>
      </c>
      <c r="Q79" s="48">
        <v>0</v>
      </c>
      <c r="R79" s="48">
        <f t="shared" si="40"/>
        <v>123240</v>
      </c>
      <c r="S79" s="8"/>
      <c r="T79" s="9"/>
      <c r="U79" s="8"/>
      <c r="V79" s="8"/>
      <c r="W79" s="9"/>
      <c r="X79" s="8"/>
      <c r="Y79" s="27"/>
      <c r="Z79" s="8"/>
      <c r="AA79" s="26"/>
      <c r="AB79" s="27"/>
      <c r="AC79" s="8"/>
      <c r="AD79" s="26"/>
      <c r="AE79" s="71"/>
      <c r="AF79" s="8"/>
      <c r="AG79" s="26"/>
      <c r="AH79" s="71"/>
      <c r="AI79" s="8"/>
      <c r="AJ79" s="26"/>
      <c r="AK79" s="71"/>
      <c r="AL79" s="8"/>
      <c r="AM79" s="26"/>
      <c r="AN79" s="71"/>
      <c r="AO79" s="55"/>
      <c r="AP79" s="26"/>
      <c r="AQ79" s="71"/>
      <c r="AR79" s="55"/>
      <c r="AS79" s="68"/>
      <c r="AT79" s="71"/>
      <c r="AU79" s="67"/>
      <c r="AV79" s="68"/>
      <c r="AW79" s="71"/>
      <c r="AX79" s="67"/>
      <c r="AY79" s="68"/>
      <c r="AZ79" s="71"/>
      <c r="BA79" s="67"/>
      <c r="BB79" s="68"/>
      <c r="BC79" s="70">
        <v>20675</v>
      </c>
      <c r="BD79" s="68">
        <v>19870</v>
      </c>
      <c r="BE79" s="71">
        <v>17060</v>
      </c>
      <c r="BF79" s="68">
        <v>50000</v>
      </c>
      <c r="BG79" s="102"/>
      <c r="BH79" s="67">
        <f>_xlfn.XLOOKUP(A79,'[3]Resumen POM'!$I:$I,'[3]Resumen POM'!$D:$D,"",0,1)</f>
        <v>26759.51999999999</v>
      </c>
      <c r="BI79" s="71">
        <v>82420.94</v>
      </c>
      <c r="BK79" s="103">
        <f t="shared" si="26"/>
        <v>0.85858077503774533</v>
      </c>
      <c r="BL79" s="103">
        <f t="shared" si="27"/>
        <v>0</v>
      </c>
      <c r="BM79" s="103">
        <f t="shared" si="28"/>
        <v>1</v>
      </c>
    </row>
    <row r="80" spans="1:65" ht="14.25" customHeight="1" x14ac:dyDescent="0.2">
      <c r="A80" s="2" t="str">
        <f>+_xlfn.XLOOKUP(B80,'[1]Proyectos (NO FILTRAR)'!$F:$F,'[1]Proyectos (NO FILTRAR)'!$B:$B,0,0,1)</f>
        <v>CH-LUN-CS-OTR00-113-A</v>
      </c>
      <c r="B80" s="5" t="s">
        <v>263</v>
      </c>
      <c r="C80" s="5" t="str">
        <f>+_xlfn.XLOOKUP(A80,'[1]Proyectos (NO FILTRAR)'!$B:$B,'[1]Proyectos (NO FILTRAR)'!$G:$G,"error",0,1)</f>
        <v>Chile</v>
      </c>
      <c r="D80" s="5" t="s">
        <v>27</v>
      </c>
      <c r="E80" s="5" t="s">
        <v>56</v>
      </c>
      <c r="F80" s="5" t="s">
        <v>33</v>
      </c>
      <c r="G80" s="14"/>
      <c r="H80" s="14" t="s">
        <v>50</v>
      </c>
      <c r="I80" s="6">
        <f>+_xlfn.XLOOKUP(B80,'[1]Proyectos (NO FILTRAR)'!$F:$F,'[1]Proyectos (NO FILTRAR)'!$O:$O,"!",0,1)</f>
        <v>61650</v>
      </c>
      <c r="J80" s="51">
        <f t="shared" si="19"/>
        <v>66652</v>
      </c>
      <c r="K80" s="47">
        <f t="shared" si="35"/>
        <v>1.0811354420113544</v>
      </c>
      <c r="L80" s="7">
        <f t="shared" si="36"/>
        <v>-5002</v>
      </c>
      <c r="M80" s="52">
        <f t="shared" si="37"/>
        <v>-8.1135442011354419E-2</v>
      </c>
      <c r="N80" s="65"/>
      <c r="O80" s="52">
        <f t="shared" si="38"/>
        <v>0</v>
      </c>
      <c r="P80" s="65">
        <f t="shared" si="39"/>
        <v>61650</v>
      </c>
      <c r="Q80" s="48">
        <v>0</v>
      </c>
      <c r="R80" s="48">
        <f t="shared" si="40"/>
        <v>61650</v>
      </c>
      <c r="S80" s="8"/>
      <c r="T80" s="9"/>
      <c r="U80" s="8"/>
      <c r="V80" s="8"/>
      <c r="W80" s="9"/>
      <c r="X80" s="8"/>
      <c r="Y80" s="27"/>
      <c r="Z80" s="8"/>
      <c r="AA80" s="26"/>
      <c r="AB80" s="27"/>
      <c r="AC80" s="8"/>
      <c r="AD80" s="26"/>
      <c r="AE80" s="71"/>
      <c r="AF80" s="8"/>
      <c r="AG80" s="26"/>
      <c r="AH80" s="71"/>
      <c r="AI80" s="8"/>
      <c r="AJ80" s="26"/>
      <c r="AK80" s="71"/>
      <c r="AL80" s="8"/>
      <c r="AM80" s="26"/>
      <c r="AN80" s="71"/>
      <c r="AO80" s="55"/>
      <c r="AP80" s="26"/>
      <c r="AQ80" s="71"/>
      <c r="AR80" s="55"/>
      <c r="AS80" s="68"/>
      <c r="AT80" s="71"/>
      <c r="AU80" s="67"/>
      <c r="AV80" s="68"/>
      <c r="AW80" s="71"/>
      <c r="AX80" s="67"/>
      <c r="AY80" s="68"/>
      <c r="AZ80" s="71"/>
      <c r="BA80" s="67"/>
      <c r="BB80" s="68"/>
      <c r="BC80" s="70"/>
      <c r="BD80" s="68"/>
      <c r="BE80" s="71"/>
      <c r="BF80" s="68">
        <v>65000</v>
      </c>
      <c r="BG80" s="71"/>
      <c r="BH80" s="67">
        <f>_xlfn.XLOOKUP(A80,'[3]Resumen POM'!$I:$I,'[3]Resumen POM'!$D:$D,"",0,1)</f>
        <v>65000</v>
      </c>
      <c r="BI80" s="71">
        <f>61650+5002</f>
        <v>66652</v>
      </c>
      <c r="BK80" s="103" t="str">
        <f t="shared" si="26"/>
        <v/>
      </c>
      <c r="BL80" s="103">
        <f t="shared" si="27"/>
        <v>0</v>
      </c>
      <c r="BM80" s="103">
        <f t="shared" si="28"/>
        <v>1</v>
      </c>
    </row>
    <row r="81" spans="1:65" ht="14.25" customHeight="1" x14ac:dyDescent="0.2">
      <c r="A81" s="2" t="str">
        <f>+_xlfn.XLOOKUP(B81,'[1]Proyectos (NO FILTRAR)'!$F:$F,'[1]Proyectos (NO FILTRAR)'!$B:$B,0,0,1)</f>
        <v>BR-MOS-CS-OTR00-115-A</v>
      </c>
      <c r="B81" s="5" t="s">
        <v>264</v>
      </c>
      <c r="C81" s="5" t="str">
        <f>+_xlfn.XLOOKUP(A81,'[1]Proyectos (NO FILTRAR)'!$B:$B,'[1]Proyectos (NO FILTRAR)'!$G:$G,"error",0,1)</f>
        <v>Brasil</v>
      </c>
      <c r="D81" s="5" t="s">
        <v>27</v>
      </c>
      <c r="E81" s="5" t="s">
        <v>56</v>
      </c>
      <c r="F81" s="5" t="s">
        <v>33</v>
      </c>
      <c r="G81" s="14"/>
      <c r="H81" s="14" t="s">
        <v>266</v>
      </c>
      <c r="I81" s="6">
        <f>+_xlfn.XLOOKUP(B81,'[1]Proyectos (NO FILTRAR)'!$F:$F,'[1]Proyectos (NO FILTRAR)'!$O:$O,"!",0,1)</f>
        <v>60100.34</v>
      </c>
      <c r="J81" s="51">
        <f t="shared" si="19"/>
        <v>25514</v>
      </c>
      <c r="K81" s="47">
        <f t="shared" si="35"/>
        <v>0.42452338871959794</v>
      </c>
      <c r="L81" s="7">
        <f t="shared" si="36"/>
        <v>34586.339999999997</v>
      </c>
      <c r="M81" s="52">
        <f t="shared" si="37"/>
        <v>0.57547661128040206</v>
      </c>
      <c r="N81" s="65"/>
      <c r="O81" s="52">
        <f t="shared" si="38"/>
        <v>0</v>
      </c>
      <c r="P81" s="65">
        <f t="shared" si="39"/>
        <v>60100.34</v>
      </c>
      <c r="Q81" s="48">
        <v>0</v>
      </c>
      <c r="R81" s="48">
        <f t="shared" si="40"/>
        <v>60100.34</v>
      </c>
      <c r="S81" s="8"/>
      <c r="T81" s="9"/>
      <c r="U81" s="8"/>
      <c r="V81" s="8"/>
      <c r="W81" s="9"/>
      <c r="X81" s="8"/>
      <c r="Y81" s="27"/>
      <c r="Z81" s="8"/>
      <c r="AA81" s="26"/>
      <c r="AB81" s="27"/>
      <c r="AC81" s="8"/>
      <c r="AD81" s="26"/>
      <c r="AE81" s="71"/>
      <c r="AF81" s="8"/>
      <c r="AG81" s="26"/>
      <c r="AH81" s="71"/>
      <c r="AI81" s="8"/>
      <c r="AJ81" s="26"/>
      <c r="AK81" s="71"/>
      <c r="AL81" s="8"/>
      <c r="AM81" s="26"/>
      <c r="AN81" s="71"/>
      <c r="AO81" s="55"/>
      <c r="AP81" s="26"/>
      <c r="AQ81" s="71"/>
      <c r="AR81" s="55"/>
      <c r="AS81" s="68"/>
      <c r="AT81" s="71"/>
      <c r="AU81" s="67"/>
      <c r="AV81" s="68"/>
      <c r="AW81" s="71"/>
      <c r="AX81" s="67"/>
      <c r="AY81" s="68"/>
      <c r="AZ81" s="71"/>
      <c r="BA81" s="67"/>
      <c r="BB81" s="68"/>
      <c r="BC81" s="70"/>
      <c r="BD81" s="68"/>
      <c r="BE81" s="71"/>
      <c r="BF81" s="68">
        <v>10000</v>
      </c>
      <c r="BG81" s="101">
        <v>8053</v>
      </c>
      <c r="BH81" s="67">
        <f>_xlfn.XLOOKUP(A81,'[3]Resumen POM'!$I:$I,'[3]Resumen POM'!$D:$D,"",0,1)</f>
        <v>17300</v>
      </c>
      <c r="BI81" s="71">
        <v>17461</v>
      </c>
      <c r="BK81" s="103" t="str">
        <f t="shared" si="26"/>
        <v/>
      </c>
      <c r="BL81" s="103">
        <f t="shared" si="27"/>
        <v>0.80530000000000002</v>
      </c>
      <c r="BM81" s="103">
        <f t="shared" si="28"/>
        <v>1</v>
      </c>
    </row>
    <row r="82" spans="1:65" ht="14.25" customHeight="1" x14ac:dyDescent="0.2">
      <c r="A82" s="2" t="str">
        <f>+_xlfn.XLOOKUP(B82,'[1]Proyectos (NO FILTRAR)'!$F:$F,'[1]Proyectos (NO FILTRAR)'!$B:$B,0,0,1)</f>
        <v>CH-CMP-UG-OTR00-095-A</v>
      </c>
      <c r="B82" s="5" t="s">
        <v>252</v>
      </c>
      <c r="C82" s="5" t="str">
        <f>+_xlfn.XLOOKUP(A82,'[1]Proyectos (NO FILTRAR)'!$B:$B,'[1]Proyectos (NO FILTRAR)'!$G:$G,"error",0,1)</f>
        <v>Chile</v>
      </c>
      <c r="D82" s="5" t="s">
        <v>27</v>
      </c>
      <c r="E82" s="5" t="s">
        <v>56</v>
      </c>
      <c r="F82" s="5" t="s">
        <v>30</v>
      </c>
      <c r="G82" s="14"/>
      <c r="H82" s="14" t="s">
        <v>109</v>
      </c>
      <c r="I82" s="6">
        <f>+_xlfn.XLOOKUP(B82,'[1]Proyectos (NO FILTRAR)'!$F:$F,'[1]Proyectos (NO FILTRAR)'!$O:$O,"!",0,1)</f>
        <v>94854</v>
      </c>
      <c r="J82" s="51">
        <f t="shared" si="19"/>
        <v>79951</v>
      </c>
      <c r="K82" s="47">
        <f t="shared" si="29"/>
        <v>0.84288485461867713</v>
      </c>
      <c r="L82" s="7">
        <f t="shared" si="30"/>
        <v>14903</v>
      </c>
      <c r="M82" s="52">
        <f t="shared" si="31"/>
        <v>0.15711514538132287</v>
      </c>
      <c r="N82" s="65"/>
      <c r="O82" s="52">
        <f t="shared" si="32"/>
        <v>0</v>
      </c>
      <c r="P82" s="65">
        <f t="shared" si="33"/>
        <v>94854</v>
      </c>
      <c r="Q82" s="48">
        <v>0</v>
      </c>
      <c r="R82" s="48">
        <f t="shared" si="34"/>
        <v>94854</v>
      </c>
      <c r="S82" s="8"/>
      <c r="T82" s="9"/>
      <c r="U82" s="8"/>
      <c r="V82" s="8"/>
      <c r="W82" s="9"/>
      <c r="X82" s="8"/>
      <c r="Y82" s="27"/>
      <c r="Z82" s="8"/>
      <c r="AA82" s="26"/>
      <c r="AB82" s="27"/>
      <c r="AC82" s="8"/>
      <c r="AD82" s="26"/>
      <c r="AE82" s="71"/>
      <c r="AF82" s="8"/>
      <c r="AG82" s="26"/>
      <c r="AH82" s="71"/>
      <c r="AI82" s="8"/>
      <c r="AJ82" s="26"/>
      <c r="AK82" s="71"/>
      <c r="AL82" s="8"/>
      <c r="AM82" s="26"/>
      <c r="AN82" s="71"/>
      <c r="AO82" s="55"/>
      <c r="AP82" s="26"/>
      <c r="AQ82" s="71"/>
      <c r="AR82" s="55"/>
      <c r="AS82" s="68"/>
      <c r="AT82" s="71"/>
      <c r="AU82" s="67"/>
      <c r="AV82" s="68"/>
      <c r="AW82" s="71"/>
      <c r="AX82" s="67"/>
      <c r="AY82" s="68"/>
      <c r="AZ82" s="71">
        <f>6500+2406</f>
        <v>8906</v>
      </c>
      <c r="BA82" s="67"/>
      <c r="BB82" s="68"/>
      <c r="BC82" s="70">
        <v>13808</v>
      </c>
      <c r="BD82" s="68">
        <v>6177</v>
      </c>
      <c r="BE82" s="71">
        <v>3212</v>
      </c>
      <c r="BF82" s="68">
        <v>24389</v>
      </c>
      <c r="BG82" s="101">
        <v>17309</v>
      </c>
      <c r="BH82" s="67">
        <f>_xlfn.XLOOKUP(A82,'[3]Resumen POM'!$I:$I,'[3]Resumen POM'!$D:$D,"",0,1)</f>
        <v>27000</v>
      </c>
      <c r="BI82" s="71">
        <v>36716</v>
      </c>
      <c r="BK82" s="103">
        <f t="shared" si="26"/>
        <v>0.51999352436457824</v>
      </c>
      <c r="BL82" s="103">
        <f t="shared" si="27"/>
        <v>0.70970519496494322</v>
      </c>
      <c r="BM82" s="103">
        <f t="shared" si="28"/>
        <v>1</v>
      </c>
    </row>
    <row r="83" spans="1:65" ht="14.25" customHeight="1" x14ac:dyDescent="0.2">
      <c r="A83" s="2" t="str">
        <f>+_xlfn.XLOOKUP(B83,'[1]Proyectos (NO FILTRAR)'!$F:$F,'[1]Proyectos (NO FILTRAR)'!$B:$B,0,0,1)</f>
        <v>CH-CMP-OP-OTR00-096-A</v>
      </c>
      <c r="B83" s="5" t="s">
        <v>253</v>
      </c>
      <c r="C83" s="5" t="str">
        <f>+_xlfn.XLOOKUP(A83,'[1]Proyectos (NO FILTRAR)'!$B:$B,'[1]Proyectos (NO FILTRAR)'!$G:$G,"error",0,1)</f>
        <v>Chile</v>
      </c>
      <c r="D83" s="5" t="s">
        <v>27</v>
      </c>
      <c r="E83" s="5" t="s">
        <v>56</v>
      </c>
      <c r="F83" s="5" t="s">
        <v>104</v>
      </c>
      <c r="G83" s="14"/>
      <c r="H83" s="14" t="s">
        <v>255</v>
      </c>
      <c r="I83" s="6">
        <v>64095</v>
      </c>
      <c r="J83" s="51">
        <f t="shared" si="19"/>
        <v>55137.5</v>
      </c>
      <c r="K83" s="47">
        <f t="shared" si="29"/>
        <v>0.86024650908807243</v>
      </c>
      <c r="L83" s="7">
        <f t="shared" si="30"/>
        <v>8957.5</v>
      </c>
      <c r="M83" s="52">
        <f t="shared" si="31"/>
        <v>0.1397534909119276</v>
      </c>
      <c r="N83" s="65"/>
      <c r="O83" s="52">
        <f t="shared" si="32"/>
        <v>0</v>
      </c>
      <c r="P83" s="65">
        <f t="shared" si="33"/>
        <v>64095</v>
      </c>
      <c r="Q83" s="48">
        <v>0</v>
      </c>
      <c r="R83" s="48">
        <f t="shared" si="34"/>
        <v>64095</v>
      </c>
      <c r="S83" s="8"/>
      <c r="T83" s="9"/>
      <c r="U83" s="8"/>
      <c r="V83" s="8"/>
      <c r="W83" s="9"/>
      <c r="X83" s="8"/>
      <c r="Y83" s="27"/>
      <c r="Z83" s="8"/>
      <c r="AA83" s="26"/>
      <c r="AB83" s="27"/>
      <c r="AC83" s="8"/>
      <c r="AD83" s="26"/>
      <c r="AE83" s="71"/>
      <c r="AF83" s="8"/>
      <c r="AG83" s="26"/>
      <c r="AH83" s="71"/>
      <c r="AI83" s="8"/>
      <c r="AJ83" s="26"/>
      <c r="AK83" s="71"/>
      <c r="AL83" s="8"/>
      <c r="AM83" s="26"/>
      <c r="AN83" s="71"/>
      <c r="AO83" s="55"/>
      <c r="AP83" s="26"/>
      <c r="AQ83" s="71"/>
      <c r="AR83" s="55"/>
      <c r="AS83" s="68"/>
      <c r="AT83" s="71"/>
      <c r="AU83" s="67"/>
      <c r="AV83" s="68"/>
      <c r="AW83" s="71"/>
      <c r="AX83" s="67"/>
      <c r="AY83" s="68"/>
      <c r="AZ83" s="71">
        <f>5300+2406</f>
        <v>7706</v>
      </c>
      <c r="BA83" s="67"/>
      <c r="BB83" s="68"/>
      <c r="BC83" s="70">
        <v>4603</v>
      </c>
      <c r="BD83" s="68">
        <v>29400</v>
      </c>
      <c r="BE83" s="71">
        <v>3705</v>
      </c>
      <c r="BF83" s="68">
        <v>5000</v>
      </c>
      <c r="BG83" s="101">
        <v>4391.5</v>
      </c>
      <c r="BH83" s="67">
        <f>_xlfn.XLOOKUP(A83,'[3]Resumen POM'!$I:$I,'[3]Resumen POM'!$D:$D,"",0,1)</f>
        <v>40106</v>
      </c>
      <c r="BI83" s="71">
        <v>34732</v>
      </c>
      <c r="BK83" s="103">
        <f t="shared" si="26"/>
        <v>0.12602040816326532</v>
      </c>
      <c r="BL83" s="103">
        <f t="shared" si="27"/>
        <v>0.87829999999999997</v>
      </c>
      <c r="BM83" s="103">
        <f t="shared" si="28"/>
        <v>0.86600508652072006</v>
      </c>
    </row>
    <row r="84" spans="1:65" ht="14.25" customHeight="1" x14ac:dyDescent="0.2">
      <c r="A84" s="2" t="str">
        <f>+_xlfn.XLOOKUP(B84,'[1]Proyectos (NO FILTRAR)'!$F:$F,'[1]Proyectos (NO FILTRAR)'!$B:$B,0,0,1)</f>
        <v>CH-CMP-OP-FEL00-106-A</v>
      </c>
      <c r="B84" s="5" t="s">
        <v>270</v>
      </c>
      <c r="C84" s="5" t="str">
        <f>+_xlfn.XLOOKUP(A84,'[1]Proyectos (NO FILTRAR)'!$B:$B,'[1]Proyectos (NO FILTRAR)'!$G:$G,"error",0,1)</f>
        <v>Chile</v>
      </c>
      <c r="D84" s="5" t="s">
        <v>27</v>
      </c>
      <c r="E84" s="5" t="s">
        <v>56</v>
      </c>
      <c r="F84" s="5" t="s">
        <v>261</v>
      </c>
      <c r="G84" s="14"/>
      <c r="H84" s="14" t="s">
        <v>274</v>
      </c>
      <c r="I84" s="6">
        <f>+_xlfn.XLOOKUP(B84,'[1]Proyectos (NO FILTRAR)'!$F:$F,'[1]Proyectos (NO FILTRAR)'!$O:$O,"!",0,1)</f>
        <v>121038.49</v>
      </c>
      <c r="J84" s="51">
        <f t="shared" si="19"/>
        <v>46214.27</v>
      </c>
      <c r="K84" s="47">
        <f t="shared" ref="K84:K92" si="41">+IFERROR(J84/I84,0)</f>
        <v>0.38181466077443627</v>
      </c>
      <c r="L84" s="7">
        <f t="shared" ref="L84:L92" si="42">+I84-J84</f>
        <v>74824.22</v>
      </c>
      <c r="M84" s="52">
        <f t="shared" ref="M84:M87" si="43">+IFERROR(L84/I84,0)</f>
        <v>0.61818533922556373</v>
      </c>
      <c r="N84" s="65"/>
      <c r="O84" s="52">
        <f t="shared" ref="O84:O87" si="44">IFERROR(N84/I84,0)</f>
        <v>0</v>
      </c>
      <c r="P84" s="65">
        <f t="shared" ref="P84:P87" si="45">+I84-N84</f>
        <v>121038.49</v>
      </c>
      <c r="Q84" s="48">
        <v>0</v>
      </c>
      <c r="R84" s="48">
        <f t="shared" ref="R84:R87" si="46">+I84-Q84</f>
        <v>121038.49</v>
      </c>
      <c r="S84" s="8"/>
      <c r="T84" s="9"/>
      <c r="U84" s="8"/>
      <c r="V84" s="8"/>
      <c r="W84" s="9"/>
      <c r="X84" s="8"/>
      <c r="Y84" s="27"/>
      <c r="Z84" s="8"/>
      <c r="AA84" s="26"/>
      <c r="AB84" s="27"/>
      <c r="AC84" s="8"/>
      <c r="AD84" s="26"/>
      <c r="AE84" s="71"/>
      <c r="AF84" s="8"/>
      <c r="AG84" s="26"/>
      <c r="AH84" s="71"/>
      <c r="AI84" s="8"/>
      <c r="AJ84" s="26"/>
      <c r="AK84" s="71"/>
      <c r="AL84" s="8"/>
      <c r="AM84" s="26"/>
      <c r="AN84" s="71"/>
      <c r="AO84" s="55"/>
      <c r="AP84" s="26"/>
      <c r="AQ84" s="71"/>
      <c r="AR84" s="55"/>
      <c r="AS84" s="68"/>
      <c r="AT84" s="71"/>
      <c r="AU84" s="67"/>
      <c r="AV84" s="68"/>
      <c r="AW84" s="71"/>
      <c r="AX84" s="67"/>
      <c r="AY84" s="68"/>
      <c r="AZ84" s="71"/>
      <c r="BA84" s="67"/>
      <c r="BB84" s="68"/>
      <c r="BC84" s="70"/>
      <c r="BD84" s="68"/>
      <c r="BE84" s="71"/>
      <c r="BF84" s="68">
        <v>15000</v>
      </c>
      <c r="BG84" s="102"/>
      <c r="BH84" s="67">
        <f>_xlfn.XLOOKUP(A84,'[3]Resumen POM'!$I:$I,'[3]Resumen POM'!$D:$D,"",0,1)</f>
        <v>22500</v>
      </c>
      <c r="BI84" s="71">
        <v>46214.27</v>
      </c>
      <c r="BK84" s="103" t="str">
        <f t="shared" si="26"/>
        <v/>
      </c>
      <c r="BL84" s="103">
        <f t="shared" si="27"/>
        <v>0</v>
      </c>
      <c r="BM84" s="103">
        <f t="shared" si="28"/>
        <v>1</v>
      </c>
    </row>
    <row r="85" spans="1:65" ht="14.25" customHeight="1" x14ac:dyDescent="0.2">
      <c r="A85" s="2" t="str">
        <f>+_xlfn.XLOOKUP(B85,'[1]Proyectos (NO FILTRAR)'!$F:$F,'[1]Proyectos (NO FILTRAR)'!$B:$B,0,0,1)</f>
        <v>CH-AMS-CS-OTR00-116-A</v>
      </c>
      <c r="B85" s="5" t="s">
        <v>271</v>
      </c>
      <c r="C85" s="5" t="str">
        <f>+_xlfn.XLOOKUP(A85,'[1]Proyectos (NO FILTRAR)'!$B:$B,'[1]Proyectos (NO FILTRAR)'!$G:$G,"error",0,1)</f>
        <v>Chile</v>
      </c>
      <c r="D85" s="5" t="s">
        <v>27</v>
      </c>
      <c r="E85" s="5" t="s">
        <v>56</v>
      </c>
      <c r="F85" s="5" t="s">
        <v>254</v>
      </c>
      <c r="G85" s="14"/>
      <c r="H85" s="14" t="s">
        <v>266</v>
      </c>
      <c r="I85" s="6">
        <f>+_xlfn.XLOOKUP(B85,'[1]Proyectos (NO FILTRAR)'!$F:$F,'[1]Proyectos (NO FILTRAR)'!$O:$O,"!",0,1)</f>
        <v>134445.66999999998</v>
      </c>
      <c r="J85" s="51">
        <f t="shared" si="19"/>
        <v>0</v>
      </c>
      <c r="K85" s="47">
        <f t="shared" si="41"/>
        <v>0</v>
      </c>
      <c r="L85" s="7">
        <f t="shared" si="42"/>
        <v>134445.66999999998</v>
      </c>
      <c r="M85" s="52">
        <f t="shared" si="43"/>
        <v>1</v>
      </c>
      <c r="N85" s="65"/>
      <c r="O85" s="52">
        <f t="shared" si="44"/>
        <v>0</v>
      </c>
      <c r="P85" s="65">
        <f t="shared" si="45"/>
        <v>134445.66999999998</v>
      </c>
      <c r="Q85" s="48">
        <v>0</v>
      </c>
      <c r="R85" s="48">
        <f t="shared" si="46"/>
        <v>134445.66999999998</v>
      </c>
      <c r="S85" s="8"/>
      <c r="T85" s="9"/>
      <c r="U85" s="8"/>
      <c r="V85" s="8"/>
      <c r="W85" s="9"/>
      <c r="X85" s="8"/>
      <c r="Y85" s="27"/>
      <c r="Z85" s="8"/>
      <c r="AA85" s="26"/>
      <c r="AB85" s="27"/>
      <c r="AC85" s="8"/>
      <c r="AD85" s="26"/>
      <c r="AE85" s="71"/>
      <c r="AF85" s="8"/>
      <c r="AG85" s="26"/>
      <c r="AH85" s="71"/>
      <c r="AI85" s="8"/>
      <c r="AJ85" s="26"/>
      <c r="AK85" s="71"/>
      <c r="AL85" s="8"/>
      <c r="AM85" s="26"/>
      <c r="AN85" s="71"/>
      <c r="AO85" s="55"/>
      <c r="AP85" s="26"/>
      <c r="AQ85" s="71"/>
      <c r="AR85" s="55"/>
      <c r="AS85" s="68"/>
      <c r="AT85" s="71"/>
      <c r="AU85" s="67"/>
      <c r="AV85" s="68"/>
      <c r="AW85" s="71"/>
      <c r="AX85" s="67"/>
      <c r="AY85" s="68"/>
      <c r="AZ85" s="71"/>
      <c r="BA85" s="67"/>
      <c r="BB85" s="68"/>
      <c r="BC85" s="70"/>
      <c r="BD85" s="68"/>
      <c r="BE85" s="71"/>
      <c r="BF85" s="68">
        <v>10000</v>
      </c>
      <c r="BG85" s="71"/>
      <c r="BH85" s="67">
        <f>_xlfn.XLOOKUP(A85,'[3]Resumen POM'!$I:$I,'[3]Resumen POM'!$D:$D,"",0,1)</f>
        <v>20000</v>
      </c>
      <c r="BI85" s="71">
        <v>0</v>
      </c>
      <c r="BK85" s="103" t="str">
        <f t="shared" si="26"/>
        <v/>
      </c>
      <c r="BL85" s="103">
        <f t="shared" si="27"/>
        <v>0</v>
      </c>
      <c r="BM85" s="103">
        <f t="shared" si="28"/>
        <v>0</v>
      </c>
    </row>
    <row r="86" spans="1:65" ht="14.25" customHeight="1" x14ac:dyDescent="0.2">
      <c r="A86" s="2" t="str">
        <f>+_xlfn.XLOOKUP(B86,'[1]Proyectos (NO FILTRAR)'!$F:$F,'[1]Proyectos (NO FILTRAR)'!$B:$B,0,0,1)</f>
        <v>CH-CCO-CS-FEL00-117-A</v>
      </c>
      <c r="B86" s="5" t="s">
        <v>272</v>
      </c>
      <c r="C86" s="5" t="str">
        <f>+_xlfn.XLOOKUP(A86,'[1]Proyectos (NO FILTRAR)'!$B:$B,'[1]Proyectos (NO FILTRAR)'!$G:$G,"error",0,1)</f>
        <v>Chile</v>
      </c>
      <c r="D86" s="5" t="s">
        <v>27</v>
      </c>
      <c r="E86" s="5" t="s">
        <v>56</v>
      </c>
      <c r="F86" s="5" t="s">
        <v>261</v>
      </c>
      <c r="G86" s="14"/>
      <c r="H86" s="14" t="s">
        <v>266</v>
      </c>
      <c r="I86" s="6">
        <f>+_xlfn.XLOOKUP(B86,'[1]Proyectos (NO FILTRAR)'!$F:$F,'[1]Proyectos (NO FILTRAR)'!$O:$O,"!",0,1)</f>
        <v>196000.3</v>
      </c>
      <c r="J86" s="51">
        <f t="shared" si="19"/>
        <v>160223</v>
      </c>
      <c r="K86" s="47">
        <f t="shared" si="41"/>
        <v>0.8174630344953554</v>
      </c>
      <c r="L86" s="7">
        <f t="shared" si="42"/>
        <v>35777.299999999988</v>
      </c>
      <c r="M86" s="52">
        <f t="shared" si="43"/>
        <v>0.1825369655046446</v>
      </c>
      <c r="N86" s="65"/>
      <c r="O86" s="52">
        <f t="shared" si="44"/>
        <v>0</v>
      </c>
      <c r="P86" s="65">
        <f t="shared" si="45"/>
        <v>196000.3</v>
      </c>
      <c r="Q86" s="48">
        <v>0</v>
      </c>
      <c r="R86" s="48">
        <f t="shared" si="46"/>
        <v>196000.3</v>
      </c>
      <c r="S86" s="8"/>
      <c r="T86" s="9"/>
      <c r="U86" s="8"/>
      <c r="V86" s="8"/>
      <c r="W86" s="9"/>
      <c r="X86" s="8"/>
      <c r="Y86" s="27"/>
      <c r="Z86" s="8"/>
      <c r="AA86" s="26"/>
      <c r="AB86" s="27"/>
      <c r="AC86" s="8"/>
      <c r="AD86" s="26"/>
      <c r="AE86" s="71"/>
      <c r="AF86" s="8"/>
      <c r="AG86" s="26"/>
      <c r="AH86" s="71"/>
      <c r="AI86" s="8"/>
      <c r="AJ86" s="26"/>
      <c r="AK86" s="71"/>
      <c r="AL86" s="8"/>
      <c r="AM86" s="26"/>
      <c r="AN86" s="71"/>
      <c r="AO86" s="55"/>
      <c r="AP86" s="26"/>
      <c r="AQ86" s="71"/>
      <c r="AR86" s="55"/>
      <c r="AS86" s="68"/>
      <c r="AT86" s="71"/>
      <c r="AU86" s="67"/>
      <c r="AV86" s="68"/>
      <c r="AW86" s="71"/>
      <c r="AX86" s="67"/>
      <c r="AY86" s="68"/>
      <c r="AZ86" s="71"/>
      <c r="BA86" s="67"/>
      <c r="BB86" s="68"/>
      <c r="BC86" s="70"/>
      <c r="BD86" s="68"/>
      <c r="BE86" s="71"/>
      <c r="BF86" s="68">
        <v>20320</v>
      </c>
      <c r="BG86" s="101">
        <v>31291</v>
      </c>
      <c r="BH86" s="67">
        <f>_xlfn.XLOOKUP(A86,'[3]Resumen POM'!$I:$I,'[3]Resumen POM'!$D:$D,"",0,1)</f>
        <v>64052</v>
      </c>
      <c r="BI86" s="71">
        <v>128932</v>
      </c>
      <c r="BK86" s="103" t="str">
        <f t="shared" si="26"/>
        <v/>
      </c>
      <c r="BL86" s="103">
        <f t="shared" si="27"/>
        <v>1</v>
      </c>
      <c r="BM86" s="103">
        <f t="shared" si="28"/>
        <v>1</v>
      </c>
    </row>
    <row r="87" spans="1:65" ht="14.25" customHeight="1" x14ac:dyDescent="0.2">
      <c r="A87" s="2" t="str">
        <f>+_xlfn.XLOOKUP(B87,'[1]Proyectos (NO FILTRAR)'!$F:$F,'[1]Proyectos (NO FILTRAR)'!$B:$B,0,0,1)</f>
        <v>PE-CMC-CD-OTR00-118-A</v>
      </c>
      <c r="B87" s="5" t="s">
        <v>273</v>
      </c>
      <c r="C87" s="5" t="str">
        <f>+_xlfn.XLOOKUP(A87,'[1]Proyectos (NO FILTRAR)'!$B:$B,'[1]Proyectos (NO FILTRAR)'!$G:$G,"error",0,1)</f>
        <v>Perú</v>
      </c>
      <c r="D87" s="5" t="s">
        <v>27</v>
      </c>
      <c r="E87" s="5" t="s">
        <v>56</v>
      </c>
      <c r="F87" s="5" t="s">
        <v>29</v>
      </c>
      <c r="G87" s="14"/>
      <c r="H87" s="14" t="s">
        <v>255</v>
      </c>
      <c r="I87" s="6">
        <f>+_xlfn.XLOOKUP(B87,'[1]Proyectos (NO FILTRAR)'!$F:$F,'[1]Proyectos (NO FILTRAR)'!$O:$O,"!",0,1)</f>
        <v>19700</v>
      </c>
      <c r="J87" s="51">
        <f t="shared" si="19"/>
        <v>19700</v>
      </c>
      <c r="K87" s="47">
        <f t="shared" si="41"/>
        <v>1</v>
      </c>
      <c r="L87" s="7">
        <f t="shared" si="42"/>
        <v>0</v>
      </c>
      <c r="M87" s="52">
        <f t="shared" si="43"/>
        <v>0</v>
      </c>
      <c r="N87" s="65"/>
      <c r="O87" s="52">
        <f t="shared" si="44"/>
        <v>0</v>
      </c>
      <c r="P87" s="65">
        <f t="shared" si="45"/>
        <v>19700</v>
      </c>
      <c r="Q87" s="48">
        <v>0</v>
      </c>
      <c r="R87" s="48">
        <f t="shared" si="46"/>
        <v>19700</v>
      </c>
      <c r="S87" s="8"/>
      <c r="T87" s="9"/>
      <c r="U87" s="8"/>
      <c r="V87" s="8"/>
      <c r="W87" s="9"/>
      <c r="X87" s="8"/>
      <c r="Y87" s="27"/>
      <c r="Z87" s="8"/>
      <c r="AA87" s="26"/>
      <c r="AB87" s="27"/>
      <c r="AC87" s="8"/>
      <c r="AD87" s="26"/>
      <c r="AE87" s="71"/>
      <c r="AF87" s="8"/>
      <c r="AG87" s="26"/>
      <c r="AH87" s="71"/>
      <c r="AI87" s="8"/>
      <c r="AJ87" s="26"/>
      <c r="AK87" s="71"/>
      <c r="AL87" s="8"/>
      <c r="AM87" s="26"/>
      <c r="AN87" s="71"/>
      <c r="AO87" s="55"/>
      <c r="AP87" s="26"/>
      <c r="AQ87" s="71"/>
      <c r="AR87" s="55"/>
      <c r="AS87" s="68"/>
      <c r="AT87" s="71"/>
      <c r="AU87" s="67"/>
      <c r="AV87" s="68"/>
      <c r="AW87" s="71"/>
      <c r="AX87" s="67"/>
      <c r="AY87" s="68"/>
      <c r="AZ87" s="71"/>
      <c r="BA87" s="67"/>
      <c r="BB87" s="68"/>
      <c r="BC87" s="70"/>
      <c r="BD87" s="68"/>
      <c r="BE87" s="71"/>
      <c r="BF87" s="68">
        <v>12000</v>
      </c>
      <c r="BG87" s="101">
        <v>12843</v>
      </c>
      <c r="BH87" s="67">
        <f>_xlfn.XLOOKUP(A87,'[3]Resumen POM'!$I:$I,'[3]Resumen POM'!$D:$D,"",0,1)</f>
        <v>6857</v>
      </c>
      <c r="BI87" s="71">
        <v>6857</v>
      </c>
      <c r="BK87" s="103" t="str">
        <f t="shared" si="26"/>
        <v/>
      </c>
      <c r="BL87" s="103">
        <f t="shared" si="27"/>
        <v>1</v>
      </c>
      <c r="BM87" s="103">
        <f t="shared" si="28"/>
        <v>1</v>
      </c>
    </row>
    <row r="88" spans="1:65" ht="14.25" customHeight="1" x14ac:dyDescent="0.2">
      <c r="A88" s="2" t="str">
        <f>+_xlfn.XLOOKUP(B88,'[1]Proyectos (NO FILTRAR)'!$F:$F,'[1]Proyectos (NO FILTRAR)'!$B:$B,0,0,1)</f>
        <v>OT-TWM-CS-FEL00-119-A</v>
      </c>
      <c r="B88" s="5" t="s">
        <v>276</v>
      </c>
      <c r="C88" s="5" t="str">
        <f>+_xlfn.XLOOKUP(A88,'[1]Proyectos (NO FILTRAR)'!$B:$B,'[1]Proyectos (NO FILTRAR)'!$G:$G,"error",0,1)</f>
        <v>Otros</v>
      </c>
      <c r="D88" s="5" t="s">
        <v>27</v>
      </c>
      <c r="E88" s="5" t="s">
        <v>56</v>
      </c>
      <c r="F88" s="5" t="s">
        <v>29</v>
      </c>
      <c r="G88" s="14"/>
      <c r="H88" s="14" t="s">
        <v>259</v>
      </c>
      <c r="I88" s="6">
        <f>+_xlfn.XLOOKUP(B88,'[1]Proyectos (NO FILTRAR)'!$F:$F,'[1]Proyectos (NO FILTRAR)'!$O:$O,"!",0,1)</f>
        <v>481541</v>
      </c>
      <c r="J88" s="51">
        <f t="shared" si="19"/>
        <v>112740.6</v>
      </c>
      <c r="K88" s="47">
        <f t="shared" si="41"/>
        <v>0.23412461244213889</v>
      </c>
      <c r="L88" s="7">
        <f t="shared" si="42"/>
        <v>368800.4</v>
      </c>
      <c r="M88" s="52">
        <f t="shared" ref="M88:M93" si="47">+IFERROR(L88/I88,0)</f>
        <v>0.76587538755786122</v>
      </c>
      <c r="N88" s="65"/>
      <c r="O88" s="52">
        <f t="shared" ref="O88:O90" si="48">IFERROR(N88/I88,0)</f>
        <v>0</v>
      </c>
      <c r="P88" s="65">
        <f t="shared" ref="P88:P90" si="49">+I88-N88</f>
        <v>481541</v>
      </c>
      <c r="Q88" s="48">
        <v>0</v>
      </c>
      <c r="R88" s="48">
        <f t="shared" ref="R88" si="50">+I88-Q88</f>
        <v>481541</v>
      </c>
      <c r="S88" s="8"/>
      <c r="T88" s="9"/>
      <c r="U88" s="8"/>
      <c r="V88" s="8"/>
      <c r="W88" s="9"/>
      <c r="X88" s="8"/>
      <c r="Y88" s="27"/>
      <c r="Z88" s="8"/>
      <c r="AA88" s="26"/>
      <c r="AB88" s="27"/>
      <c r="AC88" s="8"/>
      <c r="AD88" s="26"/>
      <c r="AE88" s="71"/>
      <c r="AF88" s="8"/>
      <c r="AG88" s="26"/>
      <c r="AH88" s="71"/>
      <c r="AI88" s="8"/>
      <c r="AJ88" s="26"/>
      <c r="AK88" s="71"/>
      <c r="AL88" s="8"/>
      <c r="AM88" s="26"/>
      <c r="AN88" s="71"/>
      <c r="AO88" s="55"/>
      <c r="AP88" s="26"/>
      <c r="AQ88" s="71"/>
      <c r="AR88" s="55"/>
      <c r="AS88" s="68"/>
      <c r="AT88" s="71"/>
      <c r="AU88" s="67"/>
      <c r="AV88" s="68"/>
      <c r="AW88" s="71"/>
      <c r="AX88" s="67"/>
      <c r="AY88" s="68"/>
      <c r="AZ88" s="71"/>
      <c r="BA88" s="67"/>
      <c r="BB88" s="68"/>
      <c r="BC88" s="70"/>
      <c r="BD88" s="68"/>
      <c r="BE88" s="71"/>
      <c r="BF88" s="68">
        <v>41000</v>
      </c>
      <c r="BG88" s="101">
        <v>51319</v>
      </c>
      <c r="BH88" s="67">
        <f>_xlfn.XLOOKUP(A88,'[3]Resumen POM'!$I:$I,'[3]Resumen POM'!$D:$D,"",0,1)</f>
        <v>90959</v>
      </c>
      <c r="BI88" s="71">
        <v>61421.599999999999</v>
      </c>
      <c r="BK88" s="103" t="str">
        <f t="shared" si="26"/>
        <v/>
      </c>
      <c r="BL88" s="103">
        <f t="shared" si="27"/>
        <v>1</v>
      </c>
      <c r="BM88" s="103">
        <f t="shared" si="28"/>
        <v>0.67526687848371247</v>
      </c>
    </row>
    <row r="89" spans="1:65" ht="14.25" customHeight="1" x14ac:dyDescent="0.2">
      <c r="A89" s="2" t="str">
        <f>+_xlfn.XLOOKUP(B89,'[1]Proyectos (NO FILTRAR)'!$F:$F,'[1]Proyectos (NO FILTRAR)'!$B:$B,0,0,1)</f>
        <v>OT-THC-CS-OTR00-122-A</v>
      </c>
      <c r="B89" s="109" t="s">
        <v>277</v>
      </c>
      <c r="C89" s="5" t="str">
        <f>+_xlfn.XLOOKUP(A89,'[1]Proyectos (NO FILTRAR)'!$B:$B,'[1]Proyectos (NO FILTRAR)'!$G:$G,"error",0,1)</f>
        <v>Otros</v>
      </c>
      <c r="D89" s="5" t="s">
        <v>27</v>
      </c>
      <c r="E89" s="5" t="s">
        <v>56</v>
      </c>
      <c r="F89" s="5" t="s">
        <v>39</v>
      </c>
      <c r="G89" s="14"/>
      <c r="H89" s="14" t="s">
        <v>39</v>
      </c>
      <c r="I89" s="6">
        <f>+_xlfn.XLOOKUP(B89,'[1]Proyectos (NO FILTRAR)'!$F:$F,'[1]Proyectos (NO FILTRAR)'!$O:$O,"!",0,1)</f>
        <v>645700</v>
      </c>
      <c r="J89" s="51">
        <f t="shared" si="19"/>
        <v>0</v>
      </c>
      <c r="K89" s="47">
        <f t="shared" si="41"/>
        <v>0</v>
      </c>
      <c r="L89" s="7">
        <f t="shared" si="42"/>
        <v>645700</v>
      </c>
      <c r="M89" s="52">
        <f t="shared" si="47"/>
        <v>1</v>
      </c>
      <c r="N89" s="65"/>
      <c r="O89" s="52">
        <f t="shared" si="48"/>
        <v>0</v>
      </c>
      <c r="P89" s="65">
        <f t="shared" si="49"/>
        <v>645700</v>
      </c>
      <c r="Q89" s="48">
        <v>0</v>
      </c>
      <c r="R89" s="48">
        <f t="shared" ref="R89:R90" si="51">+I89-Q89</f>
        <v>645700</v>
      </c>
      <c r="S89" s="8"/>
      <c r="T89" s="9"/>
      <c r="U89" s="8"/>
      <c r="V89" s="8"/>
      <c r="W89" s="9"/>
      <c r="X89" s="8"/>
      <c r="Y89" s="27"/>
      <c r="Z89" s="8"/>
      <c r="AA89" s="26"/>
      <c r="AB89" s="27"/>
      <c r="AC89" s="8"/>
      <c r="AD89" s="26"/>
      <c r="AE89" s="71"/>
      <c r="AF89" s="8"/>
      <c r="AG89" s="26"/>
      <c r="AH89" s="71"/>
      <c r="AI89" s="8"/>
      <c r="AJ89" s="26"/>
      <c r="AK89" s="71"/>
      <c r="AL89" s="8"/>
      <c r="AM89" s="26"/>
      <c r="AN89" s="71"/>
      <c r="AO89" s="55"/>
      <c r="AP89" s="26"/>
      <c r="AQ89" s="71"/>
      <c r="AR89" s="55"/>
      <c r="AS89" s="68"/>
      <c r="AT89" s="71"/>
      <c r="AU89" s="67"/>
      <c r="AV89" s="68"/>
      <c r="AW89" s="71"/>
      <c r="AX89" s="67"/>
      <c r="AY89" s="68"/>
      <c r="AZ89" s="71"/>
      <c r="BA89" s="67"/>
      <c r="BB89" s="68"/>
      <c r="BC89" s="70"/>
      <c r="BD89" s="68"/>
      <c r="BE89" s="71"/>
      <c r="BF89" s="68"/>
      <c r="BG89" s="71"/>
      <c r="BH89" s="67"/>
      <c r="BI89" s="71"/>
      <c r="BK89" s="103" t="str">
        <f t="shared" si="26"/>
        <v/>
      </c>
      <c r="BL89" s="103" t="str">
        <f t="shared" si="27"/>
        <v/>
      </c>
      <c r="BM89" s="103" t="str">
        <f t="shared" si="28"/>
        <v/>
      </c>
    </row>
    <row r="90" spans="1:65" ht="14.25" customHeight="1" x14ac:dyDescent="0.2">
      <c r="A90" s="2" t="str">
        <f>+_xlfn.XLOOKUP(B90,'[1]Proyectos (NO FILTRAR)'!$F:$F,'[1]Proyectos (NO FILTRAR)'!$B:$B,0,0,1)</f>
        <v>CH-COD-CS-OTR00-128-A</v>
      </c>
      <c r="B90" s="5" t="s">
        <v>278</v>
      </c>
      <c r="C90" s="5" t="str">
        <f>+_xlfn.XLOOKUP(A90,'[1]Proyectos (NO FILTRAR)'!$B:$B,'[1]Proyectos (NO FILTRAR)'!$G:$G,"error",0,1)</f>
        <v>Chile</v>
      </c>
      <c r="D90" s="5" t="s">
        <v>27</v>
      </c>
      <c r="E90" s="5" t="s">
        <v>56</v>
      </c>
      <c r="F90" s="5" t="s">
        <v>34</v>
      </c>
      <c r="G90" s="14"/>
      <c r="H90" s="14" t="s">
        <v>258</v>
      </c>
      <c r="I90" s="6">
        <f>+_xlfn.XLOOKUP(B90,'[1]Proyectos (NO FILTRAR)'!$F:$F,'[1]Proyectos (NO FILTRAR)'!$O:$O,"!",0,1)</f>
        <v>36418</v>
      </c>
      <c r="J90" s="51">
        <f t="shared" si="19"/>
        <v>29155</v>
      </c>
      <c r="K90" s="47">
        <f t="shared" si="41"/>
        <v>0.80056565434675164</v>
      </c>
      <c r="L90" s="7">
        <f t="shared" si="42"/>
        <v>7263</v>
      </c>
      <c r="M90" s="52">
        <f t="shared" si="47"/>
        <v>0.19943434565324838</v>
      </c>
      <c r="N90" s="65"/>
      <c r="O90" s="52">
        <f t="shared" si="48"/>
        <v>0</v>
      </c>
      <c r="P90" s="65">
        <f t="shared" si="49"/>
        <v>36418</v>
      </c>
      <c r="Q90" s="48">
        <v>0</v>
      </c>
      <c r="R90" s="48">
        <f t="shared" si="51"/>
        <v>36418</v>
      </c>
      <c r="S90" s="8"/>
      <c r="T90" s="9"/>
      <c r="U90" s="8"/>
      <c r="V90" s="8"/>
      <c r="W90" s="9"/>
      <c r="X90" s="8"/>
      <c r="Y90" s="27"/>
      <c r="Z90" s="8"/>
      <c r="AA90" s="26"/>
      <c r="AB90" s="27"/>
      <c r="AC90" s="8"/>
      <c r="AD90" s="26"/>
      <c r="AE90" s="71"/>
      <c r="AF90" s="8"/>
      <c r="AG90" s="26"/>
      <c r="AH90" s="71"/>
      <c r="AI90" s="8"/>
      <c r="AJ90" s="26"/>
      <c r="AK90" s="71"/>
      <c r="AL90" s="8"/>
      <c r="AM90" s="26"/>
      <c r="AN90" s="71"/>
      <c r="AO90" s="55"/>
      <c r="AP90" s="26"/>
      <c r="AQ90" s="71"/>
      <c r="AR90" s="55"/>
      <c r="AS90" s="68"/>
      <c r="AT90" s="71"/>
      <c r="AU90" s="67"/>
      <c r="AV90" s="68"/>
      <c r="AW90" s="71"/>
      <c r="AX90" s="67"/>
      <c r="AY90" s="68"/>
      <c r="AZ90" s="71"/>
      <c r="BA90" s="67"/>
      <c r="BB90" s="68"/>
      <c r="BC90" s="70"/>
      <c r="BD90" s="68"/>
      <c r="BE90" s="71"/>
      <c r="BF90" s="68">
        <v>11000</v>
      </c>
      <c r="BG90" s="101">
        <v>11004</v>
      </c>
      <c r="BH90" s="67">
        <f>_xlfn.XLOOKUP(A90,'[3]Resumen POM'!$I:$I,'[3]Resumen POM'!$D:$D,"",0,1)</f>
        <v>26296.620000000003</v>
      </c>
      <c r="BI90" s="71">
        <v>18151</v>
      </c>
      <c r="BK90" s="103" t="str">
        <f t="shared" si="26"/>
        <v/>
      </c>
      <c r="BL90" s="103">
        <f t="shared" si="27"/>
        <v>1</v>
      </c>
      <c r="BM90" s="103">
        <f t="shared" si="28"/>
        <v>0.69024079900762902</v>
      </c>
    </row>
    <row r="91" spans="1:65" ht="14.25" customHeight="1" x14ac:dyDescent="0.2">
      <c r="A91" s="2" t="str">
        <f>+_xlfn.XLOOKUP(B91,'[1]Proyectos (NO FILTRAR)'!$F:$F,'[1]Proyectos (NO FILTRAR)'!$B:$B,0,0,1)</f>
        <v>BR-MOS-UG-FEL2A-064-A</v>
      </c>
      <c r="B91" s="5" t="s">
        <v>279</v>
      </c>
      <c r="C91" s="5" t="str">
        <f>+_xlfn.XLOOKUP(A91,'[1]Proyectos (NO FILTRAR)'!$B:$B,'[1]Proyectos (NO FILTRAR)'!$G:$G,"error",0,1)</f>
        <v>Brasil</v>
      </c>
      <c r="D91" s="5" t="s">
        <v>27</v>
      </c>
      <c r="E91" s="5" t="s">
        <v>56</v>
      </c>
      <c r="F91" s="5" t="s">
        <v>33</v>
      </c>
      <c r="G91" s="14"/>
      <c r="H91" s="14" t="s">
        <v>265</v>
      </c>
      <c r="I91" s="6">
        <f>+_xlfn.XLOOKUP(B91,'[1]Proyectos (NO FILTRAR)'!$F:$F,'[1]Proyectos (NO FILTRAR)'!$O:$O,"!",0,1)</f>
        <v>52744</v>
      </c>
      <c r="J91" s="51">
        <f t="shared" si="19"/>
        <v>52744</v>
      </c>
      <c r="K91" s="47">
        <f t="shared" si="41"/>
        <v>1</v>
      </c>
      <c r="L91" s="7">
        <f t="shared" si="42"/>
        <v>0</v>
      </c>
      <c r="M91" s="52">
        <f t="shared" si="47"/>
        <v>0</v>
      </c>
      <c r="N91" s="65"/>
      <c r="O91" s="52">
        <f t="shared" ref="O91:O93" si="52">IFERROR(N91/I91,0)</f>
        <v>0</v>
      </c>
      <c r="P91" s="65">
        <f t="shared" ref="P91:P93" si="53">+I91-N91</f>
        <v>52744</v>
      </c>
      <c r="Q91" s="48">
        <v>0</v>
      </c>
      <c r="R91" s="48">
        <f t="shared" ref="R91:R92" si="54">+I91-Q91</f>
        <v>52744</v>
      </c>
      <c r="S91" s="8"/>
      <c r="T91" s="9"/>
      <c r="U91" s="8"/>
      <c r="V91" s="8"/>
      <c r="W91" s="9"/>
      <c r="X91" s="8"/>
      <c r="Y91" s="27"/>
      <c r="Z91" s="8"/>
      <c r="AA91" s="26"/>
      <c r="AB91" s="27"/>
      <c r="AC91" s="8"/>
      <c r="AD91" s="26"/>
      <c r="AE91" s="71"/>
      <c r="AF91" s="8"/>
      <c r="AG91" s="26"/>
      <c r="AH91" s="71"/>
      <c r="AI91" s="8"/>
      <c r="AJ91" s="26"/>
      <c r="AK91" s="71"/>
      <c r="AL91" s="8"/>
      <c r="AM91" s="26"/>
      <c r="AN91" s="71"/>
      <c r="AO91" s="55"/>
      <c r="AP91" s="26"/>
      <c r="AQ91" s="71"/>
      <c r="AR91" s="55"/>
      <c r="AS91" s="68"/>
      <c r="AT91" s="71"/>
      <c r="AU91" s="67"/>
      <c r="AV91" s="68"/>
      <c r="AW91" s="71"/>
      <c r="AX91" s="67"/>
      <c r="AY91" s="68"/>
      <c r="AZ91" s="71"/>
      <c r="BA91" s="67"/>
      <c r="BB91" s="68"/>
      <c r="BC91" s="70">
        <v>52744</v>
      </c>
      <c r="BD91" s="68"/>
      <c r="BE91" s="71"/>
      <c r="BF91" s="68"/>
      <c r="BG91" s="71"/>
      <c r="BH91" s="67"/>
      <c r="BI91" s="71"/>
      <c r="BK91" s="103" t="str">
        <f t="shared" si="26"/>
        <v/>
      </c>
      <c r="BL91" s="103" t="str">
        <f t="shared" si="27"/>
        <v/>
      </c>
      <c r="BM91" s="103" t="str">
        <f t="shared" si="28"/>
        <v/>
      </c>
    </row>
    <row r="92" spans="1:65" ht="14.25" customHeight="1" x14ac:dyDescent="0.2">
      <c r="A92" s="2" t="str">
        <f>+_xlfn.XLOOKUP(B92,'[1]Proyectos (NO FILTRAR)'!$F:$F,'[1]Proyectos (NO FILTRAR)'!$B:$B,0,0,1)</f>
        <v>CH-COD-CS-OTR00-129-A</v>
      </c>
      <c r="B92" s="5" t="s">
        <v>280</v>
      </c>
      <c r="C92" s="5" t="str">
        <f>+_xlfn.XLOOKUP(A92,'[1]Proyectos (NO FILTRAR)'!$B:$B,'[1]Proyectos (NO FILTRAR)'!$G:$G,"error",0,1)</f>
        <v>Chile</v>
      </c>
      <c r="D92" s="5" t="s">
        <v>27</v>
      </c>
      <c r="E92" s="5" t="s">
        <v>56</v>
      </c>
      <c r="F92" s="5" t="s">
        <v>34</v>
      </c>
      <c r="G92" s="14"/>
      <c r="H92" s="14" t="s">
        <v>39</v>
      </c>
      <c r="I92" s="6">
        <f>+_xlfn.XLOOKUP(B92,'[1]Proyectos (NO FILTRAR)'!$F:$F,'[1]Proyectos (NO FILTRAR)'!$O:$O,"!",0,1)</f>
        <v>63381.369999999995</v>
      </c>
      <c r="J92" s="51">
        <f t="shared" si="19"/>
        <v>23268</v>
      </c>
      <c r="K92" s="47">
        <f t="shared" si="41"/>
        <v>0.36711102962905351</v>
      </c>
      <c r="L92" s="7">
        <f t="shared" si="42"/>
        <v>40113.369999999995</v>
      </c>
      <c r="M92" s="52">
        <f t="shared" si="47"/>
        <v>0.63288897037094649</v>
      </c>
      <c r="N92" s="65"/>
      <c r="O92" s="52">
        <f t="shared" si="52"/>
        <v>0</v>
      </c>
      <c r="P92" s="65">
        <f t="shared" si="53"/>
        <v>63381.369999999995</v>
      </c>
      <c r="Q92" s="48">
        <v>0</v>
      </c>
      <c r="R92" s="48">
        <f t="shared" si="54"/>
        <v>63381.369999999995</v>
      </c>
      <c r="S92" s="8"/>
      <c r="T92" s="9"/>
      <c r="U92" s="8"/>
      <c r="V92" s="8"/>
      <c r="W92" s="9"/>
      <c r="X92" s="8"/>
      <c r="Y92" s="27"/>
      <c r="Z92" s="8"/>
      <c r="AA92" s="26"/>
      <c r="AB92" s="27"/>
      <c r="AC92" s="8"/>
      <c r="AD92" s="26"/>
      <c r="AE92" s="71"/>
      <c r="AF92" s="8"/>
      <c r="AG92" s="26"/>
      <c r="AH92" s="71"/>
      <c r="AI92" s="8"/>
      <c r="AJ92" s="26"/>
      <c r="AK92" s="71"/>
      <c r="AL92" s="8"/>
      <c r="AM92" s="26"/>
      <c r="AN92" s="71"/>
      <c r="AO92" s="55"/>
      <c r="AP92" s="26"/>
      <c r="AQ92" s="71"/>
      <c r="AR92" s="55"/>
      <c r="AS92" s="68"/>
      <c r="AT92" s="71"/>
      <c r="AU92" s="67"/>
      <c r="AV92" s="68"/>
      <c r="AW92" s="71"/>
      <c r="AX92" s="67"/>
      <c r="AY92" s="68"/>
      <c r="AZ92" s="71"/>
      <c r="BA92" s="67"/>
      <c r="BB92" s="68"/>
      <c r="BC92" s="70"/>
      <c r="BD92" s="68"/>
      <c r="BE92" s="71"/>
      <c r="BF92" s="68"/>
      <c r="BG92" s="71"/>
      <c r="BH92" s="67">
        <f>_xlfn.XLOOKUP(A92,'[3]Resumen POM'!$I:$I,'[3]Resumen POM'!$D:$D,"",0,1)</f>
        <v>37177.57894736842</v>
      </c>
      <c r="BI92" s="71">
        <v>23268</v>
      </c>
      <c r="BK92" s="103" t="str">
        <f t="shared" si="26"/>
        <v/>
      </c>
      <c r="BL92" s="103" t="str">
        <f t="shared" si="27"/>
        <v/>
      </c>
      <c r="BM92" s="103">
        <f t="shared" si="28"/>
        <v>0.62586108775238047</v>
      </c>
    </row>
    <row r="93" spans="1:65" ht="14.25" customHeight="1" x14ac:dyDescent="0.2">
      <c r="A93" s="2" t="str">
        <f>+_xlfn.XLOOKUP(B93,'[1]Proyectos (NO FILTRAR)'!$F:$F,'[1]Proyectos (NO FILTRAR)'!$B:$B,0,0,1)</f>
        <v>CH-COD-CS-OTR00-124-A</v>
      </c>
      <c r="B93" s="5" t="s">
        <v>281</v>
      </c>
      <c r="C93" s="5" t="str">
        <f>+_xlfn.XLOOKUP(A93,'[1]Proyectos (NO FILTRAR)'!$B:$B,'[1]Proyectos (NO FILTRAR)'!$G:$G,"error",0,1)</f>
        <v>Chile</v>
      </c>
      <c r="D93" s="5" t="s">
        <v>27</v>
      </c>
      <c r="E93" s="5" t="s">
        <v>56</v>
      </c>
      <c r="F93" s="5"/>
      <c r="G93" s="14"/>
      <c r="H93" s="14"/>
      <c r="I93" s="6">
        <f>+_xlfn.XLOOKUP(B93,'[1]Proyectos (NO FILTRAR)'!$F:$F,'[1]Proyectos (NO FILTRAR)'!$O:$O,"!",0,1)</f>
        <v>14342</v>
      </c>
      <c r="J93" s="51">
        <f t="shared" si="19"/>
        <v>14342</v>
      </c>
      <c r="K93" s="47">
        <f t="shared" ref="K93" si="55">+IFERROR(J93/I93,0)</f>
        <v>1</v>
      </c>
      <c r="L93" s="7">
        <f t="shared" ref="L93" si="56">+I93-J93</f>
        <v>0</v>
      </c>
      <c r="M93" s="52">
        <f t="shared" si="47"/>
        <v>0</v>
      </c>
      <c r="N93" s="65"/>
      <c r="O93" s="52">
        <f t="shared" si="52"/>
        <v>0</v>
      </c>
      <c r="P93" s="65">
        <f t="shared" si="53"/>
        <v>14342</v>
      </c>
      <c r="Q93" s="48">
        <v>0</v>
      </c>
      <c r="R93" s="48">
        <f t="shared" ref="R93" si="57">+I93-Q93</f>
        <v>14342</v>
      </c>
      <c r="S93" s="8"/>
      <c r="T93" s="9"/>
      <c r="U93" s="8"/>
      <c r="V93" s="8"/>
      <c r="W93" s="9"/>
      <c r="X93" s="8"/>
      <c r="Y93" s="27"/>
      <c r="Z93" s="8"/>
      <c r="AA93" s="26"/>
      <c r="AB93" s="27"/>
      <c r="AC93" s="8"/>
      <c r="AD93" s="26"/>
      <c r="AE93" s="71"/>
      <c r="AF93" s="8"/>
      <c r="AG93" s="26"/>
      <c r="AH93" s="71"/>
      <c r="AI93" s="8"/>
      <c r="AJ93" s="26"/>
      <c r="AK93" s="71"/>
      <c r="AL93" s="8"/>
      <c r="AM93" s="26"/>
      <c r="AN93" s="71"/>
      <c r="AO93" s="55"/>
      <c r="AP93" s="26"/>
      <c r="AQ93" s="71"/>
      <c r="AR93" s="55"/>
      <c r="AS93" s="68"/>
      <c r="AT93" s="71"/>
      <c r="AU93" s="67"/>
      <c r="AV93" s="68"/>
      <c r="AW93" s="71"/>
      <c r="AX93" s="67"/>
      <c r="AY93" s="68"/>
      <c r="AZ93" s="71"/>
      <c r="BA93" s="67"/>
      <c r="BB93" s="68"/>
      <c r="BC93" s="70"/>
      <c r="BD93" s="68"/>
      <c r="BE93" s="71"/>
      <c r="BF93" s="68">
        <v>14000</v>
      </c>
      <c r="BG93" s="101">
        <v>14342</v>
      </c>
      <c r="BH93" s="67"/>
      <c r="BI93" s="71"/>
      <c r="BK93" s="103" t="str">
        <f t="shared" si="26"/>
        <v/>
      </c>
      <c r="BL93" s="103">
        <f t="shared" si="27"/>
        <v>1</v>
      </c>
      <c r="BM93" s="103" t="str">
        <f t="shared" si="28"/>
        <v/>
      </c>
    </row>
    <row r="94" spans="1:65" ht="14.25" customHeight="1" x14ac:dyDescent="0.2">
      <c r="A94" s="2" t="str">
        <f>+_xlfn.XLOOKUP(B94,'[1]Proyectos (NO FILTRAR)'!$F:$F,'[1]Proyectos (NO FILTRAR)'!$B:$B,0,0,1)</f>
        <v>BR-MOS-UG-OTR00-098-A</v>
      </c>
      <c r="B94" s="5" t="s">
        <v>282</v>
      </c>
      <c r="C94" s="5" t="str">
        <f>+_xlfn.XLOOKUP(A94,'[1]Proyectos (NO FILTRAR)'!$B:$B,'[1]Proyectos (NO FILTRAR)'!$G:$G,"error",0,1)</f>
        <v>Brasil</v>
      </c>
      <c r="D94" s="5" t="s">
        <v>27</v>
      </c>
      <c r="E94" s="5" t="s">
        <v>56</v>
      </c>
      <c r="F94" s="5"/>
      <c r="G94" s="14"/>
      <c r="H94" s="14"/>
      <c r="I94" s="6">
        <f>+_xlfn.XLOOKUP(B94,'[1]Proyectos (NO FILTRAR)'!$F:$F,'[1]Proyectos (NO FILTRAR)'!$O:$O,"!",0,1)</f>
        <v>330410</v>
      </c>
      <c r="J94" s="51">
        <f t="shared" si="19"/>
        <v>45337</v>
      </c>
      <c r="K94" s="47">
        <f t="shared" ref="K94" si="58">+IFERROR(J94/I94,0)</f>
        <v>0.1372143700251203</v>
      </c>
      <c r="L94" s="7">
        <f t="shared" ref="L94" si="59">+I94-J94</f>
        <v>285073</v>
      </c>
      <c r="M94" s="52">
        <f t="shared" ref="M94" si="60">+IFERROR(L94/I94,0)</f>
        <v>0.86278562997487973</v>
      </c>
      <c r="N94" s="65"/>
      <c r="O94" s="52">
        <f t="shared" ref="O94" si="61">IFERROR(N94/I94,0)</f>
        <v>0</v>
      </c>
      <c r="P94" s="65">
        <f t="shared" ref="P94" si="62">+I94-N94</f>
        <v>330410</v>
      </c>
      <c r="Q94" s="48">
        <v>0</v>
      </c>
      <c r="R94" s="48">
        <f t="shared" ref="R94" si="63">+I94-Q94</f>
        <v>330410</v>
      </c>
      <c r="S94" s="8"/>
      <c r="T94" s="9"/>
      <c r="U94" s="8"/>
      <c r="V94" s="8"/>
      <c r="W94" s="9"/>
      <c r="X94" s="8"/>
      <c r="Y94" s="27"/>
      <c r="Z94" s="8"/>
      <c r="AA94" s="26"/>
      <c r="AB94" s="27"/>
      <c r="AC94" s="8"/>
      <c r="AD94" s="26"/>
      <c r="AE94" s="71"/>
      <c r="AF94" s="8"/>
      <c r="AG94" s="26"/>
      <c r="AH94" s="71"/>
      <c r="AI94" s="8"/>
      <c r="AJ94" s="26"/>
      <c r="AK94" s="71"/>
      <c r="AL94" s="8"/>
      <c r="AM94" s="26"/>
      <c r="AN94" s="71"/>
      <c r="AO94" s="55"/>
      <c r="AP94" s="26"/>
      <c r="AQ94" s="71"/>
      <c r="AR94" s="55"/>
      <c r="AS94" s="68"/>
      <c r="AT94" s="71"/>
      <c r="AU94" s="67"/>
      <c r="AV94" s="68"/>
      <c r="AW94" s="71"/>
      <c r="AX94" s="67"/>
      <c r="AY94" s="68"/>
      <c r="AZ94" s="71"/>
      <c r="BA94" s="67"/>
      <c r="BB94" s="68"/>
      <c r="BC94" s="70"/>
      <c r="BD94" s="68"/>
      <c r="BE94" s="71"/>
      <c r="BF94" s="68">
        <v>30000</v>
      </c>
      <c r="BG94" s="101">
        <v>31337</v>
      </c>
      <c r="BH94" s="67"/>
      <c r="BI94" s="71">
        <v>14000</v>
      </c>
      <c r="BK94" s="103" t="str">
        <f t="shared" si="26"/>
        <v/>
      </c>
      <c r="BL94" s="103">
        <f t="shared" si="27"/>
        <v>1</v>
      </c>
      <c r="BM94" s="103">
        <f t="shared" si="28"/>
        <v>1</v>
      </c>
    </row>
    <row r="95" spans="1:65" ht="14.25" customHeight="1" x14ac:dyDescent="0.2">
      <c r="A95" s="2" t="s">
        <v>283</v>
      </c>
      <c r="B95" s="5" t="s">
        <v>284</v>
      </c>
      <c r="C95" s="5" t="str">
        <f>+_xlfn.XLOOKUP(A95,'[1]Proyectos (NO FILTRAR)'!$B:$B,'[1]Proyectos (NO FILTRAR)'!$G:$G,"error",0,1)</f>
        <v>Brasil</v>
      </c>
      <c r="D95" s="5" t="s">
        <v>27</v>
      </c>
      <c r="E95" s="5" t="s">
        <v>56</v>
      </c>
      <c r="F95" s="5" t="s">
        <v>33</v>
      </c>
      <c r="G95" s="14"/>
      <c r="H95" s="14" t="s">
        <v>50</v>
      </c>
      <c r="I95" s="6">
        <f>+_xlfn.XLOOKUP(B95,'[1]Proyectos (NO FILTRAR)'!$F:$F,'[1]Proyectos (NO FILTRAR)'!$O:$O,"!",0,1)</f>
        <v>310000</v>
      </c>
      <c r="J95" s="51">
        <f t="shared" si="19"/>
        <v>0</v>
      </c>
      <c r="K95" s="47">
        <f>+IFERROR(J95/I95,0)</f>
        <v>0</v>
      </c>
      <c r="L95" s="7">
        <f>+I95-J95</f>
        <v>310000</v>
      </c>
      <c r="M95" s="52">
        <f>+IFERROR(L95/I95,0)</f>
        <v>1</v>
      </c>
      <c r="N95" s="65"/>
      <c r="O95" s="52">
        <f>IFERROR(N95/I95,0)</f>
        <v>0</v>
      </c>
      <c r="P95" s="65">
        <f>+I95-N95</f>
        <v>310000</v>
      </c>
      <c r="Q95" s="48">
        <v>0</v>
      </c>
      <c r="R95" s="48">
        <f>+I95-Q95</f>
        <v>310000</v>
      </c>
      <c r="S95" s="8"/>
      <c r="T95" s="9"/>
      <c r="U95" s="8"/>
      <c r="V95" s="8"/>
      <c r="W95" s="9"/>
      <c r="X95" s="8"/>
      <c r="Y95" s="27"/>
      <c r="Z95" s="8"/>
      <c r="AA95" s="26"/>
      <c r="AB95" s="27"/>
      <c r="AC95" s="8"/>
      <c r="AD95" s="26"/>
      <c r="AE95" s="71"/>
      <c r="AF95" s="8"/>
      <c r="AG95" s="26"/>
      <c r="AH95" s="71"/>
      <c r="AI95" s="8"/>
      <c r="AJ95" s="26"/>
      <c r="AK95" s="71"/>
      <c r="AL95" s="8"/>
      <c r="AM95" s="26"/>
      <c r="AN95" s="71"/>
      <c r="AO95" s="55"/>
      <c r="AP95" s="26"/>
      <c r="AQ95" s="71"/>
      <c r="AR95" s="55"/>
      <c r="AS95" s="68"/>
      <c r="AT95" s="71"/>
      <c r="AU95" s="67"/>
      <c r="AV95" s="68"/>
      <c r="AW95" s="71"/>
      <c r="AX95" s="67"/>
      <c r="AY95" s="68"/>
      <c r="AZ95" s="71"/>
      <c r="BA95" s="67"/>
      <c r="BB95" s="68"/>
      <c r="BC95" s="70"/>
      <c r="BD95" s="68"/>
      <c r="BE95" s="71"/>
      <c r="BF95" s="68"/>
      <c r="BG95" s="71"/>
      <c r="BH95" s="67"/>
      <c r="BI95" s="71"/>
      <c r="BK95" s="103" t="str">
        <f t="shared" si="26"/>
        <v/>
      </c>
      <c r="BL95" s="103" t="str">
        <f t="shared" si="27"/>
        <v/>
      </c>
      <c r="BM95" s="103" t="str">
        <f t="shared" si="28"/>
        <v/>
      </c>
    </row>
    <row r="96" spans="1:65" ht="14.25" customHeight="1" x14ac:dyDescent="0.2">
      <c r="A96" s="2" t="s">
        <v>289</v>
      </c>
      <c r="B96" s="5" t="s">
        <v>285</v>
      </c>
      <c r="C96" s="5" t="str">
        <f>+_xlfn.XLOOKUP(A96,'[1]Proyectos (NO FILTRAR)'!$B:$B,'[1]Proyectos (NO FILTRAR)'!$G:$G,"error",0,1)</f>
        <v>Otros</v>
      </c>
      <c r="D96" s="5" t="s">
        <v>27</v>
      </c>
      <c r="E96" s="5" t="s">
        <v>56</v>
      </c>
      <c r="F96" s="5" t="s">
        <v>34</v>
      </c>
      <c r="G96" s="14"/>
      <c r="H96" s="14" t="s">
        <v>35</v>
      </c>
      <c r="I96" s="6">
        <f>+_xlfn.XLOOKUP(B96,'[1]Proyectos (NO FILTRAR)'!$F:$F,'[1]Proyectos (NO FILTRAR)'!$O:$O,"!",0,1)</f>
        <v>254012</v>
      </c>
      <c r="J96" s="51">
        <f t="shared" si="19"/>
        <v>0</v>
      </c>
      <c r="K96" s="47">
        <f>+IFERROR(J96/I96,0)</f>
        <v>0</v>
      </c>
      <c r="L96" s="7">
        <f>+I96-J96</f>
        <v>254012</v>
      </c>
      <c r="M96" s="52">
        <f>+IFERROR(L96/I96,0)</f>
        <v>1</v>
      </c>
      <c r="N96" s="65"/>
      <c r="O96" s="52">
        <f>IFERROR(N96/I96,0)</f>
        <v>0</v>
      </c>
      <c r="P96" s="65">
        <f>+I96-N96</f>
        <v>254012</v>
      </c>
      <c r="Q96" s="48">
        <v>0</v>
      </c>
      <c r="R96" s="48">
        <f>+I96-Q96</f>
        <v>254012</v>
      </c>
      <c r="S96" s="8"/>
      <c r="T96" s="9"/>
      <c r="U96" s="8"/>
      <c r="V96" s="8"/>
      <c r="W96" s="9"/>
      <c r="X96" s="8"/>
      <c r="Y96" s="27"/>
      <c r="Z96" s="8"/>
      <c r="AA96" s="26"/>
      <c r="AB96" s="27"/>
      <c r="AC96" s="8"/>
      <c r="AD96" s="26"/>
      <c r="AE96" s="71"/>
      <c r="AF96" s="8"/>
      <c r="AG96" s="26"/>
      <c r="AH96" s="71"/>
      <c r="AI96" s="8"/>
      <c r="AJ96" s="26"/>
      <c r="AK96" s="71"/>
      <c r="AL96" s="8"/>
      <c r="AM96" s="26"/>
      <c r="AN96" s="71"/>
      <c r="AO96" s="55"/>
      <c r="AP96" s="26"/>
      <c r="AQ96" s="71"/>
      <c r="AR96" s="55"/>
      <c r="AS96" s="68"/>
      <c r="AT96" s="71"/>
      <c r="AU96" s="67"/>
      <c r="AV96" s="68"/>
      <c r="AW96" s="71"/>
      <c r="AX96" s="67"/>
      <c r="AY96" s="68"/>
      <c r="AZ96" s="71"/>
      <c r="BA96" s="67"/>
      <c r="BB96" s="68"/>
      <c r="BC96" s="70"/>
      <c r="BD96" s="68"/>
      <c r="BE96" s="71"/>
      <c r="BF96" s="68"/>
      <c r="BG96" s="71"/>
      <c r="BH96" s="67"/>
      <c r="BI96" s="71"/>
      <c r="BK96" s="103" t="str">
        <f t="shared" si="26"/>
        <v/>
      </c>
      <c r="BL96" s="103" t="str">
        <f t="shared" si="27"/>
        <v/>
      </c>
      <c r="BM96" s="103" t="str">
        <f t="shared" si="28"/>
        <v/>
      </c>
    </row>
    <row r="97" spans="1:65" ht="14.25" customHeight="1" x14ac:dyDescent="0.2">
      <c r="A97" s="2" t="s">
        <v>292</v>
      </c>
      <c r="B97" s="5" t="s">
        <v>290</v>
      </c>
      <c r="C97" s="5" t="str">
        <f>+_xlfn.XLOOKUP(A97,'[1]Proyectos (NO FILTRAR)'!$B:$B,'[1]Proyectos (NO FILTRAR)'!$G:$G,"error",0,1)</f>
        <v>Perú</v>
      </c>
      <c r="D97" s="5" t="s">
        <v>27</v>
      </c>
      <c r="E97" s="5" t="s">
        <v>56</v>
      </c>
      <c r="F97" s="5" t="s">
        <v>28</v>
      </c>
      <c r="G97" s="14"/>
      <c r="H97" s="14" t="s">
        <v>29</v>
      </c>
      <c r="I97" s="6">
        <f>+_xlfn.XLOOKUP(B97,'[1]Proyectos (NO FILTRAR)'!$F:$F,'[1]Proyectos (NO FILTRAR)'!$O:$O,"!",0,1)</f>
        <v>51870</v>
      </c>
      <c r="J97" s="51">
        <f t="shared" si="19"/>
        <v>0</v>
      </c>
      <c r="K97" s="78">
        <f>+IFERROR(J97/I97,0)</f>
        <v>0</v>
      </c>
      <c r="L97" s="7">
        <f>+I97-J97</f>
        <v>51870</v>
      </c>
      <c r="M97" s="77">
        <f>+IFERROR(L97/I97,0)</f>
        <v>1</v>
      </c>
      <c r="N97" s="104"/>
      <c r="O97" s="77">
        <f>IFERROR(N97/I97,0)</f>
        <v>0</v>
      </c>
      <c r="P97" s="104">
        <f>+I97-N97</f>
        <v>51870</v>
      </c>
      <c r="Q97" s="48">
        <v>0</v>
      </c>
      <c r="R97" s="48">
        <f>+I97-Q97</f>
        <v>51870</v>
      </c>
      <c r="S97" s="8"/>
      <c r="T97" s="9"/>
      <c r="U97" s="8"/>
      <c r="V97" s="8"/>
      <c r="W97" s="9"/>
      <c r="X97" s="8"/>
      <c r="Y97" s="27"/>
      <c r="Z97" s="8"/>
      <c r="AA97" s="26"/>
      <c r="AB97" s="27"/>
      <c r="AC97" s="8"/>
      <c r="AD97" s="26"/>
      <c r="AE97" s="71"/>
      <c r="AF97" s="8"/>
      <c r="AG97" s="26"/>
      <c r="AH97" s="71"/>
      <c r="AI97" s="8"/>
      <c r="AJ97" s="26"/>
      <c r="AK97" s="71"/>
      <c r="AL97" s="8"/>
      <c r="AM97" s="26"/>
      <c r="AN97" s="71"/>
      <c r="AO97" s="55"/>
      <c r="AP97" s="26"/>
      <c r="AQ97" s="71"/>
      <c r="AR97" s="55"/>
      <c r="AS97" s="68"/>
      <c r="AT97" s="71"/>
      <c r="AU97" s="67"/>
      <c r="AV97" s="68"/>
      <c r="AW97" s="71"/>
      <c r="AX97" s="67"/>
      <c r="AY97" s="68"/>
      <c r="AZ97" s="71"/>
      <c r="BA97" s="67"/>
      <c r="BB97" s="68"/>
      <c r="BC97" s="70"/>
      <c r="BD97" s="68"/>
      <c r="BE97" s="71"/>
      <c r="BF97" s="68"/>
      <c r="BG97" s="71"/>
      <c r="BH97" s="67"/>
      <c r="BI97" s="71"/>
      <c r="BK97" s="103"/>
      <c r="BL97" s="103"/>
      <c r="BM97" s="103"/>
    </row>
    <row r="98" spans="1:65" ht="14.25" customHeight="1" x14ac:dyDescent="0.2">
      <c r="A98" s="2" t="s">
        <v>293</v>
      </c>
      <c r="B98" s="5" t="s">
        <v>291</v>
      </c>
      <c r="C98" s="5" t="str">
        <f>+_xlfn.XLOOKUP(A98,'[1]Proyectos (NO FILTRAR)'!$B:$B,'[1]Proyectos (NO FILTRAR)'!$G:$G,"error",0,1)</f>
        <v>Chile</v>
      </c>
      <c r="D98" s="5" t="s">
        <v>27</v>
      </c>
      <c r="E98" s="5" t="s">
        <v>56</v>
      </c>
      <c r="F98" s="5" t="s">
        <v>30</v>
      </c>
      <c r="G98" s="14"/>
      <c r="H98" s="14" t="s">
        <v>109</v>
      </c>
      <c r="I98" s="6">
        <f>+_xlfn.XLOOKUP(B98,'[1]Proyectos (NO FILTRAR)'!$F:$F,'[1]Proyectos (NO FILTRAR)'!$O:$O,"!",0,1)</f>
        <v>904853</v>
      </c>
      <c r="J98" s="51">
        <f t="shared" si="19"/>
        <v>0</v>
      </c>
      <c r="K98" s="78">
        <f>+IFERROR(J98/I98,0)</f>
        <v>0</v>
      </c>
      <c r="L98" s="7">
        <f>+I98-J98</f>
        <v>904853</v>
      </c>
      <c r="M98" s="77">
        <f>+IFERROR(L98/I98,0)</f>
        <v>1</v>
      </c>
      <c r="N98" s="104"/>
      <c r="O98" s="77">
        <f>IFERROR(N98/I98,0)</f>
        <v>0</v>
      </c>
      <c r="P98" s="104">
        <f>+I98-N98</f>
        <v>904853</v>
      </c>
      <c r="Q98" s="48">
        <v>0</v>
      </c>
      <c r="R98" s="48">
        <f>+I98-Q98</f>
        <v>904853</v>
      </c>
      <c r="S98" s="8"/>
      <c r="T98" s="9"/>
      <c r="U98" s="8"/>
      <c r="V98" s="8"/>
      <c r="W98" s="9"/>
      <c r="X98" s="8"/>
      <c r="Y98" s="27"/>
      <c r="Z98" s="8"/>
      <c r="AA98" s="26"/>
      <c r="AB98" s="27"/>
      <c r="AC98" s="8"/>
      <c r="AD98" s="26"/>
      <c r="AE98" s="71"/>
      <c r="AF98" s="8"/>
      <c r="AG98" s="26"/>
      <c r="AH98" s="71"/>
      <c r="AI98" s="8"/>
      <c r="AJ98" s="26"/>
      <c r="AK98" s="71"/>
      <c r="AL98" s="8"/>
      <c r="AM98" s="26"/>
      <c r="AN98" s="71"/>
      <c r="AO98" s="55"/>
      <c r="AP98" s="26"/>
      <c r="AQ98" s="71"/>
      <c r="AR98" s="55"/>
      <c r="AS98" s="68"/>
      <c r="AT98" s="71"/>
      <c r="AU98" s="67"/>
      <c r="AV98" s="68"/>
      <c r="AW98" s="71"/>
      <c r="AX98" s="67"/>
      <c r="AY98" s="68"/>
      <c r="AZ98" s="71"/>
      <c r="BA98" s="67"/>
      <c r="BB98" s="68"/>
      <c r="BC98" s="70"/>
      <c r="BD98" s="68"/>
      <c r="BE98" s="71"/>
      <c r="BF98" s="68"/>
      <c r="BG98" s="71"/>
      <c r="BH98" s="67"/>
      <c r="BI98" s="71"/>
      <c r="BK98" s="103"/>
      <c r="BL98" s="103"/>
      <c r="BM98" s="103"/>
    </row>
    <row r="99" spans="1:65" ht="14.25" customHeight="1" x14ac:dyDescent="0.2">
      <c r="A99" s="2" t="s">
        <v>294</v>
      </c>
      <c r="B99" s="5" t="s">
        <v>295</v>
      </c>
      <c r="C99" s="5" t="str">
        <f>+_xlfn.XLOOKUP(A99,'[1]Proyectos (NO FILTRAR)'!$B:$B,'[1]Proyectos (NO FILTRAR)'!$G:$G,"error",0,1)</f>
        <v>Perú</v>
      </c>
      <c r="D99" s="5" t="s">
        <v>27</v>
      </c>
      <c r="E99" s="5" t="s">
        <v>56</v>
      </c>
      <c r="F99" s="5" t="s">
        <v>33</v>
      </c>
      <c r="G99" s="14"/>
      <c r="H99" s="14" t="s">
        <v>29</v>
      </c>
      <c r="I99" s="6">
        <f>+_xlfn.XLOOKUP(B99,'[1]Proyectos (NO FILTRAR)'!$F:$F,'[1]Proyectos (NO FILTRAR)'!$O:$O,"!",0,1)</f>
        <v>295769</v>
      </c>
      <c r="J99" s="51">
        <f t="shared" si="19"/>
        <v>0</v>
      </c>
      <c r="K99" s="78">
        <f>+IFERROR(J99/I99,0)</f>
        <v>0</v>
      </c>
      <c r="L99" s="7">
        <f>+I99-J99</f>
        <v>295769</v>
      </c>
      <c r="M99" s="77">
        <f>+IFERROR(L99/I99,0)</f>
        <v>1</v>
      </c>
      <c r="N99" s="104"/>
      <c r="O99" s="77">
        <f>IFERROR(N99/I99,0)</f>
        <v>0</v>
      </c>
      <c r="P99" s="104">
        <f>+I99-N99</f>
        <v>295769</v>
      </c>
      <c r="Q99" s="48">
        <v>0</v>
      </c>
      <c r="R99" s="48">
        <f>+I99-Q99</f>
        <v>295769</v>
      </c>
      <c r="S99" s="8"/>
      <c r="T99" s="9"/>
      <c r="U99" s="8"/>
      <c r="V99" s="8"/>
      <c r="W99" s="9"/>
      <c r="X99" s="8"/>
      <c r="Y99" s="27"/>
      <c r="Z99" s="8"/>
      <c r="AA99" s="26"/>
      <c r="AB99" s="27"/>
      <c r="AC99" s="8"/>
      <c r="AD99" s="26"/>
      <c r="AE99" s="71"/>
      <c r="AF99" s="8"/>
      <c r="AG99" s="26"/>
      <c r="AH99" s="71"/>
      <c r="AI99" s="8"/>
      <c r="AJ99" s="26"/>
      <c r="AK99" s="71"/>
      <c r="AL99" s="8"/>
      <c r="AM99" s="26"/>
      <c r="AN99" s="71"/>
      <c r="AO99" s="55"/>
      <c r="AP99" s="26"/>
      <c r="AQ99" s="71"/>
      <c r="AR99" s="55"/>
      <c r="AS99" s="68"/>
      <c r="AT99" s="71"/>
      <c r="AU99" s="67"/>
      <c r="AV99" s="68"/>
      <c r="AW99" s="71"/>
      <c r="AX99" s="67"/>
      <c r="AY99" s="68"/>
      <c r="AZ99" s="71"/>
      <c r="BA99" s="67"/>
      <c r="BB99" s="68"/>
      <c r="BC99" s="70"/>
      <c r="BD99" s="68"/>
      <c r="BE99" s="71"/>
      <c r="BF99" s="68"/>
      <c r="BG99" s="71"/>
      <c r="BH99" s="67"/>
      <c r="BI99" s="71"/>
      <c r="BK99" s="103"/>
      <c r="BL99" s="103"/>
      <c r="BM99" s="103"/>
    </row>
    <row r="100" spans="1:65" ht="15" x14ac:dyDescent="0.2">
      <c r="B100" s="24" t="s">
        <v>47</v>
      </c>
      <c r="C100" s="24"/>
      <c r="D100" s="24"/>
      <c r="E100" s="24"/>
      <c r="F100" s="24"/>
      <c r="G100" s="24"/>
      <c r="H100" s="24"/>
      <c r="I100" s="21">
        <f>SUBTOTAL(9,I3:I99)</f>
        <v>17728759.081832655</v>
      </c>
      <c r="J100" s="21">
        <f>SUBTOTAL(9,J3:J99)</f>
        <v>13603351.760199999</v>
      </c>
      <c r="K100" s="46">
        <f t="shared" si="20"/>
        <v>0.76730422571650148</v>
      </c>
      <c r="L100" s="21">
        <f>SUBTOTAL(9,L3:L99)</f>
        <v>4125407.321632653</v>
      </c>
      <c r="M100" s="46">
        <f>+L100/I100</f>
        <v>0.23269577428349836</v>
      </c>
      <c r="N100" s="25">
        <f>SUBTOTAL(9,N3:N94)</f>
        <v>0</v>
      </c>
      <c r="O100" s="46">
        <f t="shared" si="23"/>
        <v>0</v>
      </c>
      <c r="P100" s="21">
        <f>SUBTOTAL(9,P3:P99)</f>
        <v>17728759.081832655</v>
      </c>
      <c r="Q100" s="21">
        <f>SUBTOTAL(9,Q3:Q94)</f>
        <v>5233137.2402000008</v>
      </c>
      <c r="R100" s="21">
        <f>SUBTOTAL(9,R3:R94)</f>
        <v>10679117.841632653</v>
      </c>
      <c r="S100" s="21">
        <f t="shared" ref="S100:AB100" si="64">+SUM(S3:S45)</f>
        <v>1049600.4616461215</v>
      </c>
      <c r="T100" s="21">
        <f t="shared" si="64"/>
        <v>557689</v>
      </c>
      <c r="U100" s="21">
        <f t="shared" si="64"/>
        <v>562672.51054612128</v>
      </c>
      <c r="V100" s="21">
        <f t="shared" si="64"/>
        <v>390471.94540000008</v>
      </c>
      <c r="W100" s="21">
        <f t="shared" si="64"/>
        <v>559002.94999999995</v>
      </c>
      <c r="X100" s="21">
        <f t="shared" si="64"/>
        <v>872990.76696666679</v>
      </c>
      <c r="Y100" s="21">
        <f t="shared" si="64"/>
        <v>768203.91519999993</v>
      </c>
      <c r="Z100" s="21">
        <f t="shared" si="64"/>
        <v>1305067.4466000001</v>
      </c>
      <c r="AA100" s="21">
        <f t="shared" si="64"/>
        <v>1059071.5688</v>
      </c>
      <c r="AB100" s="21">
        <f t="shared" si="64"/>
        <v>854068</v>
      </c>
      <c r="AC100" s="21">
        <f t="shared" ref="AC100:AD100" si="65">+SUM(AC3:AC59)</f>
        <v>1010587.7304</v>
      </c>
      <c r="AD100" s="21">
        <f t="shared" si="65"/>
        <v>761974.99</v>
      </c>
      <c r="AE100" s="21">
        <f>+SUM(AE3:AE87)</f>
        <v>518157.31</v>
      </c>
      <c r="AF100" s="21">
        <f t="shared" ref="AF100:BB100" si="66">+SUM(AF3:AF87)</f>
        <v>991546.44742400025</v>
      </c>
      <c r="AG100" s="21">
        <f t="shared" si="66"/>
        <v>614070.98</v>
      </c>
      <c r="AH100" s="21">
        <f t="shared" si="66"/>
        <v>415793</v>
      </c>
      <c r="AI100" s="21">
        <f t="shared" si="66"/>
        <v>838526.25479999988</v>
      </c>
      <c r="AJ100" s="21">
        <f t="shared" si="66"/>
        <v>650732.29600000009</v>
      </c>
      <c r="AK100" s="21">
        <f t="shared" si="66"/>
        <v>603662.22</v>
      </c>
      <c r="AL100" s="21">
        <f t="shared" si="66"/>
        <v>760540.71479999996</v>
      </c>
      <c r="AM100" s="21">
        <f t="shared" si="66"/>
        <v>708196.2</v>
      </c>
      <c r="AN100" s="21">
        <f t="shared" si="66"/>
        <v>506702.1</v>
      </c>
      <c r="AO100" s="21">
        <f t="shared" si="66"/>
        <v>770131.19479999994</v>
      </c>
      <c r="AP100" s="21">
        <f t="shared" si="66"/>
        <v>0</v>
      </c>
      <c r="AQ100" s="21">
        <f t="shared" si="66"/>
        <v>511073.65</v>
      </c>
      <c r="AR100" s="21">
        <f t="shared" si="66"/>
        <v>859063.62479999987</v>
      </c>
      <c r="AS100" s="21">
        <f t="shared" si="66"/>
        <v>598300</v>
      </c>
      <c r="AT100" s="21">
        <f t="shared" si="66"/>
        <v>861189</v>
      </c>
      <c r="AU100" s="21">
        <f t="shared" si="66"/>
        <v>1225692.2464326529</v>
      </c>
      <c r="AV100" s="21">
        <f t="shared" si="66"/>
        <v>550910.74</v>
      </c>
      <c r="AW100" s="21">
        <f>+SUM(AW3:AW94)</f>
        <v>1521208.02</v>
      </c>
      <c r="AX100" s="21">
        <f t="shared" si="66"/>
        <v>14049.621632653085</v>
      </c>
      <c r="AY100" s="21">
        <f t="shared" si="66"/>
        <v>0</v>
      </c>
      <c r="AZ100" s="21">
        <f>+SUM(AZ3:AZ94)</f>
        <v>957072</v>
      </c>
      <c r="BA100" s="21">
        <f t="shared" si="66"/>
        <v>446728.01163265307</v>
      </c>
      <c r="BB100" s="21">
        <f t="shared" si="66"/>
        <v>0</v>
      </c>
      <c r="BC100" s="21">
        <f>+SUM(BC3:BC94)</f>
        <v>670487</v>
      </c>
      <c r="BD100" s="21">
        <f t="shared" ref="BD100:BI100" si="67">+SUM(BD3:BD96)</f>
        <v>515552</v>
      </c>
      <c r="BE100" s="21">
        <f t="shared" si="67"/>
        <v>526614</v>
      </c>
      <c r="BF100" s="21">
        <f t="shared" si="67"/>
        <v>651771</v>
      </c>
      <c r="BG100" s="21">
        <f>+SUM(BG3:BG99)</f>
        <v>474688.98</v>
      </c>
      <c r="BH100" s="21">
        <f t="shared" si="67"/>
        <v>781146.11052631575</v>
      </c>
      <c r="BI100" s="21">
        <f t="shared" si="67"/>
        <v>803567.24</v>
      </c>
      <c r="BK100" s="3">
        <f>+AVERAGE(BK3:BK96)</f>
        <v>0.72557033548590821</v>
      </c>
      <c r="BL100" s="3">
        <f t="shared" ref="BL100:BM100" si="68">+AVERAGE(BL3:BL96)</f>
        <v>0.70698499056411546</v>
      </c>
      <c r="BM100" s="3">
        <f t="shared" si="68"/>
        <v>0.72004229334897651</v>
      </c>
    </row>
    <row r="101" spans="1:65" x14ac:dyDescent="0.2">
      <c r="I101" s="13"/>
    </row>
    <row r="102" spans="1:65" x14ac:dyDescent="0.2">
      <c r="I102" s="13"/>
      <c r="AW102" s="4"/>
      <c r="BC102" s="4"/>
    </row>
    <row r="103" spans="1:65" x14ac:dyDescent="0.2">
      <c r="I103" s="13"/>
      <c r="BH103" s="4"/>
    </row>
    <row r="104" spans="1:65" x14ac:dyDescent="0.2">
      <c r="I104" s="13"/>
      <c r="L104" s="4"/>
    </row>
    <row r="105" spans="1:65" x14ac:dyDescent="0.2">
      <c r="I105" s="13"/>
      <c r="AW105" s="4"/>
    </row>
    <row r="106" spans="1:65" x14ac:dyDescent="0.2">
      <c r="I106" s="13"/>
    </row>
    <row r="107" spans="1:65" x14ac:dyDescent="0.2">
      <c r="I107" s="13"/>
      <c r="L107" s="4"/>
      <c r="AZ107" s="4"/>
    </row>
    <row r="108" spans="1:65" x14ac:dyDescent="0.2">
      <c r="I108" s="13"/>
    </row>
    <row r="109" spans="1:65" x14ac:dyDescent="0.2">
      <c r="I109" s="13"/>
      <c r="AW109" s="4"/>
    </row>
    <row r="110" spans="1:65" x14ac:dyDescent="0.2">
      <c r="I110" s="13"/>
    </row>
    <row r="111" spans="1:65" x14ac:dyDescent="0.2">
      <c r="I111" s="13"/>
    </row>
    <row r="112" spans="1:65" x14ac:dyDescent="0.2">
      <c r="I112" s="13"/>
    </row>
    <row r="114" spans="10:43" x14ac:dyDescent="0.2">
      <c r="J114" s="34"/>
      <c r="K114" s="34"/>
      <c r="L114" s="4"/>
      <c r="R114" s="4"/>
    </row>
    <row r="124" spans="10:43" x14ac:dyDescent="0.2">
      <c r="AF124" s="30"/>
      <c r="AG124" s="30"/>
      <c r="AH124" s="30"/>
      <c r="AI124" s="30"/>
      <c r="AJ124" s="30"/>
      <c r="AK124" s="30"/>
      <c r="AL124" s="30"/>
      <c r="AM124" s="30"/>
      <c r="AN124" s="30"/>
      <c r="AO124" s="30"/>
      <c r="AP124" s="30"/>
      <c r="AQ124" s="30"/>
    </row>
    <row r="125" spans="10:43" x14ac:dyDescent="0.2">
      <c r="AE125" s="30"/>
      <c r="AF125" s="4"/>
      <c r="AG125" s="4"/>
      <c r="AH125" s="4"/>
      <c r="AI125" s="4"/>
      <c r="AJ125" s="4"/>
      <c r="AK125" s="4"/>
      <c r="AL125" s="4"/>
      <c r="AM125" s="4"/>
      <c r="AN125" s="4"/>
      <c r="AO125" s="4"/>
      <c r="AP125" s="4"/>
      <c r="AQ125" s="4"/>
    </row>
    <row r="126" spans="10:43" x14ac:dyDescent="0.2">
      <c r="AE126" s="4"/>
    </row>
  </sheetData>
  <sheetProtection sheet="1" objects="1" scenarios="1"/>
  <autoFilter ref="A2:BI99" xr:uid="{0D7C8600-0D6D-4A1D-B5E9-616FEB336547}"/>
  <conditionalFormatting sqref="K3:K99">
    <cfRule type="dataBar" priority="53">
      <dataBar>
        <cfvo type="min"/>
        <cfvo type="max"/>
        <color rgb="FFFF555A"/>
      </dataBar>
      <extLst>
        <ext xmlns:x14="http://schemas.microsoft.com/office/spreadsheetml/2009/9/main" uri="{B025F937-C7B1-47D3-B67F-A62EFF666E3E}">
          <x14:id>{65F68D5C-2A29-47E2-A1DF-0995280845D6}</x14:id>
        </ext>
      </extLst>
    </cfRule>
  </conditionalFormatting>
  <conditionalFormatting sqref="M3:M99 O3:O99">
    <cfRule type="dataBar" priority="54">
      <dataBar>
        <cfvo type="min"/>
        <cfvo type="max"/>
        <color rgb="FF63C384"/>
      </dataBar>
      <extLst>
        <ext xmlns:x14="http://schemas.microsoft.com/office/spreadsheetml/2009/9/main" uri="{B025F937-C7B1-47D3-B67F-A62EFF666E3E}">
          <x14:id>{06AC03AB-91BA-4D90-9505-07CAF5A821AB}</x14:id>
        </ext>
      </extLst>
    </cfRule>
  </conditionalFormatting>
  <conditionalFormatting sqref="O3:O99">
    <cfRule type="dataBar" priority="56">
      <dataBar>
        <cfvo type="min"/>
        <cfvo type="max"/>
        <color rgb="FFFFB628"/>
      </dataBar>
      <extLst>
        <ext xmlns:x14="http://schemas.microsoft.com/office/spreadsheetml/2009/9/main" uri="{B025F937-C7B1-47D3-B67F-A62EFF666E3E}">
          <x14:id>{30E61724-5DBE-4970-A3AD-DDCC857819C1}</x14:id>
        </ext>
      </extLst>
    </cfRule>
  </conditionalFormatting>
  <pageMargins left="0.7" right="0.7" top="0.75" bottom="0.75" header="0.3" footer="0.3"/>
  <ignoredErrors>
    <ignoredError sqref="AW100 AZ100 BC100" formula="1"/>
  </ignoredErrors>
  <legacyDrawing r:id="rId1"/>
  <extLst>
    <ext xmlns:x14="http://schemas.microsoft.com/office/spreadsheetml/2009/9/main" uri="{78C0D931-6437-407d-A8EE-F0AAD7539E65}">
      <x14:conditionalFormattings>
        <x14:conditionalFormatting xmlns:xm="http://schemas.microsoft.com/office/excel/2006/main">
          <x14:cfRule type="dataBar" id="{65F68D5C-2A29-47E2-A1DF-0995280845D6}">
            <x14:dataBar minLength="0" maxLength="100" gradient="0">
              <x14:cfvo type="autoMin"/>
              <x14:cfvo type="autoMax"/>
              <x14:negativeFillColor rgb="FFFF0000"/>
              <x14:axisColor rgb="FF000000"/>
            </x14:dataBar>
          </x14:cfRule>
          <xm:sqref>K3:K99</xm:sqref>
        </x14:conditionalFormatting>
        <x14:conditionalFormatting xmlns:xm="http://schemas.microsoft.com/office/excel/2006/main">
          <x14:cfRule type="dataBar" id="{06AC03AB-91BA-4D90-9505-07CAF5A821AB}">
            <x14:dataBar minLength="0" maxLength="100" gradient="0">
              <x14:cfvo type="autoMin"/>
              <x14:cfvo type="autoMax"/>
              <x14:negativeFillColor rgb="FFFF0000"/>
              <x14:axisColor rgb="FF000000"/>
            </x14:dataBar>
          </x14:cfRule>
          <xm:sqref>M3:M99 O3:O99</xm:sqref>
        </x14:conditionalFormatting>
        <x14:conditionalFormatting xmlns:xm="http://schemas.microsoft.com/office/excel/2006/main">
          <x14:cfRule type="dataBar" id="{30E61724-5DBE-4970-A3AD-DDCC857819C1}">
            <x14:dataBar minLength="0" maxLength="100" gradient="0">
              <x14:cfvo type="autoMin"/>
              <x14:cfvo type="autoMax"/>
              <x14:negativeFillColor rgb="FFFF0000"/>
              <x14:axisColor rgb="FF000000"/>
            </x14:dataBar>
          </x14:cfRule>
          <xm:sqref>O3:O99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47E52-BC9A-4572-A7BB-A9CD3B247534}">
  <sheetPr codeName="Hoja10">
    <tabColor rgb="FFC00000"/>
  </sheetPr>
  <dimension ref="A1:AT108"/>
  <sheetViews>
    <sheetView zoomScale="80" zoomScaleNormal="80" workbookViewId="0">
      <pane xSplit="2" ySplit="2" topLeftCell="AH3" activePane="bottomRight" state="frozen"/>
      <selection pane="topRight" activeCell="C1" sqref="C1"/>
      <selection pane="bottomLeft" activeCell="A3" sqref="A3"/>
      <selection pane="bottomRight" activeCell="B90" sqref="B90"/>
    </sheetView>
  </sheetViews>
  <sheetFormatPr baseColWidth="10" defaultColWidth="11.5" defaultRowHeight="14" outlineLevelCol="1" x14ac:dyDescent="0.2"/>
  <cols>
    <col min="1" max="1" width="22.33203125" style="2" bestFit="1" customWidth="1"/>
    <col min="2" max="2" width="51.5" style="2" customWidth="1"/>
    <col min="3" max="3" width="8.33203125" style="2" bestFit="1" customWidth="1"/>
    <col min="4" max="4" width="14.5" style="2" bestFit="1" customWidth="1"/>
    <col min="5" max="5" width="17" style="2" customWidth="1"/>
    <col min="6" max="6" width="17.5" style="2" bestFit="1" customWidth="1"/>
    <col min="7" max="7" width="16.5" style="2" customWidth="1"/>
    <col min="8" max="8" width="19.6640625" style="2" customWidth="1"/>
    <col min="9" max="9" width="12.6640625" style="2" customWidth="1" collapsed="1"/>
    <col min="10" max="10" width="16.5" style="2" customWidth="1"/>
    <col min="11" max="11" width="15.5" style="2" customWidth="1"/>
    <col min="12" max="12" width="15.33203125" style="2" customWidth="1"/>
    <col min="13" max="13" width="12.33203125" style="2" customWidth="1"/>
    <col min="14" max="14" width="14.5" style="2" customWidth="1" outlineLevel="1"/>
    <col min="15" max="15" width="12.33203125" style="2" customWidth="1" outlineLevel="1"/>
    <col min="16" max="17" width="14.5" style="2" customWidth="1" outlineLevel="1"/>
    <col min="18" max="18" width="13.6640625" style="2" customWidth="1" outlineLevel="1"/>
    <col min="19" max="28" width="10.5" style="2" customWidth="1"/>
    <col min="29" max="29" width="11.5" style="2" customWidth="1"/>
    <col min="30" max="30" width="14.6640625" style="2" bestFit="1" customWidth="1"/>
    <col min="31" max="36" width="11.5" style="2" customWidth="1" outlineLevel="1"/>
    <col min="37" max="37" width="11.33203125" style="2" customWidth="1" outlineLevel="1"/>
    <col min="38" max="38" width="11.5" style="2" customWidth="1" outlineLevel="1"/>
    <col min="39" max="39" width="11.6640625" style="2" customWidth="1" outlineLevel="1"/>
    <col min="40" max="42" width="11.5" style="2" customWidth="1" outlineLevel="1"/>
    <col min="43" max="44" width="11.5" style="2"/>
    <col min="45" max="45" width="37.6640625" style="2" bestFit="1" customWidth="1"/>
    <col min="46" max="16384" width="11.5" style="2"/>
  </cols>
  <sheetData>
    <row r="1" spans="1:46" x14ac:dyDescent="0.2">
      <c r="A1" s="2">
        <v>1</v>
      </c>
      <c r="B1" s="2">
        <v>2</v>
      </c>
      <c r="C1" s="2">
        <v>3</v>
      </c>
      <c r="D1" s="2">
        <v>4</v>
      </c>
      <c r="E1" s="2">
        <v>5</v>
      </c>
      <c r="F1" s="2">
        <v>6</v>
      </c>
      <c r="G1" s="2">
        <v>7</v>
      </c>
      <c r="H1" s="2">
        <v>8</v>
      </c>
      <c r="I1" s="2">
        <v>9</v>
      </c>
      <c r="J1" s="2">
        <v>10</v>
      </c>
      <c r="S1" s="2">
        <f t="shared" ref="S1:AP1" si="0">+COUNTIF(S3:S74,"&gt;0")</f>
        <v>21</v>
      </c>
      <c r="T1" s="2">
        <f t="shared" si="0"/>
        <v>19</v>
      </c>
      <c r="U1" s="2">
        <f t="shared" si="0"/>
        <v>21</v>
      </c>
      <c r="V1" s="2">
        <f t="shared" si="0"/>
        <v>20</v>
      </c>
      <c r="W1" s="2">
        <f t="shared" si="0"/>
        <v>22</v>
      </c>
      <c r="X1" s="2">
        <f t="shared" si="0"/>
        <v>17</v>
      </c>
      <c r="Y1" s="2">
        <f t="shared" si="0"/>
        <v>13</v>
      </c>
      <c r="Z1" s="2">
        <f t="shared" si="0"/>
        <v>15</v>
      </c>
      <c r="AA1" s="2">
        <f t="shared" si="0"/>
        <v>17</v>
      </c>
      <c r="AB1" s="2">
        <f t="shared" si="0"/>
        <v>16</v>
      </c>
      <c r="AC1" s="2">
        <f t="shared" si="0"/>
        <v>14</v>
      </c>
      <c r="AD1" s="2">
        <f t="shared" si="0"/>
        <v>14</v>
      </c>
      <c r="AE1" s="2">
        <f t="shared" si="0"/>
        <v>18</v>
      </c>
      <c r="AF1" s="2">
        <f t="shared" si="0"/>
        <v>15</v>
      </c>
      <c r="AG1" s="2">
        <f t="shared" si="0"/>
        <v>22</v>
      </c>
      <c r="AH1" s="2">
        <f t="shared" si="0"/>
        <v>17</v>
      </c>
      <c r="AI1" s="2">
        <f t="shared" si="0"/>
        <v>26</v>
      </c>
      <c r="AJ1" s="2">
        <f t="shared" si="0"/>
        <v>19</v>
      </c>
      <c r="AK1" s="2">
        <f t="shared" si="0"/>
        <v>21</v>
      </c>
      <c r="AL1" s="2">
        <f t="shared" si="0"/>
        <v>22</v>
      </c>
      <c r="AM1" s="2">
        <f t="shared" si="0"/>
        <v>18</v>
      </c>
      <c r="AN1" s="2">
        <f t="shared" si="0"/>
        <v>17</v>
      </c>
      <c r="AO1" s="2">
        <f t="shared" si="0"/>
        <v>11</v>
      </c>
      <c r="AP1" s="2">
        <f t="shared" si="0"/>
        <v>13</v>
      </c>
    </row>
    <row r="2" spans="1:46" ht="27.75" customHeight="1" x14ac:dyDescent="0.2">
      <c r="A2" s="60" t="s">
        <v>125</v>
      </c>
      <c r="B2" s="60" t="s">
        <v>127</v>
      </c>
      <c r="C2" s="60" t="s">
        <v>169</v>
      </c>
      <c r="D2" s="61" t="s">
        <v>297</v>
      </c>
      <c r="E2" s="61" t="s">
        <v>128</v>
      </c>
      <c r="F2" s="61" t="s">
        <v>449</v>
      </c>
      <c r="G2" s="61" t="s">
        <v>461</v>
      </c>
      <c r="H2" s="61" t="s">
        <v>111</v>
      </c>
      <c r="I2" s="61" t="s">
        <v>129</v>
      </c>
      <c r="J2" s="61" t="s">
        <v>25</v>
      </c>
      <c r="K2" s="61" t="s">
        <v>148</v>
      </c>
      <c r="L2" s="61" t="s">
        <v>124</v>
      </c>
      <c r="M2" s="61" t="s">
        <v>126</v>
      </c>
      <c r="N2" s="61" t="s">
        <v>149</v>
      </c>
      <c r="O2" s="61" t="s">
        <v>150</v>
      </c>
      <c r="P2" s="61" t="s">
        <v>151</v>
      </c>
      <c r="Q2" s="61" t="s">
        <v>296</v>
      </c>
      <c r="R2" s="61" t="s">
        <v>123</v>
      </c>
      <c r="S2" s="59" t="s">
        <v>75</v>
      </c>
      <c r="T2" s="62" t="s">
        <v>73</v>
      </c>
      <c r="U2" s="59" t="s">
        <v>141</v>
      </c>
      <c r="V2" s="62" t="s">
        <v>92</v>
      </c>
      <c r="W2" s="59" t="s">
        <v>139</v>
      </c>
      <c r="X2" s="62" t="s">
        <v>102</v>
      </c>
      <c r="Y2" s="59" t="s">
        <v>138</v>
      </c>
      <c r="Z2" s="62" t="s">
        <v>115</v>
      </c>
      <c r="AA2" s="59" t="s">
        <v>135</v>
      </c>
      <c r="AB2" s="62" t="s">
        <v>136</v>
      </c>
      <c r="AC2" s="59" t="s">
        <v>202</v>
      </c>
      <c r="AD2" s="62" t="s">
        <v>203</v>
      </c>
      <c r="AE2" s="59" t="s">
        <v>214</v>
      </c>
      <c r="AF2" s="62" t="s">
        <v>215</v>
      </c>
      <c r="AG2" s="59" t="s">
        <v>249</v>
      </c>
      <c r="AH2" s="62" t="s">
        <v>250</v>
      </c>
      <c r="AI2" s="59" t="s">
        <v>267</v>
      </c>
      <c r="AJ2" s="62" t="s">
        <v>268</v>
      </c>
      <c r="AK2" s="59" t="s">
        <v>269</v>
      </c>
      <c r="AL2" s="62" t="s">
        <v>132</v>
      </c>
      <c r="AM2" s="59" t="s">
        <v>275</v>
      </c>
      <c r="AN2" s="62" t="s">
        <v>131</v>
      </c>
      <c r="AO2" s="59" t="s">
        <v>144</v>
      </c>
      <c r="AP2" s="62" t="s">
        <v>71</v>
      </c>
    </row>
    <row r="3" spans="1:46" ht="14.25" customHeight="1" x14ac:dyDescent="0.2">
      <c r="A3" s="2" t="s">
        <v>293</v>
      </c>
      <c r="B3" s="118" t="s">
        <v>291</v>
      </c>
      <c r="C3" s="5" t="str">
        <f>+_xlfn.XLOOKUP(A3,'[1]Proyectos (NO FILTRAR)'!$B:$B,'[1]Proyectos (NO FILTRAR)'!$G:$G,"error",0,1)</f>
        <v>Chile</v>
      </c>
      <c r="D3" s="5">
        <v>2024</v>
      </c>
      <c r="E3" s="5" t="s">
        <v>358</v>
      </c>
      <c r="F3" s="5" t="s">
        <v>30</v>
      </c>
      <c r="G3" s="14"/>
      <c r="H3" s="14" t="s">
        <v>109</v>
      </c>
      <c r="I3" s="6">
        <f>+_xlfn.XLOOKUP(B3,'[1]Proyectos (NO FILTRAR)'!$F:$F,'[1]Proyectos (NO FILTRAR)'!$O:$O,"!",0,1)</f>
        <v>904853</v>
      </c>
      <c r="J3" s="51">
        <f t="shared" ref="J3:J34" si="1">+Q3+T3+V3+X3+Z3+AB3+AD3+AF3+AH3+AJ3+AL3+AN3+AP3</f>
        <v>904853</v>
      </c>
      <c r="K3" s="78">
        <f t="shared" ref="K3:K34" si="2">+IFERROR(J3/I3,0)</f>
        <v>1</v>
      </c>
      <c r="L3" s="7"/>
      <c r="M3" s="77">
        <f t="shared" ref="M3:M34" si="3">+IFERROR(L3/I3,0)</f>
        <v>0</v>
      </c>
      <c r="N3" s="65">
        <f t="shared" ref="N3:N34" si="4">+J3+AO3</f>
        <v>904853</v>
      </c>
      <c r="O3" s="77">
        <f t="shared" ref="O3:O34" si="5">IFERROR(N3/I3,0)</f>
        <v>1</v>
      </c>
      <c r="P3" s="104"/>
      <c r="Q3" s="48"/>
      <c r="R3" s="48">
        <f>+I3-Q3</f>
        <v>904853</v>
      </c>
      <c r="S3" s="68">
        <v>70000</v>
      </c>
      <c r="T3" s="71">
        <v>81369</v>
      </c>
      <c r="U3" s="68">
        <f>_xlfn.XLOOKUP(B3,'[4]Resumen EDP POM'!$B:$B,'[4]Resumen EDP POM'!$E:$E,"!",0,1)</f>
        <v>65000</v>
      </c>
      <c r="V3" s="110">
        <v>127260.39</v>
      </c>
      <c r="W3" s="68">
        <v>60000</v>
      </c>
      <c r="X3" s="71">
        <v>87736</v>
      </c>
      <c r="Y3" s="68">
        <v>124000</v>
      </c>
      <c r="Z3" s="71">
        <v>70761</v>
      </c>
      <c r="AA3" s="68">
        <v>110000</v>
      </c>
      <c r="AB3" s="71">
        <v>196358</v>
      </c>
      <c r="AC3" s="68">
        <v>100000</v>
      </c>
      <c r="AD3" s="71">
        <v>137233.17000000001</v>
      </c>
      <c r="AE3" s="68">
        <v>120000</v>
      </c>
      <c r="AF3" s="116">
        <v>159375.44</v>
      </c>
      <c r="AG3" s="68">
        <v>47515</v>
      </c>
      <c r="AH3" s="136">
        <v>4640</v>
      </c>
      <c r="AI3" s="68">
        <v>20000</v>
      </c>
      <c r="AJ3" s="150">
        <v>40120</v>
      </c>
      <c r="AK3" s="68"/>
      <c r="AL3" s="71"/>
      <c r="AM3" s="68"/>
      <c r="AN3" s="71"/>
      <c r="AO3" s="67">
        <f>+_xlfn.XLOOKUP(A3,'[5]Resumen POM'!$O:$O,'[5]Resumen POM'!$J:$J,0,0,1)</f>
        <v>0</v>
      </c>
      <c r="AP3" s="71"/>
      <c r="AQ3" s="2" t="str">
        <f>+IF(AND(L3&gt;0,AC3=0),"!","")</f>
        <v/>
      </c>
      <c r="AR3" s="103"/>
      <c r="AS3" s="103"/>
      <c r="AT3" s="103"/>
    </row>
    <row r="4" spans="1:46" ht="14.25" customHeight="1" x14ac:dyDescent="0.2">
      <c r="A4" s="2" t="str">
        <f>+_xlfn.XLOOKUP(B4,'[1]Proyectos (NO FILTRAR)'!$F:$F,'[1]Proyectos (NO FILTRAR)'!$B:$B,0,0,1)</f>
        <v>CH-CMP-UG-FEL03-093-A</v>
      </c>
      <c r="B4" s="118" t="s">
        <v>196</v>
      </c>
      <c r="C4" s="5" t="str">
        <f>+_xlfn.XLOOKUP(A4,'[1]Proyectos (NO FILTRAR)'!$B:$B,'[1]Proyectos (NO FILTRAR)'!$G:$G,"error",0,1)</f>
        <v>Chile</v>
      </c>
      <c r="D4" s="5">
        <v>2024</v>
      </c>
      <c r="E4" s="5" t="s">
        <v>358</v>
      </c>
      <c r="F4" s="5" t="s">
        <v>30</v>
      </c>
      <c r="G4" s="14"/>
      <c r="H4" s="14" t="s">
        <v>50</v>
      </c>
      <c r="I4" s="6">
        <f>+_xlfn.XLOOKUP(B4,'[1]Proyectos (NO FILTRAR)'!$F:$F,'[1]Proyectos (NO FILTRAR)'!$O:$O,"!",0,1)</f>
        <v>900007.88</v>
      </c>
      <c r="J4" s="51">
        <f t="shared" si="1"/>
        <v>911717.88</v>
      </c>
      <c r="K4" s="47">
        <f t="shared" si="2"/>
        <v>1.0130109971926025</v>
      </c>
      <c r="L4" s="7"/>
      <c r="M4" s="52">
        <f t="shared" si="3"/>
        <v>0</v>
      </c>
      <c r="N4" s="65">
        <f t="shared" si="4"/>
        <v>911717.88</v>
      </c>
      <c r="O4" s="52">
        <f t="shared" si="5"/>
        <v>1.0130109971926025</v>
      </c>
      <c r="P4" s="65"/>
      <c r="Q4" s="48">
        <v>769067.03</v>
      </c>
      <c r="R4" s="48">
        <f>+I4-Q4</f>
        <v>130940.84999999998</v>
      </c>
      <c r="S4" s="68">
        <v>35466</v>
      </c>
      <c r="T4" s="71">
        <v>31918</v>
      </c>
      <c r="U4" s="68">
        <f>_xlfn.XLOOKUP(B4,'[4]Resumen EDP POM'!$B:$B,'[4]Resumen EDP POM'!$E:$E,"!",0,1)</f>
        <v>40000</v>
      </c>
      <c r="V4" s="110">
        <v>41743.85</v>
      </c>
      <c r="W4" s="68">
        <v>15000</v>
      </c>
      <c r="X4" s="71"/>
      <c r="Y4" s="68"/>
      <c r="Z4" s="71"/>
      <c r="AA4" s="68"/>
      <c r="AB4" s="110">
        <v>47495</v>
      </c>
      <c r="AC4" s="68"/>
      <c r="AD4" s="71"/>
      <c r="AE4" s="68"/>
      <c r="AF4" s="71"/>
      <c r="AG4" s="68"/>
      <c r="AH4" s="71"/>
      <c r="AI4" s="68"/>
      <c r="AJ4" s="70"/>
      <c r="AK4" s="68"/>
      <c r="AL4" s="71"/>
      <c r="AM4" s="68"/>
      <c r="AN4" s="136">
        <v>21494</v>
      </c>
      <c r="AO4" s="67">
        <f>+_xlfn.XLOOKUP(A4,'[5]Resumen POM'!$O:$O,'[5]Resumen POM'!$J:$J,0,0,1)</f>
        <v>0</v>
      </c>
      <c r="AP4" s="71"/>
      <c r="AQ4" s="2" t="str">
        <f t="shared" ref="AQ4:AQ43" si="6">+IF(AND(L4&gt;0,AC4=0),"!","")</f>
        <v/>
      </c>
      <c r="AR4" s="103"/>
      <c r="AS4" s="103"/>
      <c r="AT4" s="103"/>
    </row>
    <row r="5" spans="1:46" ht="14.25" customHeight="1" x14ac:dyDescent="0.2">
      <c r="A5" s="2" t="str">
        <f>+_xlfn.XLOOKUP(B5,'[1]Proyectos (NO FILTRAR)'!$F:$F,'[1]Proyectos (NO FILTRAR)'!$B:$B,0,0,1)</f>
        <v>OT-THC-CS-OTR00-122-A</v>
      </c>
      <c r="B5" s="118" t="s">
        <v>277</v>
      </c>
      <c r="C5" s="5" t="str">
        <f>+_xlfn.XLOOKUP(A5,'[1]Proyectos (NO FILTRAR)'!$B:$B,'[1]Proyectos (NO FILTRAR)'!$G:$G,"error",0,1)</f>
        <v>Otros</v>
      </c>
      <c r="D5" s="5">
        <v>2025</v>
      </c>
      <c r="E5" s="5" t="s">
        <v>358</v>
      </c>
      <c r="F5" s="5" t="s">
        <v>28</v>
      </c>
      <c r="G5" s="14"/>
      <c r="H5" s="14"/>
      <c r="I5" s="6">
        <f>+_xlfn.XLOOKUP(B5,'[1]Proyectos (NO FILTRAR)'!$F:$F,'[1]Proyectos (NO FILTRAR)'!$O:$O,"!",0,1)</f>
        <v>645700</v>
      </c>
      <c r="J5" s="51">
        <f t="shared" si="1"/>
        <v>645700</v>
      </c>
      <c r="K5" s="47">
        <f t="shared" si="2"/>
        <v>1</v>
      </c>
      <c r="L5" s="7"/>
      <c r="M5" s="52">
        <f t="shared" si="3"/>
        <v>0</v>
      </c>
      <c r="N5" s="65">
        <f t="shared" si="4"/>
        <v>645700</v>
      </c>
      <c r="O5" s="52">
        <f t="shared" si="5"/>
        <v>1</v>
      </c>
      <c r="P5" s="65"/>
      <c r="Q5" s="48"/>
      <c r="R5" s="48"/>
      <c r="S5" s="68"/>
      <c r="T5" s="71"/>
      <c r="U5" s="68"/>
      <c r="V5" s="71"/>
      <c r="W5" s="68"/>
      <c r="X5" s="71"/>
      <c r="Y5" s="68"/>
      <c r="Z5" s="71"/>
      <c r="AA5" s="68">
        <v>50000</v>
      </c>
      <c r="AB5" s="117">
        <v>74100</v>
      </c>
      <c r="AC5" s="68">
        <v>100000</v>
      </c>
      <c r="AD5" s="117">
        <v>129000</v>
      </c>
      <c r="AE5" s="68">
        <v>50000</v>
      </c>
      <c r="AF5" s="116">
        <v>114100</v>
      </c>
      <c r="AG5" s="68">
        <v>50000</v>
      </c>
      <c r="AH5" s="71">
        <v>150000</v>
      </c>
      <c r="AI5" s="68">
        <v>100000</v>
      </c>
      <c r="AJ5" s="150">
        <v>178500</v>
      </c>
      <c r="AK5" s="68"/>
      <c r="AL5" s="71"/>
      <c r="AM5" s="68"/>
      <c r="AN5" s="101"/>
      <c r="AO5" s="67">
        <f>+_xlfn.XLOOKUP(A5,'[5]Resumen POM'!$O:$O,'[5]Resumen POM'!$J:$J,0,0,1)</f>
        <v>0</v>
      </c>
      <c r="AP5" s="71"/>
      <c r="AQ5" s="2" t="str">
        <f t="shared" si="6"/>
        <v/>
      </c>
      <c r="AR5" s="103"/>
      <c r="AS5" s="103"/>
      <c r="AT5" s="103"/>
    </row>
    <row r="6" spans="1:46" ht="14.25" customHeight="1" x14ac:dyDescent="0.2">
      <c r="A6" s="2" t="str">
        <f>+_xlfn.XLOOKUP(B6,'[1]Proyectos (NO FILTRAR)'!$F:$F,'[1]Proyectos (NO FILTRAR)'!$B:$B,0,0,1)</f>
        <v>OT-TWM-CS-FEL00-119-A</v>
      </c>
      <c r="B6" s="118" t="s">
        <v>276</v>
      </c>
      <c r="C6" s="5" t="str">
        <f>+_xlfn.XLOOKUP(A6,'[1]Proyectos (NO FILTRAR)'!$B:$B,'[1]Proyectos (NO FILTRAR)'!$G:$G,"error",0,1)</f>
        <v>Otros</v>
      </c>
      <c r="D6" s="5">
        <v>2024</v>
      </c>
      <c r="E6" s="5" t="s">
        <v>358</v>
      </c>
      <c r="F6" s="5" t="s">
        <v>49</v>
      </c>
      <c r="G6" s="14"/>
      <c r="H6" s="14" t="s">
        <v>259</v>
      </c>
      <c r="I6" s="6">
        <f>+_xlfn.XLOOKUP(B6,'[1]Proyectos (NO FILTRAR)'!$F:$F,'[1]Proyectos (NO FILTRAR)'!$O:$O,"!",0,1)</f>
        <v>481541</v>
      </c>
      <c r="J6" s="51">
        <f t="shared" si="1"/>
        <v>481541</v>
      </c>
      <c r="K6" s="47">
        <f t="shared" si="2"/>
        <v>1</v>
      </c>
      <c r="L6" s="7"/>
      <c r="M6" s="52">
        <f t="shared" si="3"/>
        <v>0</v>
      </c>
      <c r="N6" s="65">
        <f t="shared" si="4"/>
        <v>481541</v>
      </c>
      <c r="O6" s="52">
        <f t="shared" si="5"/>
        <v>1</v>
      </c>
      <c r="P6" s="65"/>
      <c r="Q6" s="48">
        <v>112740.6</v>
      </c>
      <c r="R6" s="48">
        <f>+I6-Q6</f>
        <v>368800.4</v>
      </c>
      <c r="S6" s="68">
        <v>82000</v>
      </c>
      <c r="T6" s="71">
        <v>80209.399999999994</v>
      </c>
      <c r="U6" s="68">
        <f>_xlfn.XLOOKUP(B6,'[4]Resumen EDP POM'!$B:$B,'[4]Resumen EDP POM'!$E:$E,"!",0,1)</f>
        <v>133000</v>
      </c>
      <c r="V6" s="71">
        <v>112981</v>
      </c>
      <c r="W6" s="68">
        <v>62689</v>
      </c>
      <c r="X6" s="110"/>
      <c r="Y6" s="68">
        <v>74025</v>
      </c>
      <c r="Z6" s="71">
        <f>101319+60296</f>
        <v>161615</v>
      </c>
      <c r="AA6" s="68">
        <v>15454</v>
      </c>
      <c r="AB6" s="71">
        <v>13995</v>
      </c>
      <c r="AC6" s="68"/>
      <c r="AD6" s="71"/>
      <c r="AE6" s="68"/>
      <c r="AF6" s="71"/>
      <c r="AG6" s="68"/>
      <c r="AH6" s="71"/>
      <c r="AI6" s="68"/>
      <c r="AJ6" s="71"/>
      <c r="AK6" s="68"/>
      <c r="AL6" s="71"/>
      <c r="AM6" s="68"/>
      <c r="AN6" s="101"/>
      <c r="AO6" s="67">
        <f>+_xlfn.XLOOKUP(A6,'[5]Resumen POM'!$O:$O,'[5]Resumen POM'!$J:$J,0,0,1)</f>
        <v>0</v>
      </c>
      <c r="AP6" s="71"/>
      <c r="AQ6" s="2" t="str">
        <f t="shared" si="6"/>
        <v/>
      </c>
      <c r="AR6" s="103"/>
      <c r="AS6" s="103"/>
      <c r="AT6" s="103"/>
    </row>
    <row r="7" spans="1:46" ht="14.25" customHeight="1" x14ac:dyDescent="0.2">
      <c r="A7" s="2" t="str">
        <f>+_xlfn.XLOOKUP(B7,'[1]Proyectos (NO FILTRAR)'!$F:$F,'[1]Proyectos (NO FILTRAR)'!$B:$B,0,0,1)</f>
        <v>BR-MOS-UG-OTR00-098-A</v>
      </c>
      <c r="B7" s="118" t="s">
        <v>282</v>
      </c>
      <c r="C7" s="5" t="str">
        <f>+_xlfn.XLOOKUP(A7,'[1]Proyectos (NO FILTRAR)'!$B:$B,'[1]Proyectos (NO FILTRAR)'!$G:$G,"error",0,1)</f>
        <v>Brasil</v>
      </c>
      <c r="D7" s="5">
        <v>2024</v>
      </c>
      <c r="E7" s="5" t="s">
        <v>358</v>
      </c>
      <c r="F7" s="5" t="s">
        <v>162</v>
      </c>
      <c r="G7" s="14"/>
      <c r="H7" s="14"/>
      <c r="I7" s="6">
        <f>+_xlfn.XLOOKUP(B7,'[1]Proyectos (NO FILTRAR)'!$F:$F,'[1]Proyectos (NO FILTRAR)'!$O:$O,"!",0,1)</f>
        <v>330410</v>
      </c>
      <c r="J7" s="51">
        <f t="shared" si="1"/>
        <v>267019.08999999997</v>
      </c>
      <c r="K7" s="47">
        <f t="shared" si="2"/>
        <v>0.80814469901032038</v>
      </c>
      <c r="L7" s="7"/>
      <c r="M7" s="52">
        <f t="shared" si="3"/>
        <v>0</v>
      </c>
      <c r="N7" s="65">
        <f t="shared" si="4"/>
        <v>267019.08999999997</v>
      </c>
      <c r="O7" s="52">
        <f t="shared" si="5"/>
        <v>0.80814469901032038</v>
      </c>
      <c r="P7" s="65"/>
      <c r="Q7" s="48">
        <v>45337</v>
      </c>
      <c r="R7" s="48">
        <f>+I7-Q7</f>
        <v>285073</v>
      </c>
      <c r="S7" s="68">
        <v>14900</v>
      </c>
      <c r="T7" s="71">
        <v>22947.840000000004</v>
      </c>
      <c r="U7" s="68">
        <f>_xlfn.XLOOKUP(B7,'[4]Resumen EDP POM'!$B:$B,'[4]Resumen EDP POM'!$E:$E,"!",0,1)</f>
        <v>12081.563039723662</v>
      </c>
      <c r="V7" s="110">
        <v>10292.709999999999</v>
      </c>
      <c r="W7" s="68">
        <v>24353.773148148099</v>
      </c>
      <c r="X7" s="71">
        <v>5393</v>
      </c>
      <c r="Y7" s="68">
        <v>15000</v>
      </c>
      <c r="Z7" s="71">
        <v>11237</v>
      </c>
      <c r="AA7" s="68">
        <v>30000</v>
      </c>
      <c r="AB7" s="71">
        <v>32693</v>
      </c>
      <c r="AC7" s="68">
        <v>30000</v>
      </c>
      <c r="AD7" s="71">
        <v>34273</v>
      </c>
      <c r="AE7" s="68">
        <v>30000</v>
      </c>
      <c r="AF7" s="116">
        <v>21033</v>
      </c>
      <c r="AG7" s="68">
        <v>37000</v>
      </c>
      <c r="AH7" s="136">
        <v>25049.54</v>
      </c>
      <c r="AI7" s="68">
        <v>30000</v>
      </c>
      <c r="AJ7" s="136">
        <v>33890</v>
      </c>
      <c r="AK7" s="68">
        <v>32000</v>
      </c>
      <c r="AL7" s="136">
        <v>24873</v>
      </c>
      <c r="AM7" s="68"/>
      <c r="AN7" s="101"/>
      <c r="AO7" s="67">
        <f>+_xlfn.XLOOKUP(A7,'[5]Resumen POM'!$O:$O,'[5]Resumen POM'!$J:$J,0,0,1)</f>
        <v>0</v>
      </c>
      <c r="AP7" s="71"/>
      <c r="AQ7" s="2" t="str">
        <f t="shared" si="6"/>
        <v/>
      </c>
      <c r="AR7" s="103"/>
      <c r="AS7" s="103"/>
      <c r="AT7" s="103"/>
    </row>
    <row r="8" spans="1:46" ht="14.25" customHeight="1" x14ac:dyDescent="0.2">
      <c r="A8" s="2" t="s">
        <v>283</v>
      </c>
      <c r="B8" s="118" t="s">
        <v>284</v>
      </c>
      <c r="C8" s="5" t="str">
        <f>+_xlfn.XLOOKUP(A8,'[1]Proyectos (NO FILTRAR)'!$B:$B,'[1]Proyectos (NO FILTRAR)'!$G:$G,"error",0,1)</f>
        <v>Brasil</v>
      </c>
      <c r="D8" s="5">
        <v>2024</v>
      </c>
      <c r="E8" s="5" t="s">
        <v>358</v>
      </c>
      <c r="F8" s="5" t="s">
        <v>33</v>
      </c>
      <c r="G8" s="14"/>
      <c r="H8" s="14" t="s">
        <v>50</v>
      </c>
      <c r="I8" s="6">
        <f>+_xlfn.XLOOKUP(B8,'[1]Proyectos (NO FILTRAR)'!$F:$F,'[1]Proyectos (NO FILTRAR)'!$O:$O,"!",0,1)</f>
        <v>310000</v>
      </c>
      <c r="J8" s="51">
        <f t="shared" si="1"/>
        <v>310000.41000000003</v>
      </c>
      <c r="K8" s="47">
        <f t="shared" si="2"/>
        <v>1.0000013225806452</v>
      </c>
      <c r="L8" s="7"/>
      <c r="M8" s="52">
        <f t="shared" si="3"/>
        <v>0</v>
      </c>
      <c r="N8" s="65">
        <f t="shared" si="4"/>
        <v>310000.41000000003</v>
      </c>
      <c r="O8" s="52">
        <f t="shared" si="5"/>
        <v>1.0000013225806452</v>
      </c>
      <c r="P8" s="65"/>
      <c r="Q8" s="48"/>
      <c r="R8" s="48">
        <f>+I8-Q8</f>
        <v>310000</v>
      </c>
      <c r="S8" s="68">
        <v>40000</v>
      </c>
      <c r="T8" s="71">
        <v>54144</v>
      </c>
      <c r="U8" s="68">
        <f>_xlfn.XLOOKUP(B8,'[4]Resumen EDP POM'!$B:$B,'[4]Resumen EDP POM'!$E:$E,"!",0,1)</f>
        <v>46000</v>
      </c>
      <c r="V8" s="110">
        <v>58804.41</v>
      </c>
      <c r="W8" s="68">
        <v>44000</v>
      </c>
      <c r="X8" s="71">
        <v>20261</v>
      </c>
      <c r="Y8" s="68"/>
      <c r="Z8" s="71">
        <v>46562</v>
      </c>
      <c r="AA8" s="68">
        <v>34381.815517241383</v>
      </c>
      <c r="AB8" s="71">
        <v>23599</v>
      </c>
      <c r="AC8" s="68">
        <v>33400</v>
      </c>
      <c r="AD8" s="71">
        <v>30544</v>
      </c>
      <c r="AE8" s="68">
        <v>30000</v>
      </c>
      <c r="AF8" s="116">
        <v>29078</v>
      </c>
      <c r="AG8" s="68">
        <v>22000</v>
      </c>
      <c r="AH8" s="136">
        <v>19194</v>
      </c>
      <c r="AI8" s="68">
        <v>12280.701754385964</v>
      </c>
      <c r="AJ8" s="150">
        <v>16193</v>
      </c>
      <c r="AK8" s="68">
        <v>11620.589999999967</v>
      </c>
      <c r="AL8" s="136">
        <v>11621</v>
      </c>
      <c r="AM8" s="68"/>
      <c r="AN8" s="71"/>
      <c r="AO8" s="67">
        <f>+_xlfn.XLOOKUP(A8,'[5]Resumen POM'!$O:$O,'[5]Resumen POM'!$J:$J,0,0,1)</f>
        <v>0</v>
      </c>
      <c r="AP8" s="71"/>
      <c r="AQ8" s="2" t="str">
        <f t="shared" si="6"/>
        <v/>
      </c>
      <c r="AR8" s="114"/>
      <c r="AS8" s="103"/>
      <c r="AT8" s="103"/>
    </row>
    <row r="9" spans="1:46" ht="14.25" customHeight="1" x14ac:dyDescent="0.2">
      <c r="A9" s="2" t="str">
        <f>+_xlfn.XLOOKUP(B9,'[1]Proyectos (NO FILTRAR)'!$F:$F,'[1]Proyectos (NO FILTRAR)'!$B:$B,0,0,1)</f>
        <v>CH-LUN-CS-OTR00-154-A</v>
      </c>
      <c r="B9" s="118" t="s">
        <v>321</v>
      </c>
      <c r="C9" s="5" t="str">
        <f>+_xlfn.XLOOKUP(A9,'[1]Proyectos (NO FILTRAR)'!$B:$B,'[1]Proyectos (NO FILTRAR)'!$G:$G,"error",0,1)</f>
        <v>Chile</v>
      </c>
      <c r="D9" s="5">
        <v>2025</v>
      </c>
      <c r="E9" s="5" t="s">
        <v>358</v>
      </c>
      <c r="F9" s="5" t="s">
        <v>32</v>
      </c>
      <c r="G9" s="14"/>
      <c r="H9" s="14"/>
      <c r="I9" s="6">
        <f>+_xlfn.XLOOKUP(B9,'[1]Proyectos (NO FILTRAR)'!$F:$F,'[1]Proyectos (NO FILTRAR)'!$O:$O,"!",0,1)</f>
        <v>299270</v>
      </c>
      <c r="J9" s="51">
        <f t="shared" si="1"/>
        <v>299270</v>
      </c>
      <c r="K9" s="47">
        <f t="shared" si="2"/>
        <v>1</v>
      </c>
      <c r="L9" s="7"/>
      <c r="M9" s="52">
        <f t="shared" si="3"/>
        <v>0</v>
      </c>
      <c r="N9" s="65">
        <f t="shared" si="4"/>
        <v>299270</v>
      </c>
      <c r="O9" s="52">
        <f t="shared" si="5"/>
        <v>1</v>
      </c>
      <c r="P9" s="65"/>
      <c r="Q9" s="48"/>
      <c r="R9" s="48"/>
      <c r="S9" s="68"/>
      <c r="T9" s="71"/>
      <c r="U9" s="68"/>
      <c r="V9" s="71"/>
      <c r="W9" s="68"/>
      <c r="X9" s="71"/>
      <c r="Y9" s="68"/>
      <c r="Z9" s="71"/>
      <c r="AA9" s="68"/>
      <c r="AB9" s="71"/>
      <c r="AC9" s="68">
        <v>55000</v>
      </c>
      <c r="AD9" s="71">
        <v>54620</v>
      </c>
      <c r="AE9" s="68">
        <v>70000</v>
      </c>
      <c r="AF9" s="116">
        <v>70025</v>
      </c>
      <c r="AG9" s="68">
        <v>65000</v>
      </c>
      <c r="AH9" s="136">
        <v>70020</v>
      </c>
      <c r="AI9" s="68">
        <v>54000</v>
      </c>
      <c r="AJ9" s="136">
        <v>53961</v>
      </c>
      <c r="AK9" s="68">
        <v>35000</v>
      </c>
      <c r="AL9" s="136">
        <v>31113</v>
      </c>
      <c r="AM9" s="68">
        <v>19531</v>
      </c>
      <c r="AN9" s="136">
        <v>19531</v>
      </c>
      <c r="AO9" s="67">
        <f>+_xlfn.XLOOKUP(A9,'[5]Resumen POM'!$O:$O,'[5]Resumen POM'!$J:$J,0,0,1)</f>
        <v>0</v>
      </c>
      <c r="AP9" s="71"/>
      <c r="AQ9" s="2" t="str">
        <f t="shared" si="6"/>
        <v/>
      </c>
      <c r="AR9" s="103"/>
      <c r="AS9" s="103"/>
      <c r="AT9" s="103"/>
    </row>
    <row r="10" spans="1:46" ht="14.25" customHeight="1" x14ac:dyDescent="0.2">
      <c r="A10" s="2" t="s">
        <v>294</v>
      </c>
      <c r="B10" s="118" t="s">
        <v>295</v>
      </c>
      <c r="C10" s="5" t="str">
        <f>+_xlfn.XLOOKUP(A10,'[1]Proyectos (NO FILTRAR)'!$B:$B,'[1]Proyectos (NO FILTRAR)'!$G:$G,"error",0,1)</f>
        <v>Perú</v>
      </c>
      <c r="D10" s="5">
        <v>2024</v>
      </c>
      <c r="E10" s="5" t="s">
        <v>358</v>
      </c>
      <c r="F10" s="5" t="s">
        <v>33</v>
      </c>
      <c r="G10" s="14"/>
      <c r="H10" s="14" t="s">
        <v>29</v>
      </c>
      <c r="I10" s="6">
        <f>+_xlfn.XLOOKUP(B10,'[1]Proyectos (NO FILTRAR)'!$F:$F,'[1]Proyectos (NO FILTRAR)'!$O:$O,"!",0,1)</f>
        <v>295769</v>
      </c>
      <c r="J10" s="51">
        <f t="shared" si="1"/>
        <v>336553.91747624078</v>
      </c>
      <c r="K10" s="78">
        <f t="shared" si="2"/>
        <v>1.1378944969764944</v>
      </c>
      <c r="L10" s="7"/>
      <c r="M10" s="77">
        <f t="shared" si="3"/>
        <v>0</v>
      </c>
      <c r="N10" s="65">
        <f t="shared" si="4"/>
        <v>336553.91747624078</v>
      </c>
      <c r="O10" s="77">
        <f t="shared" si="5"/>
        <v>1.1378944969764944</v>
      </c>
      <c r="P10" s="104"/>
      <c r="Q10" s="48"/>
      <c r="R10" s="48">
        <f>+I10-Q10</f>
        <v>295769</v>
      </c>
      <c r="S10" s="68">
        <v>25500</v>
      </c>
      <c r="T10" s="71">
        <v>36175</v>
      </c>
      <c r="U10" s="68">
        <f>_xlfn.XLOOKUP(B10,'[4]Resumen EDP POM'!$B:$B,'[4]Resumen EDP POM'!$E:$E,"!",0,1)</f>
        <v>44000</v>
      </c>
      <c r="V10" s="110">
        <v>47631</v>
      </c>
      <c r="W10" s="68">
        <v>37000</v>
      </c>
      <c r="X10" s="71">
        <v>34217</v>
      </c>
      <c r="Y10" s="68">
        <v>25127</v>
      </c>
      <c r="Z10" s="71">
        <v>25392</v>
      </c>
      <c r="AA10" s="68">
        <v>48700.336152141805</v>
      </c>
      <c r="AB10" s="71">
        <v>57648</v>
      </c>
      <c r="AC10" s="68">
        <v>50800</v>
      </c>
      <c r="AD10" s="71">
        <v>59126</v>
      </c>
      <c r="AE10" s="68">
        <v>35579</v>
      </c>
      <c r="AF10" s="116">
        <v>30279.917476240771</v>
      </c>
      <c r="AG10" s="68">
        <v>5299</v>
      </c>
      <c r="AH10" s="71">
        <v>5300</v>
      </c>
      <c r="AI10" s="68"/>
      <c r="AJ10" s="70"/>
      <c r="AK10" s="68"/>
      <c r="AL10" s="136">
        <v>40785</v>
      </c>
      <c r="AM10" s="68"/>
      <c r="AN10" s="71"/>
      <c r="AO10" s="67">
        <f>+_xlfn.XLOOKUP(A10,'[5]Resumen POM'!$O:$O,'[5]Resumen POM'!$J:$J,0,0,1)</f>
        <v>0</v>
      </c>
      <c r="AP10" s="71"/>
      <c r="AQ10" s="2" t="str">
        <f t="shared" si="6"/>
        <v/>
      </c>
      <c r="AR10" s="103"/>
      <c r="AS10" s="103"/>
      <c r="AT10" s="103"/>
    </row>
    <row r="11" spans="1:46" ht="14.25" customHeight="1" x14ac:dyDescent="0.2">
      <c r="A11" s="2" t="str">
        <f>+_xlfn.XLOOKUP(B11,'[1]Proyectos (NO FILTRAR)'!$F:$F,'[1]Proyectos (NO FILTRAR)'!$B:$B,0,0,1)</f>
        <v>CH-D&amp;P-CS-OTR00-137-A</v>
      </c>
      <c r="B11" s="118" t="s">
        <v>300</v>
      </c>
      <c r="C11" s="5" t="str">
        <f>+_xlfn.XLOOKUP(A11,'[1]Proyectos (NO FILTRAR)'!$B:$B,'[1]Proyectos (NO FILTRAR)'!$G:$G,"error",0,1)</f>
        <v>Chile</v>
      </c>
      <c r="D11" s="5">
        <v>2025</v>
      </c>
      <c r="E11" s="5" t="s">
        <v>358</v>
      </c>
      <c r="F11" s="5" t="s">
        <v>254</v>
      </c>
      <c r="G11" s="14"/>
      <c r="H11" s="14"/>
      <c r="I11" s="6">
        <f>+_xlfn.XLOOKUP(B11,'[1]Proyectos (NO FILTRAR)'!$F:$F,'[1]Proyectos (NO FILTRAR)'!$O:$O,"!",0,1)</f>
        <v>272200.59999999998</v>
      </c>
      <c r="J11" s="51">
        <f t="shared" si="1"/>
        <v>272201</v>
      </c>
      <c r="K11" s="47">
        <f t="shared" si="2"/>
        <v>1.0000014695044759</v>
      </c>
      <c r="L11" s="7"/>
      <c r="M11" s="52">
        <f t="shared" si="3"/>
        <v>0</v>
      </c>
      <c r="N11" s="65">
        <f t="shared" si="4"/>
        <v>272201</v>
      </c>
      <c r="O11" s="52">
        <f t="shared" si="5"/>
        <v>1.0000014695044759</v>
      </c>
      <c r="P11" s="65"/>
      <c r="Q11" s="48"/>
      <c r="R11" s="48"/>
      <c r="S11" s="68"/>
      <c r="T11" s="71"/>
      <c r="U11" s="68">
        <f>_xlfn.XLOOKUP(B11,'[4]Resumen EDP POM'!$B:$B,'[4]Resumen EDP POM'!$E:$E,"!",0,1)</f>
        <v>79200</v>
      </c>
      <c r="V11" s="110">
        <v>82681.2</v>
      </c>
      <c r="W11" s="68">
        <v>80500</v>
      </c>
      <c r="X11" s="110">
        <v>89646.3</v>
      </c>
      <c r="Y11" s="68">
        <v>46270</v>
      </c>
      <c r="Z11" s="110">
        <v>0</v>
      </c>
      <c r="AA11" s="68"/>
      <c r="AB11" s="71"/>
      <c r="AC11" s="68"/>
      <c r="AD11" s="110"/>
      <c r="AE11" s="68"/>
      <c r="AF11" s="116">
        <v>99873.5</v>
      </c>
      <c r="AG11" s="68"/>
      <c r="AH11" s="71"/>
      <c r="AI11" s="68"/>
      <c r="AJ11" s="70"/>
      <c r="AK11" s="68"/>
      <c r="AL11" s="71"/>
      <c r="AM11" s="68"/>
      <c r="AN11" s="101"/>
      <c r="AO11" s="67">
        <f>+_xlfn.XLOOKUP(A11,'[5]Resumen POM'!$O:$O,'[5]Resumen POM'!$J:$J,0,0,1)</f>
        <v>0</v>
      </c>
      <c r="AP11" s="71"/>
      <c r="AQ11" s="2" t="str">
        <f t="shared" si="6"/>
        <v/>
      </c>
      <c r="AR11" s="103"/>
      <c r="AS11" s="103"/>
      <c r="AT11" s="103"/>
    </row>
    <row r="12" spans="1:46" ht="14.25" customHeight="1" x14ac:dyDescent="0.2">
      <c r="A12" s="2" t="s">
        <v>289</v>
      </c>
      <c r="B12" s="118" t="s">
        <v>285</v>
      </c>
      <c r="C12" s="5" t="str">
        <f>+_xlfn.XLOOKUP(A12,'[1]Proyectos (NO FILTRAR)'!$B:$B,'[1]Proyectos (NO FILTRAR)'!$G:$G,"error",0,1)</f>
        <v>Otros</v>
      </c>
      <c r="D12" s="5">
        <v>2024</v>
      </c>
      <c r="E12" s="5" t="s">
        <v>358</v>
      </c>
      <c r="F12" s="5" t="s">
        <v>315</v>
      </c>
      <c r="G12" s="14"/>
      <c r="H12" s="14" t="s">
        <v>35</v>
      </c>
      <c r="I12" s="6">
        <f>+_xlfn.XLOOKUP(B12,'[1]Proyectos (NO FILTRAR)'!$F:$F,'[1]Proyectos (NO FILTRAR)'!$O:$O,"!",0,1)</f>
        <v>254012</v>
      </c>
      <c r="J12" s="51">
        <f t="shared" si="1"/>
        <v>254012</v>
      </c>
      <c r="K12" s="47">
        <f t="shared" si="2"/>
        <v>1</v>
      </c>
      <c r="L12" s="7"/>
      <c r="M12" s="52">
        <f t="shared" si="3"/>
        <v>0</v>
      </c>
      <c r="N12" s="65">
        <f t="shared" si="4"/>
        <v>254012</v>
      </c>
      <c r="O12" s="52">
        <f t="shared" si="5"/>
        <v>1</v>
      </c>
      <c r="P12" s="113"/>
      <c r="Q12" s="48"/>
      <c r="R12" s="48">
        <f t="shared" ref="R12:R17" si="7">+I12-Q12</f>
        <v>254012</v>
      </c>
      <c r="S12" s="68">
        <v>115000</v>
      </c>
      <c r="T12" s="71">
        <v>130412</v>
      </c>
      <c r="U12" s="68">
        <f>_xlfn.XLOOKUP(B12,'[4]Resumen EDP POM'!$B:$B,'[4]Resumen EDP POM'!$E:$E,"!",0,1)</f>
        <v>95000</v>
      </c>
      <c r="V12" s="110">
        <v>84975</v>
      </c>
      <c r="W12" s="68">
        <v>28325</v>
      </c>
      <c r="X12" s="71">
        <v>38625</v>
      </c>
      <c r="Y12" s="68"/>
      <c r="Z12" s="71"/>
      <c r="AA12" s="68"/>
      <c r="AB12" s="71"/>
      <c r="AC12" s="68"/>
      <c r="AD12" s="71"/>
      <c r="AE12" s="68"/>
      <c r="AF12" s="71"/>
      <c r="AG12" s="68"/>
      <c r="AH12" s="71"/>
      <c r="AI12" s="68"/>
      <c r="AJ12" s="70"/>
      <c r="AK12" s="68"/>
      <c r="AL12" s="71"/>
      <c r="AM12" s="68"/>
      <c r="AN12" s="71"/>
      <c r="AO12" s="67">
        <f>+_xlfn.XLOOKUP(A12,'[5]Resumen POM'!$O:$O,'[5]Resumen POM'!$J:$J,0,0,1)</f>
        <v>0</v>
      </c>
      <c r="AP12" s="71"/>
      <c r="AQ12" s="2" t="str">
        <f t="shared" si="6"/>
        <v/>
      </c>
      <c r="AR12" s="103"/>
      <c r="AS12" s="103"/>
      <c r="AT12" s="103"/>
    </row>
    <row r="13" spans="1:46" ht="14.25" customHeight="1" x14ac:dyDescent="0.2">
      <c r="A13" s="2" t="str">
        <f>+_xlfn.XLOOKUP(B13,'[1]Proyectos (NO FILTRAR)'!$F:$F,'[1]Proyectos (NO FILTRAR)'!$B:$B,0,0,1)</f>
        <v>BR-J&amp;F-UG-FEL03-048-A</v>
      </c>
      <c r="B13" s="118" t="s">
        <v>184</v>
      </c>
      <c r="C13" s="5" t="str">
        <f>+_xlfn.XLOOKUP(A13,'[1]Proyectos (NO FILTRAR)'!$B:$B,'[1]Proyectos (NO FILTRAR)'!$G:$G,"error",0,1)</f>
        <v>Brasil</v>
      </c>
      <c r="D13" s="5">
        <v>2024</v>
      </c>
      <c r="E13" s="5" t="s">
        <v>358</v>
      </c>
      <c r="F13" s="5" t="s">
        <v>162</v>
      </c>
      <c r="G13" s="14"/>
      <c r="H13" s="14" t="s">
        <v>35</v>
      </c>
      <c r="I13" s="6">
        <f>+_xlfn.XLOOKUP(B13,'[1]Proyectos (NO FILTRAR)'!$F:$F,'[1]Proyectos (NO FILTRAR)'!$O:$O,"!",0,1)</f>
        <v>239308</v>
      </c>
      <c r="J13" s="51">
        <f t="shared" si="1"/>
        <v>216351</v>
      </c>
      <c r="K13" s="47">
        <f t="shared" si="2"/>
        <v>0.90406923295502029</v>
      </c>
      <c r="L13" s="7"/>
      <c r="M13" s="52">
        <f t="shared" si="3"/>
        <v>0</v>
      </c>
      <c r="N13" s="65">
        <f t="shared" si="4"/>
        <v>216351</v>
      </c>
      <c r="O13" s="52">
        <f t="shared" si="5"/>
        <v>0.90406923295502029</v>
      </c>
      <c r="P13" s="65"/>
      <c r="Q13" s="48">
        <v>208259</v>
      </c>
      <c r="R13" s="48">
        <f t="shared" si="7"/>
        <v>31049</v>
      </c>
      <c r="S13" s="68"/>
      <c r="T13" s="71"/>
      <c r="U13" s="68"/>
      <c r="V13" s="71"/>
      <c r="W13" s="68"/>
      <c r="X13" s="71">
        <v>8092</v>
      </c>
      <c r="Y13" s="68"/>
      <c r="Z13" s="71"/>
      <c r="AA13" s="68"/>
      <c r="AB13" s="71"/>
      <c r="AC13" s="68"/>
      <c r="AD13" s="71"/>
      <c r="AE13" s="68"/>
      <c r="AF13" s="71"/>
      <c r="AG13" s="68"/>
      <c r="AH13" s="71"/>
      <c r="AI13" s="68"/>
      <c r="AJ13" s="70"/>
      <c r="AK13" s="68"/>
      <c r="AL13" s="71"/>
      <c r="AM13" s="68"/>
      <c r="AN13" s="101"/>
      <c r="AO13" s="67">
        <f>+_xlfn.XLOOKUP(A13,'[5]Resumen POM'!$O:$O,'[5]Resumen POM'!$J:$J,0,0,1)</f>
        <v>0</v>
      </c>
      <c r="AP13" s="71"/>
      <c r="AQ13" s="2" t="str">
        <f t="shared" si="6"/>
        <v/>
      </c>
      <c r="AR13" s="103"/>
      <c r="AS13" s="103"/>
      <c r="AT13" s="103"/>
    </row>
    <row r="14" spans="1:46" ht="14.25" customHeight="1" x14ac:dyDescent="0.2">
      <c r="A14" s="2" t="str">
        <f>+_xlfn.XLOOKUP(B14,'[1]Proyectos (NO FILTRAR)'!$F:$F,'[1]Proyectos (NO FILTRAR)'!$B:$B,0,0,1)</f>
        <v>CH-MCI-OP-OTR00-089-A</v>
      </c>
      <c r="B14" s="118" t="s">
        <v>205</v>
      </c>
      <c r="C14" s="5" t="str">
        <f>+_xlfn.XLOOKUP(A14,'[1]Proyectos (NO FILTRAR)'!$B:$B,'[1]Proyectos (NO FILTRAR)'!$G:$G,"error",0,1)</f>
        <v>Chile</v>
      </c>
      <c r="D14" s="5">
        <v>2024</v>
      </c>
      <c r="E14" s="5" t="s">
        <v>358</v>
      </c>
      <c r="F14" s="5" t="s">
        <v>254</v>
      </c>
      <c r="G14" s="14"/>
      <c r="H14" s="14" t="s">
        <v>39</v>
      </c>
      <c r="I14" s="6">
        <f>+_xlfn.XLOOKUP(B14,'[1]Proyectos (NO FILTRAR)'!$F:$F,'[1]Proyectos (NO FILTRAR)'!$O:$O,"!",0,1)</f>
        <v>239000</v>
      </c>
      <c r="J14" s="51">
        <f t="shared" si="1"/>
        <v>239000</v>
      </c>
      <c r="K14" s="47">
        <f t="shared" si="2"/>
        <v>1</v>
      </c>
      <c r="L14" s="7"/>
      <c r="M14" s="52">
        <f t="shared" si="3"/>
        <v>0</v>
      </c>
      <c r="N14" s="65">
        <f t="shared" si="4"/>
        <v>239000</v>
      </c>
      <c r="O14" s="52">
        <f t="shared" si="5"/>
        <v>1</v>
      </c>
      <c r="P14" s="65"/>
      <c r="Q14" s="48">
        <v>215280</v>
      </c>
      <c r="R14" s="48">
        <f t="shared" si="7"/>
        <v>23720</v>
      </c>
      <c r="S14" s="68">
        <v>23720</v>
      </c>
      <c r="T14" s="71">
        <v>23720</v>
      </c>
      <c r="U14" s="68"/>
      <c r="V14" s="71"/>
      <c r="W14" s="68"/>
      <c r="X14" s="71"/>
      <c r="Y14" s="68"/>
      <c r="Z14" s="71"/>
      <c r="AA14" s="68"/>
      <c r="AB14" s="71"/>
      <c r="AC14" s="68"/>
      <c r="AD14" s="71"/>
      <c r="AE14" s="68"/>
      <c r="AF14" s="71"/>
      <c r="AG14" s="68"/>
      <c r="AH14" s="71"/>
      <c r="AI14" s="68"/>
      <c r="AJ14" s="70"/>
      <c r="AK14" s="68"/>
      <c r="AL14" s="71"/>
      <c r="AM14" s="68"/>
      <c r="AN14" s="71"/>
      <c r="AO14" s="67">
        <f>+_xlfn.XLOOKUP(A14,'[5]Resumen POM'!$O:$O,'[5]Resumen POM'!$J:$J,0,0,1)</f>
        <v>0</v>
      </c>
      <c r="AP14" s="71"/>
      <c r="AQ14" s="2" t="str">
        <f t="shared" si="6"/>
        <v/>
      </c>
      <c r="AR14" s="103"/>
      <c r="AS14" s="103"/>
      <c r="AT14" s="103"/>
    </row>
    <row r="15" spans="1:46" ht="14.25" customHeight="1" x14ac:dyDescent="0.2">
      <c r="A15" s="2" t="str">
        <f>+_xlfn.XLOOKUP(B15,'[1]Proyectos (NO FILTRAR)'!$F:$F,'[1]Proyectos (NO FILTRAR)'!$B:$B,0,0,1)</f>
        <v>CH-BHP-UG-FEL01-074-A</v>
      </c>
      <c r="B15" s="118" t="s">
        <v>107</v>
      </c>
      <c r="C15" s="5" t="str">
        <f>+_xlfn.XLOOKUP(A15,'[1]Proyectos (NO FILTRAR)'!$B:$B,'[1]Proyectos (NO FILTRAR)'!$G:$G,"error",0,1)</f>
        <v>Chile</v>
      </c>
      <c r="D15" s="5">
        <v>2025</v>
      </c>
      <c r="E15" s="5" t="s">
        <v>358</v>
      </c>
      <c r="F15" s="5" t="s">
        <v>315</v>
      </c>
      <c r="G15" s="14"/>
      <c r="H15" s="14"/>
      <c r="I15" s="6">
        <f>+_xlfn.XLOOKUP(B15,'[1]Proyectos (NO FILTRAR)'!$F:$F,'[1]Proyectos (NO FILTRAR)'!$O:$O,"!",0,1)</f>
        <v>198920</v>
      </c>
      <c r="J15" s="51">
        <f t="shared" si="1"/>
        <v>198920</v>
      </c>
      <c r="K15" s="47">
        <f t="shared" si="2"/>
        <v>1</v>
      </c>
      <c r="L15" s="7"/>
      <c r="M15" s="52">
        <f t="shared" si="3"/>
        <v>0</v>
      </c>
      <c r="N15" s="65">
        <f t="shared" si="4"/>
        <v>198920</v>
      </c>
      <c r="O15" s="52">
        <f t="shared" si="5"/>
        <v>1</v>
      </c>
      <c r="P15" s="65"/>
      <c r="Q15" s="48">
        <v>35036</v>
      </c>
      <c r="R15" s="48">
        <f t="shared" si="7"/>
        <v>163884</v>
      </c>
      <c r="S15" s="68"/>
      <c r="T15" s="71"/>
      <c r="U15" s="68"/>
      <c r="V15" s="71"/>
      <c r="W15" s="68"/>
      <c r="X15" s="71"/>
      <c r="Y15" s="68">
        <v>40000</v>
      </c>
      <c r="Z15" s="71">
        <v>48790</v>
      </c>
      <c r="AA15" s="68">
        <v>40000</v>
      </c>
      <c r="AB15" s="71">
        <v>32748</v>
      </c>
      <c r="AC15" s="68">
        <v>38000</v>
      </c>
      <c r="AD15" s="71">
        <v>40426</v>
      </c>
      <c r="AE15" s="68">
        <v>39000</v>
      </c>
      <c r="AF15" s="116">
        <v>30025</v>
      </c>
      <c r="AG15" s="68">
        <v>11895</v>
      </c>
      <c r="AH15" s="136">
        <v>11895</v>
      </c>
      <c r="AI15" s="68"/>
      <c r="AJ15" s="70"/>
      <c r="AK15" s="68"/>
      <c r="AL15" s="71"/>
      <c r="AM15" s="68"/>
      <c r="AN15" s="101"/>
      <c r="AO15" s="67">
        <f>+_xlfn.XLOOKUP(A15,'[5]Resumen POM'!$O:$O,'[5]Resumen POM'!$J:$J,0,0,1)</f>
        <v>0</v>
      </c>
      <c r="AP15" s="71"/>
      <c r="AQ15" s="2" t="str">
        <f t="shared" si="6"/>
        <v/>
      </c>
      <c r="AR15" s="103"/>
      <c r="AS15" s="103"/>
      <c r="AT15" s="103"/>
    </row>
    <row r="16" spans="1:46" ht="14.25" customHeight="1" x14ac:dyDescent="0.2">
      <c r="A16" s="2" t="str">
        <f>+_xlfn.XLOOKUP(B16,'[1]Proyectos (NO FILTRAR)'!$F:$F,'[1]Proyectos (NO FILTRAR)'!$B:$B,0,0,1)</f>
        <v>CH-CCO-CS-FEL00-117-A</v>
      </c>
      <c r="B16" s="118" t="s">
        <v>272</v>
      </c>
      <c r="C16" s="5" t="str">
        <f>+_xlfn.XLOOKUP(A16,'[1]Proyectos (NO FILTRAR)'!$B:$B,'[1]Proyectos (NO FILTRAR)'!$G:$G,"error",0,1)</f>
        <v>Chile</v>
      </c>
      <c r="D16" s="5">
        <v>2024</v>
      </c>
      <c r="E16" s="5" t="s">
        <v>358</v>
      </c>
      <c r="F16" s="5" t="s">
        <v>254</v>
      </c>
      <c r="G16" s="14"/>
      <c r="H16" s="14" t="s">
        <v>266</v>
      </c>
      <c r="I16" s="6">
        <f>+_xlfn.XLOOKUP(B16,'[1]Proyectos (NO FILTRAR)'!$F:$F,'[1]Proyectos (NO FILTRAR)'!$O:$O,"!",0,1)</f>
        <v>196000.3</v>
      </c>
      <c r="J16" s="51">
        <f t="shared" si="1"/>
        <v>196000.3</v>
      </c>
      <c r="K16" s="47">
        <f t="shared" si="2"/>
        <v>1</v>
      </c>
      <c r="L16" s="7"/>
      <c r="M16" s="52">
        <f t="shared" si="3"/>
        <v>0</v>
      </c>
      <c r="N16" s="65">
        <f t="shared" si="4"/>
        <v>196000.3</v>
      </c>
      <c r="O16" s="52">
        <f t="shared" si="5"/>
        <v>1</v>
      </c>
      <c r="P16" s="65"/>
      <c r="Q16" s="48">
        <v>160223</v>
      </c>
      <c r="R16" s="48">
        <f t="shared" si="7"/>
        <v>35777.299999999988</v>
      </c>
      <c r="S16" s="68">
        <v>35777</v>
      </c>
      <c r="T16" s="71">
        <v>31129.3</v>
      </c>
      <c r="U16" s="68">
        <f>_xlfn.XLOOKUP(B16,'[4]Resumen EDP POM'!$B:$B,'[4]Resumen EDP POM'!$E:$E,"!",0,1)</f>
        <v>4648</v>
      </c>
      <c r="V16" s="110">
        <v>4648</v>
      </c>
      <c r="W16" s="68"/>
      <c r="X16" s="71"/>
      <c r="Y16" s="68"/>
      <c r="Z16" s="71"/>
      <c r="AA16" s="68"/>
      <c r="AB16" s="71"/>
      <c r="AC16" s="68"/>
      <c r="AD16" s="71"/>
      <c r="AE16" s="68"/>
      <c r="AF16" s="71"/>
      <c r="AG16" s="68"/>
      <c r="AH16" s="71"/>
      <c r="AI16" s="68"/>
      <c r="AJ16" s="70"/>
      <c r="AK16" s="68"/>
      <c r="AL16" s="71"/>
      <c r="AM16" s="68"/>
      <c r="AN16" s="101"/>
      <c r="AO16" s="67">
        <f>+_xlfn.XLOOKUP(A16,'[5]Resumen POM'!$O:$O,'[5]Resumen POM'!$J:$J,0,0,1)</f>
        <v>0</v>
      </c>
      <c r="AP16" s="71"/>
      <c r="AQ16" s="2" t="str">
        <f t="shared" si="6"/>
        <v/>
      </c>
      <c r="AR16" s="103"/>
      <c r="AS16" s="103"/>
      <c r="AT16" s="103"/>
    </row>
    <row r="17" spans="1:46" ht="14.25" customHeight="1" x14ac:dyDescent="0.2">
      <c r="A17" s="2" t="str">
        <f>+_xlfn.XLOOKUP(B17,'[1]Proyectos (NO FILTRAR)'!$F:$F,'[1]Proyectos (NO FILTRAR)'!$B:$B,0,0,1)</f>
        <v>CH-AMS-OT-OTR00-108-A</v>
      </c>
      <c r="B17" s="118" t="s">
        <v>251</v>
      </c>
      <c r="C17" s="5" t="str">
        <f>+_xlfn.XLOOKUP(A17,'[1]Proyectos (NO FILTRAR)'!$B:$B,'[1]Proyectos (NO FILTRAR)'!$G:$G,"error",0,1)</f>
        <v>Chile</v>
      </c>
      <c r="D17" s="5">
        <v>2024</v>
      </c>
      <c r="E17" s="5" t="s">
        <v>358</v>
      </c>
      <c r="F17" s="5" t="s">
        <v>32</v>
      </c>
      <c r="G17" s="14"/>
      <c r="H17" s="14" t="s">
        <v>44</v>
      </c>
      <c r="I17" s="6">
        <f>+_xlfn.XLOOKUP(B17,'[1]Proyectos (NO FILTRAR)'!$F:$F,'[1]Proyectos (NO FILTRAR)'!$O:$O,"!",0,1)</f>
        <v>191000</v>
      </c>
      <c r="J17" s="51">
        <f t="shared" si="1"/>
        <v>108170.98000000001</v>
      </c>
      <c r="K17" s="47">
        <f t="shared" si="2"/>
        <v>0.56634020942408381</v>
      </c>
      <c r="L17" s="7"/>
      <c r="M17" s="52">
        <f t="shared" si="3"/>
        <v>0</v>
      </c>
      <c r="N17" s="65">
        <f t="shared" si="4"/>
        <v>108170.98000000001</v>
      </c>
      <c r="O17" s="52">
        <f t="shared" si="5"/>
        <v>0.56634020942408381</v>
      </c>
      <c r="P17" s="65"/>
      <c r="Q17" s="48">
        <v>76524.88</v>
      </c>
      <c r="R17" s="48">
        <f t="shared" si="7"/>
        <v>114475.12</v>
      </c>
      <c r="S17" s="68">
        <v>7200</v>
      </c>
      <c r="T17" s="71">
        <v>7816.24</v>
      </c>
      <c r="U17" s="68">
        <f>_xlfn.XLOOKUP(B17,'[4]Resumen EDP POM'!$B:$B,'[4]Resumen EDP POM'!$E:$E,"!",0,1)</f>
        <v>5241.6000000000004</v>
      </c>
      <c r="V17" s="110">
        <v>10738.86</v>
      </c>
      <c r="W17" s="68">
        <v>3403.0210526315791</v>
      </c>
      <c r="X17" s="71">
        <v>8828</v>
      </c>
      <c r="Y17" s="68"/>
      <c r="Z17" s="71">
        <v>4263</v>
      </c>
      <c r="AA17" s="68"/>
      <c r="AB17" s="71"/>
      <c r="AC17" s="68"/>
      <c r="AD17" s="71"/>
      <c r="AE17" s="68"/>
      <c r="AF17" s="71"/>
      <c r="AG17" s="68"/>
      <c r="AH17" s="71"/>
      <c r="AI17" s="68"/>
      <c r="AJ17" s="70"/>
      <c r="AK17" s="68"/>
      <c r="AL17" s="71"/>
      <c r="AM17" s="68"/>
      <c r="AN17" s="101"/>
      <c r="AO17" s="67">
        <f>+_xlfn.XLOOKUP(A17,'[5]Resumen POM'!$O:$O,'[5]Resumen POM'!$J:$J,0,0,1)</f>
        <v>0</v>
      </c>
      <c r="AP17" s="71"/>
      <c r="AQ17" s="2" t="str">
        <f t="shared" si="6"/>
        <v/>
      </c>
      <c r="AR17" s="105"/>
      <c r="AS17" s="103"/>
      <c r="AT17" s="103"/>
    </row>
    <row r="18" spans="1:46" ht="14.25" customHeight="1" x14ac:dyDescent="0.2">
      <c r="A18" s="2" t="str">
        <f>+_xlfn.XLOOKUP(B18,'[1]Proyectos (NO FILTRAR)'!$F:$F,'[1]Proyectos (NO FILTRAR)'!$B:$B,0,0,1)</f>
        <v>PE-OCP-CS-OTR00-138-A</v>
      </c>
      <c r="B18" s="118" t="s">
        <v>303</v>
      </c>
      <c r="C18" s="5" t="str">
        <f>+_xlfn.XLOOKUP(A18,'[1]Proyectos (NO FILTRAR)'!$B:$B,'[1]Proyectos (NO FILTRAR)'!$G:$G,"error",0,1)</f>
        <v>Perú</v>
      </c>
      <c r="D18" s="5">
        <v>2025</v>
      </c>
      <c r="E18" s="5" t="s">
        <v>358</v>
      </c>
      <c r="F18" s="5" t="s">
        <v>28</v>
      </c>
      <c r="G18" s="14"/>
      <c r="H18" s="14"/>
      <c r="I18" s="6">
        <f>+_xlfn.XLOOKUP(B18,'[1]Proyectos (NO FILTRAR)'!$F:$F,'[1]Proyectos (NO FILTRAR)'!$O:$O,"!",0,1)</f>
        <v>184000</v>
      </c>
      <c r="J18" s="51">
        <f t="shared" si="1"/>
        <v>119500</v>
      </c>
      <c r="K18" s="47">
        <f t="shared" si="2"/>
        <v>0.64945652173913049</v>
      </c>
      <c r="L18" s="7"/>
      <c r="M18" s="52">
        <f t="shared" si="3"/>
        <v>0</v>
      </c>
      <c r="N18" s="65">
        <f t="shared" si="4"/>
        <v>119500</v>
      </c>
      <c r="O18" s="52">
        <f t="shared" si="5"/>
        <v>0.64945652173913049</v>
      </c>
      <c r="P18" s="65"/>
      <c r="Q18" s="48"/>
      <c r="R18" s="48"/>
      <c r="S18" s="68"/>
      <c r="T18" s="71"/>
      <c r="U18" s="68"/>
      <c r="V18" s="71"/>
      <c r="W18" s="68">
        <v>65000</v>
      </c>
      <c r="X18" s="71">
        <v>59500</v>
      </c>
      <c r="Y18" s="68">
        <v>60000</v>
      </c>
      <c r="Z18" s="71">
        <v>60000</v>
      </c>
      <c r="AA18" s="68"/>
      <c r="AB18" s="71"/>
      <c r="AC18" s="68"/>
      <c r="AD18" s="71"/>
      <c r="AE18" s="68"/>
      <c r="AF18" s="71"/>
      <c r="AG18" s="68"/>
      <c r="AH18" s="71"/>
      <c r="AI18" s="68"/>
      <c r="AJ18" s="70"/>
      <c r="AK18" s="68"/>
      <c r="AL18" s="71"/>
      <c r="AM18" s="68"/>
      <c r="AN18" s="101"/>
      <c r="AO18" s="67">
        <f>+_xlfn.XLOOKUP(A18,'[5]Resumen POM'!$O:$O,'[5]Resumen POM'!$J:$J,0,0,1)</f>
        <v>0</v>
      </c>
      <c r="AP18" s="71"/>
      <c r="AQ18" s="2" t="str">
        <f t="shared" si="6"/>
        <v/>
      </c>
      <c r="AR18" s="103"/>
      <c r="AS18" s="103"/>
      <c r="AT18" s="103"/>
    </row>
    <row r="19" spans="1:46" ht="14.25" customHeight="1" x14ac:dyDescent="0.2">
      <c r="A19" s="2" t="str">
        <f>+_xlfn.XLOOKUP(B19,'[1]Proyectos (NO FILTRAR)'!$F:$F,'[1]Proyectos (NO FILTRAR)'!$B:$B,0,0,1)</f>
        <v>CH-AAM-OT-FEL03-139-A</v>
      </c>
      <c r="B19" s="118" t="s">
        <v>301</v>
      </c>
      <c r="C19" s="5" t="str">
        <f>+_xlfn.XLOOKUP(A19,'[1]Proyectos (NO FILTRAR)'!$B:$B,'[1]Proyectos (NO FILTRAR)'!$G:$G,"error",0,1)</f>
        <v>Chile</v>
      </c>
      <c r="D19" s="5">
        <v>2025</v>
      </c>
      <c r="E19" s="5" t="s">
        <v>358</v>
      </c>
      <c r="F19" s="5" t="s">
        <v>30</v>
      </c>
      <c r="G19" s="14"/>
      <c r="H19" s="14" t="s">
        <v>109</v>
      </c>
      <c r="I19" s="6">
        <f>+_xlfn.XLOOKUP(B19,'[1]Proyectos (NO FILTRAR)'!$F:$F,'[1]Proyectos (NO FILTRAR)'!$O:$O,"!",0,1)</f>
        <v>183430</v>
      </c>
      <c r="J19" s="51">
        <f t="shared" si="1"/>
        <v>193384.12</v>
      </c>
      <c r="K19" s="47">
        <f t="shared" si="2"/>
        <v>1.0542665867088263</v>
      </c>
      <c r="L19" s="7"/>
      <c r="M19" s="52">
        <f t="shared" si="3"/>
        <v>0</v>
      </c>
      <c r="N19" s="65">
        <f t="shared" si="4"/>
        <v>193384.12</v>
      </c>
      <c r="O19" s="52">
        <f t="shared" si="5"/>
        <v>1.0542665867088263</v>
      </c>
      <c r="P19" s="65"/>
      <c r="Q19" s="48"/>
      <c r="R19" s="48"/>
      <c r="S19" s="68"/>
      <c r="T19" s="71"/>
      <c r="U19" s="68">
        <v>35000</v>
      </c>
      <c r="V19" s="110">
        <v>5211</v>
      </c>
      <c r="W19" s="68">
        <v>15000</v>
      </c>
      <c r="X19" s="71">
        <v>10435</v>
      </c>
      <c r="Y19" s="68">
        <v>80000</v>
      </c>
      <c r="Z19" s="71">
        <v>38772.33</v>
      </c>
      <c r="AA19" s="68">
        <v>113000</v>
      </c>
      <c r="AB19" s="71">
        <v>66962.789999999994</v>
      </c>
      <c r="AC19" s="68">
        <v>40000</v>
      </c>
      <c r="AD19" s="71">
        <v>17604</v>
      </c>
      <c r="AE19" s="68">
        <v>10000</v>
      </c>
      <c r="AF19" s="116">
        <v>18605</v>
      </c>
      <c r="AG19" s="68"/>
      <c r="AH19" s="136">
        <v>3431</v>
      </c>
      <c r="AI19" s="68">
        <v>22408.880000000005</v>
      </c>
      <c r="AJ19" s="150">
        <v>22409</v>
      </c>
      <c r="AK19" s="68"/>
      <c r="AL19" s="71">
        <v>9954</v>
      </c>
      <c r="AM19" s="68"/>
      <c r="AN19" s="101"/>
      <c r="AO19" s="67">
        <f>+_xlfn.XLOOKUP(A19,'[5]Resumen POM'!$O:$O,'[5]Resumen POM'!$J:$J,0,0,1)</f>
        <v>0</v>
      </c>
      <c r="AP19" s="71"/>
      <c r="AQ19" s="2" t="str">
        <f t="shared" si="6"/>
        <v/>
      </c>
      <c r="AR19" s="103"/>
      <c r="AS19" s="103"/>
      <c r="AT19" s="103"/>
    </row>
    <row r="20" spans="1:46" ht="14.25" customHeight="1" x14ac:dyDescent="0.2">
      <c r="A20" s="2" t="str">
        <f>+_xlfn.XLOOKUP(B20,'[1]Proyectos (NO FILTRAR)'!$F:$F,'[1]Proyectos (NO FILTRAR)'!$B:$B,0,0,1)</f>
        <v>BR-TAB-OP-FEL00-158-A</v>
      </c>
      <c r="B20" s="118" t="s">
        <v>325</v>
      </c>
      <c r="C20" s="5" t="str">
        <f>+_xlfn.XLOOKUP(A20,'[1]Proyectos (NO FILTRAR)'!$B:$B,'[1]Proyectos (NO FILTRAR)'!$G:$G,"error",0,1)</f>
        <v>Brasil</v>
      </c>
      <c r="D20" s="5">
        <v>2025</v>
      </c>
      <c r="E20" s="5" t="s">
        <v>358</v>
      </c>
      <c r="F20" s="5" t="s">
        <v>28</v>
      </c>
      <c r="G20" s="14"/>
      <c r="H20" s="14"/>
      <c r="I20" s="6">
        <f>+_xlfn.XLOOKUP(B20,'[1]Proyectos (NO FILTRAR)'!$F:$F,'[1]Proyectos (NO FILTRAR)'!$O:$O,"!",0,1)</f>
        <v>180000</v>
      </c>
      <c r="J20" s="51">
        <f t="shared" si="1"/>
        <v>180000</v>
      </c>
      <c r="K20" s="47">
        <f t="shared" si="2"/>
        <v>1</v>
      </c>
      <c r="L20" s="7"/>
      <c r="M20" s="52">
        <f t="shared" si="3"/>
        <v>0</v>
      </c>
      <c r="N20" s="65">
        <f t="shared" si="4"/>
        <v>180000</v>
      </c>
      <c r="O20" s="52">
        <f t="shared" si="5"/>
        <v>1</v>
      </c>
      <c r="P20" s="65"/>
      <c r="Q20" s="48"/>
      <c r="R20" s="48"/>
      <c r="S20" s="68"/>
      <c r="T20" s="71"/>
      <c r="U20" s="68"/>
      <c r="V20" s="71"/>
      <c r="W20" s="68"/>
      <c r="X20" s="71"/>
      <c r="Y20" s="68"/>
      <c r="Z20" s="71"/>
      <c r="AA20" s="68"/>
      <c r="AB20" s="71"/>
      <c r="AC20" s="68"/>
      <c r="AD20" s="71"/>
      <c r="AE20" s="68">
        <v>20000</v>
      </c>
      <c r="AF20" s="116">
        <v>40750</v>
      </c>
      <c r="AG20" s="68">
        <v>95000</v>
      </c>
      <c r="AH20" s="136">
        <v>107370</v>
      </c>
      <c r="AI20" s="68">
        <v>31880</v>
      </c>
      <c r="AJ20" s="150">
        <v>31880</v>
      </c>
      <c r="AK20" s="68"/>
      <c r="AL20" s="71"/>
      <c r="AM20" s="68"/>
      <c r="AN20" s="101"/>
      <c r="AO20" s="67">
        <f>+_xlfn.XLOOKUP(A20,'[5]Resumen POM'!$O:$O,'[5]Resumen POM'!$J:$J,0,0,1)</f>
        <v>0</v>
      </c>
      <c r="AP20" s="71"/>
      <c r="AQ20" s="2" t="str">
        <f t="shared" si="6"/>
        <v/>
      </c>
      <c r="AR20" s="103"/>
      <c r="AS20" s="103"/>
      <c r="AT20" s="103"/>
    </row>
    <row r="21" spans="1:46" ht="14.25" customHeight="1" x14ac:dyDescent="0.2">
      <c r="A21" s="2" t="str">
        <f>+_xlfn.XLOOKUP(B21,'[1]Proyectos (NO FILTRAR)'!$F:$F,'[1]Proyectos (NO FILTRAR)'!$B:$B,0,0,1)</f>
        <v>PE-MAR-OU-FEL01-114-A</v>
      </c>
      <c r="B21" s="118" t="s">
        <v>257</v>
      </c>
      <c r="C21" s="5" t="str">
        <f>+_xlfn.XLOOKUP(A21,'[1]Proyectos (NO FILTRAR)'!$B:$B,'[1]Proyectos (NO FILTRAR)'!$G:$G,"error",0,1)</f>
        <v>Perú</v>
      </c>
      <c r="D21" s="5">
        <v>2024</v>
      </c>
      <c r="E21" s="5" t="s">
        <v>358</v>
      </c>
      <c r="F21" s="5" t="s">
        <v>28</v>
      </c>
      <c r="G21" s="14"/>
      <c r="H21" s="14" t="s">
        <v>259</v>
      </c>
      <c r="I21" s="6">
        <f>+_xlfn.XLOOKUP(B21,'[1]Proyectos (NO FILTRAR)'!$F:$F,'[1]Proyectos (NO FILTRAR)'!$O:$O,"!",0,1)</f>
        <v>161778</v>
      </c>
      <c r="J21" s="51">
        <f t="shared" si="1"/>
        <v>161778</v>
      </c>
      <c r="K21" s="47">
        <f t="shared" si="2"/>
        <v>1</v>
      </c>
      <c r="L21" s="7"/>
      <c r="M21" s="52">
        <f t="shared" si="3"/>
        <v>0</v>
      </c>
      <c r="N21" s="65">
        <f t="shared" si="4"/>
        <v>161778</v>
      </c>
      <c r="O21" s="52">
        <f t="shared" si="5"/>
        <v>1</v>
      </c>
      <c r="P21" s="113"/>
      <c r="Q21" s="48">
        <v>73833</v>
      </c>
      <c r="R21" s="48">
        <f>+I21-Q21</f>
        <v>87945</v>
      </c>
      <c r="S21" s="68">
        <v>38240</v>
      </c>
      <c r="T21" s="71">
        <v>57745</v>
      </c>
      <c r="U21" s="68">
        <f>_xlfn.XLOOKUP(B21,'[4]Resumen EDP POM'!$B:$B,'[4]Resumen EDP POM'!$E:$E,"!",0,1)</f>
        <v>24960</v>
      </c>
      <c r="V21" s="110">
        <v>24935</v>
      </c>
      <c r="W21" s="68"/>
      <c r="X21" s="71"/>
      <c r="Y21" s="68"/>
      <c r="Z21" s="71"/>
      <c r="AA21" s="68"/>
      <c r="AB21" s="110">
        <v>5265</v>
      </c>
      <c r="AC21" s="68"/>
      <c r="AD21" s="71"/>
      <c r="AE21" s="68"/>
      <c r="AF21" s="71"/>
      <c r="AG21" s="68"/>
      <c r="AH21" s="71"/>
      <c r="AI21" s="68"/>
      <c r="AJ21" s="70"/>
      <c r="AK21" s="68"/>
      <c r="AL21" s="71"/>
      <c r="AM21" s="68"/>
      <c r="AN21" s="101"/>
      <c r="AO21" s="67">
        <f>+_xlfn.XLOOKUP(A21,'[5]Resumen POM'!$O:$O,'[5]Resumen POM'!$J:$J,0,0,1)</f>
        <v>0</v>
      </c>
      <c r="AP21" s="71"/>
      <c r="AQ21" s="2" t="str">
        <f t="shared" si="6"/>
        <v/>
      </c>
      <c r="AR21" s="103"/>
      <c r="AS21" s="105"/>
      <c r="AT21" s="103"/>
    </row>
    <row r="22" spans="1:46" ht="14.25" customHeight="1" x14ac:dyDescent="0.2">
      <c r="A22" s="2" t="str">
        <f>+_xlfn.XLOOKUP(B22,'[1]Proyectos (NO FILTRAR)'!$F:$F,'[1]Proyectos (NO FILTRAR)'!$B:$B,0,0,1)</f>
        <v>CH-CCO-CS-OTR00-159-A</v>
      </c>
      <c r="B22" s="118" t="s">
        <v>326</v>
      </c>
      <c r="C22" s="5" t="str">
        <f>+_xlfn.XLOOKUP(A22,'[1]Proyectos (NO FILTRAR)'!$B:$B,'[1]Proyectos (NO FILTRAR)'!$G:$G,"error",0,1)</f>
        <v>Chile</v>
      </c>
      <c r="D22" s="5">
        <v>2025</v>
      </c>
      <c r="E22" s="5" t="s">
        <v>358</v>
      </c>
      <c r="F22" s="5" t="s">
        <v>254</v>
      </c>
      <c r="G22" s="14"/>
      <c r="H22" s="14"/>
      <c r="I22" s="6">
        <f>+_xlfn.XLOOKUP(B22,'[1]Proyectos (NO FILTRAR)'!$F:$F,'[1]Proyectos (NO FILTRAR)'!$O:$O,"!",0,1)</f>
        <v>148281</v>
      </c>
      <c r="J22" s="51">
        <f t="shared" si="1"/>
        <v>148281</v>
      </c>
      <c r="K22" s="47">
        <f t="shared" si="2"/>
        <v>1</v>
      </c>
      <c r="L22" s="7"/>
      <c r="M22" s="52">
        <f t="shared" si="3"/>
        <v>0</v>
      </c>
      <c r="N22" s="65">
        <f t="shared" si="4"/>
        <v>148281</v>
      </c>
      <c r="O22" s="52">
        <f t="shared" si="5"/>
        <v>1</v>
      </c>
      <c r="P22" s="65"/>
      <c r="Q22" s="48"/>
      <c r="R22" s="48"/>
      <c r="S22" s="68"/>
      <c r="T22" s="71"/>
      <c r="U22" s="68"/>
      <c r="V22" s="71"/>
      <c r="W22" s="68"/>
      <c r="X22" s="71"/>
      <c r="Y22" s="68"/>
      <c r="Z22" s="71"/>
      <c r="AA22" s="68"/>
      <c r="AB22" s="71"/>
      <c r="AC22" s="68"/>
      <c r="AD22" s="71"/>
      <c r="AE22" s="68">
        <v>20000</v>
      </c>
      <c r="AF22" s="71"/>
      <c r="AG22" s="68">
        <v>60000</v>
      </c>
      <c r="AH22" s="136">
        <v>39515</v>
      </c>
      <c r="AI22" s="68">
        <v>50000</v>
      </c>
      <c r="AJ22" s="150">
        <v>48782</v>
      </c>
      <c r="AK22" s="68">
        <v>40000</v>
      </c>
      <c r="AL22" s="136">
        <v>59984</v>
      </c>
      <c r="AM22" s="68"/>
      <c r="AN22" s="101"/>
      <c r="AO22" s="67">
        <f>+_xlfn.XLOOKUP(A22,'[5]Resumen POM'!$O:$O,'[5]Resumen POM'!$J:$J,0,0,1)</f>
        <v>0</v>
      </c>
      <c r="AP22" s="71"/>
      <c r="AQ22" s="2" t="str">
        <f t="shared" si="6"/>
        <v/>
      </c>
      <c r="AR22" s="103"/>
      <c r="AS22" s="103"/>
      <c r="AT22" s="103"/>
    </row>
    <row r="23" spans="1:46" ht="14.25" customHeight="1" x14ac:dyDescent="0.2">
      <c r="A23" s="2" t="str">
        <f>+_xlfn.XLOOKUP(B23,'[1]Proyectos (NO FILTRAR)'!$F:$F,'[1]Proyectos (NO FILTRAR)'!$B:$B,0,0,1)</f>
        <v>BR-MOS-OU-FEL03-147-A</v>
      </c>
      <c r="B23" s="118" t="s">
        <v>314</v>
      </c>
      <c r="C23" s="5" t="str">
        <f>+_xlfn.XLOOKUP(A23,'[1]Proyectos (NO FILTRAR)'!$B:$B,'[1]Proyectos (NO FILTRAR)'!$G:$G,"error",0,1)</f>
        <v>Brasil</v>
      </c>
      <c r="D23" s="5">
        <v>2025</v>
      </c>
      <c r="E23" s="5" t="s">
        <v>358</v>
      </c>
      <c r="F23" s="5" t="s">
        <v>33</v>
      </c>
      <c r="G23" s="14"/>
      <c r="H23" s="14"/>
      <c r="I23" s="6">
        <f>+_xlfn.XLOOKUP(B23,'[1]Proyectos (NO FILTRAR)'!$F:$F,'[1]Proyectos (NO FILTRAR)'!$O:$O,"!",0,1)</f>
        <v>147935</v>
      </c>
      <c r="J23" s="51">
        <f t="shared" si="1"/>
        <v>147935</v>
      </c>
      <c r="K23" s="47">
        <f t="shared" si="2"/>
        <v>1</v>
      </c>
      <c r="L23" s="7"/>
      <c r="M23" s="52">
        <f t="shared" si="3"/>
        <v>0</v>
      </c>
      <c r="N23" s="65">
        <f t="shared" si="4"/>
        <v>147935</v>
      </c>
      <c r="O23" s="52">
        <f t="shared" si="5"/>
        <v>1</v>
      </c>
      <c r="P23" s="65"/>
      <c r="Q23" s="48"/>
      <c r="R23" s="48"/>
      <c r="S23" s="68"/>
      <c r="T23" s="71"/>
      <c r="U23" s="68"/>
      <c r="V23" s="71"/>
      <c r="W23" s="68"/>
      <c r="X23" s="71"/>
      <c r="Y23" s="68"/>
      <c r="Z23" s="71">
        <v>32268</v>
      </c>
      <c r="AA23" s="68">
        <v>43482</v>
      </c>
      <c r="AB23" s="71">
        <v>39074</v>
      </c>
      <c r="AC23" s="68">
        <v>24700</v>
      </c>
      <c r="AD23" s="71">
        <v>38732</v>
      </c>
      <c r="AE23" s="68">
        <v>27926</v>
      </c>
      <c r="AF23" s="116">
        <v>22700</v>
      </c>
      <c r="AG23" s="68">
        <v>14312</v>
      </c>
      <c r="AH23" s="136">
        <v>15161</v>
      </c>
      <c r="AI23" s="68"/>
      <c r="AJ23" s="70"/>
      <c r="AK23" s="68"/>
      <c r="AL23" s="71"/>
      <c r="AM23" s="68"/>
      <c r="AN23" s="101"/>
      <c r="AO23" s="67">
        <f>+_xlfn.XLOOKUP(A23,'[5]Resumen POM'!$O:$O,'[5]Resumen POM'!$J:$J,0,0,1)</f>
        <v>0</v>
      </c>
      <c r="AP23" s="71"/>
      <c r="AQ23" s="2" t="str">
        <f t="shared" si="6"/>
        <v/>
      </c>
      <c r="AR23" s="103"/>
      <c r="AS23" s="103"/>
      <c r="AT23" s="103"/>
    </row>
    <row r="24" spans="1:46" ht="14.25" customHeight="1" x14ac:dyDescent="0.2">
      <c r="A24" s="2" t="str">
        <f>+_xlfn.XLOOKUP(B24,'[1]Proyectos (NO FILTRAR)'!$F:$F,'[1]Proyectos (NO FILTRAR)'!$B:$B,0,0,1)</f>
        <v>CH-AMS-CS-OTR00-116-A</v>
      </c>
      <c r="B24" s="118" t="s">
        <v>271</v>
      </c>
      <c r="C24" s="5" t="str">
        <f>+_xlfn.XLOOKUP(A24,'[1]Proyectos (NO FILTRAR)'!$B:$B,'[1]Proyectos (NO FILTRAR)'!$G:$G,"error",0,1)</f>
        <v>Chile</v>
      </c>
      <c r="D24" s="5">
        <v>2024</v>
      </c>
      <c r="E24" s="5" t="s">
        <v>358</v>
      </c>
      <c r="F24" s="5" t="s">
        <v>32</v>
      </c>
      <c r="G24" s="14"/>
      <c r="H24" s="14" t="s">
        <v>266</v>
      </c>
      <c r="I24" s="6">
        <f>+_xlfn.XLOOKUP(B24,'[1]Proyectos (NO FILTRAR)'!$F:$F,'[1]Proyectos (NO FILTRAR)'!$O:$O,"!",0,1)</f>
        <v>134445.66999999998</v>
      </c>
      <c r="J24" s="51">
        <f t="shared" si="1"/>
        <v>134445.66999999998</v>
      </c>
      <c r="K24" s="47">
        <f t="shared" si="2"/>
        <v>1</v>
      </c>
      <c r="L24" s="7"/>
      <c r="M24" s="52">
        <f t="shared" si="3"/>
        <v>0</v>
      </c>
      <c r="N24" s="65">
        <f t="shared" si="4"/>
        <v>134445.66999999998</v>
      </c>
      <c r="O24" s="52">
        <f t="shared" si="5"/>
        <v>1</v>
      </c>
      <c r="P24" s="65"/>
      <c r="Q24" s="48"/>
      <c r="R24" s="48">
        <f>+I24-Q24</f>
        <v>134445.66999999998</v>
      </c>
      <c r="S24" s="68">
        <v>30000</v>
      </c>
      <c r="T24" s="71"/>
      <c r="U24" s="68">
        <f>_xlfn.XLOOKUP(B24,'[4]Resumen EDP POM'!$B:$B,'[4]Resumen EDP POM'!$E:$E,"!",0,1)</f>
        <v>45000</v>
      </c>
      <c r="V24" s="110">
        <v>31900.14</v>
      </c>
      <c r="W24" s="68">
        <v>45093.75</v>
      </c>
      <c r="X24" s="71">
        <f>32887.86+30364.67</f>
        <v>63252.53</v>
      </c>
      <c r="Y24" s="68">
        <v>45375</v>
      </c>
      <c r="Z24" s="71">
        <v>39293</v>
      </c>
      <c r="AA24" s="68">
        <v>15000</v>
      </c>
      <c r="AB24" s="71"/>
      <c r="AC24" s="68"/>
      <c r="AD24" s="71"/>
      <c r="AE24" s="68"/>
      <c r="AF24" s="71"/>
      <c r="AG24" s="68"/>
      <c r="AH24" s="71"/>
      <c r="AI24" s="68"/>
      <c r="AJ24" s="70"/>
      <c r="AK24" s="68"/>
      <c r="AL24" s="71"/>
      <c r="AM24" s="68"/>
      <c r="AN24" s="71"/>
      <c r="AO24" s="67">
        <f>+_xlfn.XLOOKUP(A24,'[5]Resumen POM'!$O:$O,'[5]Resumen POM'!$J:$J,0,0,1)</f>
        <v>0</v>
      </c>
      <c r="AP24" s="71"/>
      <c r="AQ24" s="2" t="str">
        <f t="shared" si="6"/>
        <v/>
      </c>
      <c r="AR24" s="103"/>
      <c r="AS24" s="103"/>
      <c r="AT24" s="103"/>
    </row>
    <row r="25" spans="1:46" ht="14.25" customHeight="1" x14ac:dyDescent="0.2">
      <c r="A25" s="2" t="str">
        <f>+_xlfn.XLOOKUP(B25,'[1]Proyectos (NO FILTRAR)'!$F:$F,'[1]Proyectos (NO FILTRAR)'!$B:$B,0,0,1)</f>
        <v>OT-TWM-CS-FEL00-141-A</v>
      </c>
      <c r="B25" s="118" t="s">
        <v>304</v>
      </c>
      <c r="C25" s="5" t="str">
        <f>+_xlfn.XLOOKUP(A25,'[1]Proyectos (NO FILTRAR)'!$B:$B,'[1]Proyectos (NO FILTRAR)'!$G:$G,"error",0,1)</f>
        <v>Otros</v>
      </c>
      <c r="D25" s="5">
        <v>2025</v>
      </c>
      <c r="E25" s="5" t="s">
        <v>358</v>
      </c>
      <c r="F25" s="5" t="s">
        <v>315</v>
      </c>
      <c r="G25" s="14"/>
      <c r="H25" s="14"/>
      <c r="I25" s="6">
        <f>+_xlfn.XLOOKUP(B25,'[1]Proyectos (NO FILTRAR)'!$F:$F,'[1]Proyectos (NO FILTRAR)'!$O:$O,"!",0,1)</f>
        <v>132000</v>
      </c>
      <c r="J25" s="51">
        <f t="shared" si="1"/>
        <v>84225</v>
      </c>
      <c r="K25" s="47">
        <f t="shared" si="2"/>
        <v>0.63806818181818181</v>
      </c>
      <c r="L25" s="7"/>
      <c r="M25" s="52">
        <f t="shared" si="3"/>
        <v>0</v>
      </c>
      <c r="N25" s="65">
        <f t="shared" si="4"/>
        <v>84225</v>
      </c>
      <c r="O25" s="52">
        <f t="shared" si="5"/>
        <v>0.63806818181818181</v>
      </c>
      <c r="P25" s="113"/>
      <c r="Q25" s="48"/>
      <c r="R25" s="48"/>
      <c r="S25" s="68"/>
      <c r="T25" s="71"/>
      <c r="U25" s="68"/>
      <c r="V25" s="71"/>
      <c r="W25" s="68">
        <v>58000</v>
      </c>
      <c r="X25" s="71">
        <v>84225</v>
      </c>
      <c r="Y25" s="68"/>
      <c r="Z25" s="71"/>
      <c r="AA25" s="68"/>
      <c r="AB25" s="71"/>
      <c r="AC25" s="68"/>
      <c r="AD25" s="71"/>
      <c r="AE25" s="68"/>
      <c r="AF25" s="71"/>
      <c r="AG25" s="68"/>
      <c r="AH25" s="71"/>
      <c r="AI25" s="68"/>
      <c r="AJ25" s="70"/>
      <c r="AK25" s="68"/>
      <c r="AL25" s="71"/>
      <c r="AM25" s="68"/>
      <c r="AN25" s="101"/>
      <c r="AO25" s="67">
        <f>+_xlfn.XLOOKUP(A25,'[5]Resumen POM'!$O:$O,'[5]Resumen POM'!$J:$J,0,0,1)</f>
        <v>0</v>
      </c>
      <c r="AP25" s="71"/>
      <c r="AQ25" s="2" t="str">
        <f t="shared" si="6"/>
        <v/>
      </c>
      <c r="AR25" s="114"/>
      <c r="AS25" s="103"/>
      <c r="AT25" s="103"/>
    </row>
    <row r="26" spans="1:46" ht="14.25" customHeight="1" x14ac:dyDescent="0.2">
      <c r="A26" s="2" t="str">
        <f>+_xlfn.XLOOKUP(B26,'[1]Proyectos (NO FILTRAR)'!$F:$F,'[1]Proyectos (NO FILTRAR)'!$B:$B,0,0,1)</f>
        <v>CH-CMP-OP-FEL00-106-A</v>
      </c>
      <c r="B26" s="118" t="s">
        <v>270</v>
      </c>
      <c r="C26" s="5" t="str">
        <f>+_xlfn.XLOOKUP(A26,'[1]Proyectos (NO FILTRAR)'!$B:$B,'[1]Proyectos (NO FILTRAR)'!$G:$G,"error",0,1)</f>
        <v>Chile</v>
      </c>
      <c r="D26" s="5">
        <v>2024</v>
      </c>
      <c r="E26" s="5" t="s">
        <v>358</v>
      </c>
      <c r="F26" s="5" t="s">
        <v>32</v>
      </c>
      <c r="G26" s="14"/>
      <c r="H26" s="14" t="s">
        <v>274</v>
      </c>
      <c r="I26" s="6">
        <f>+_xlfn.XLOOKUP(B26,'[1]Proyectos (NO FILTRAR)'!$F:$F,'[1]Proyectos (NO FILTRAR)'!$O:$O,"!",0,1)</f>
        <v>121038.49</v>
      </c>
      <c r="J26" s="51">
        <f t="shared" si="1"/>
        <v>121038.49</v>
      </c>
      <c r="K26" s="47">
        <f t="shared" si="2"/>
        <v>1</v>
      </c>
      <c r="L26" s="7"/>
      <c r="M26" s="52">
        <f t="shared" si="3"/>
        <v>0</v>
      </c>
      <c r="N26" s="65">
        <f t="shared" si="4"/>
        <v>121038.49</v>
      </c>
      <c r="O26" s="52">
        <f t="shared" si="5"/>
        <v>1</v>
      </c>
      <c r="P26" s="113"/>
      <c r="Q26" s="48">
        <v>46214.27</v>
      </c>
      <c r="R26" s="48">
        <f>+I26-Q26</f>
        <v>74824.22</v>
      </c>
      <c r="S26" s="68">
        <v>24500</v>
      </c>
      <c r="T26" s="71">
        <v>9853.5</v>
      </c>
      <c r="U26" s="68">
        <f>_xlfn.XLOOKUP(B26,'[4]Resumen EDP POM'!$B:$B,'[4]Resumen EDP POM'!$E:$E,"!",0,1)</f>
        <v>25000</v>
      </c>
      <c r="V26" s="110">
        <v>16215.92</v>
      </c>
      <c r="W26" s="68">
        <v>37000</v>
      </c>
      <c r="X26" s="71">
        <f>12182+36572.8</f>
        <v>48754.8</v>
      </c>
      <c r="Y26" s="68"/>
      <c r="Z26" s="71"/>
      <c r="AA26" s="68"/>
      <c r="AB26" s="71"/>
      <c r="AC26" s="68"/>
      <c r="AD26" s="71"/>
      <c r="AE26" s="68"/>
      <c r="AF26" s="71"/>
      <c r="AG26" s="68"/>
      <c r="AH26" s="71"/>
      <c r="AI26" s="68"/>
      <c r="AJ26" s="70"/>
      <c r="AK26" s="68"/>
      <c r="AL26" s="71"/>
      <c r="AM26" s="68"/>
      <c r="AN26" s="101"/>
      <c r="AO26" s="67">
        <f>+_xlfn.XLOOKUP(A26,'[5]Resumen POM'!$O:$O,'[5]Resumen POM'!$J:$J,0,0,1)</f>
        <v>0</v>
      </c>
      <c r="AP26" s="71"/>
      <c r="AQ26" s="2" t="str">
        <f t="shared" si="6"/>
        <v/>
      </c>
      <c r="AR26" s="103"/>
      <c r="AS26" s="103"/>
      <c r="AT26" s="103"/>
    </row>
    <row r="27" spans="1:46" ht="14.25" customHeight="1" x14ac:dyDescent="0.2">
      <c r="A27" s="2" t="str">
        <f>+_xlfn.XLOOKUP(B27,'[1]Proyectos (NO FILTRAR)'!$F:$F,'[1]Proyectos (NO FILTRAR)'!$B:$B,0,0,1)</f>
        <v>BR-LHG-UG-OTR00-161-A</v>
      </c>
      <c r="B27" s="118" t="s">
        <v>343</v>
      </c>
      <c r="C27" s="5" t="str">
        <f>+_xlfn.XLOOKUP(A27,'[1]Proyectos (NO FILTRAR)'!$B:$B,'[1]Proyectos (NO FILTRAR)'!$G:$G,"error",0,1)</f>
        <v>Brasil</v>
      </c>
      <c r="D27" s="5">
        <v>2025</v>
      </c>
      <c r="E27" s="5" t="s">
        <v>358</v>
      </c>
      <c r="F27" s="5" t="s">
        <v>315</v>
      </c>
      <c r="G27" s="14"/>
      <c r="H27" s="14"/>
      <c r="I27" s="6">
        <f>+_xlfn.XLOOKUP(B27,'[1]Proyectos (NO FILTRAR)'!$F:$F,'[1]Proyectos (NO FILTRAR)'!$O:$O,"!",0,1)</f>
        <v>113137</v>
      </c>
      <c r="J27" s="51">
        <f t="shared" si="1"/>
        <v>113137</v>
      </c>
      <c r="K27" s="47">
        <f t="shared" si="2"/>
        <v>1</v>
      </c>
      <c r="L27" s="7"/>
      <c r="M27" s="52">
        <f t="shared" si="3"/>
        <v>0</v>
      </c>
      <c r="N27" s="65">
        <f t="shared" si="4"/>
        <v>113137</v>
      </c>
      <c r="O27" s="52">
        <f t="shared" si="5"/>
        <v>1</v>
      </c>
      <c r="P27" s="65"/>
      <c r="Q27" s="48"/>
      <c r="R27" s="48"/>
      <c r="S27" s="68"/>
      <c r="T27" s="71"/>
      <c r="U27" s="68"/>
      <c r="V27" s="71"/>
      <c r="W27" s="68"/>
      <c r="X27" s="71"/>
      <c r="Y27" s="68"/>
      <c r="Z27" s="71"/>
      <c r="AA27" s="68"/>
      <c r="AB27" s="71"/>
      <c r="AC27" s="68"/>
      <c r="AD27" s="71"/>
      <c r="AE27" s="68"/>
      <c r="AF27" s="71"/>
      <c r="AG27" s="68">
        <v>50000</v>
      </c>
      <c r="AH27" s="136">
        <v>35225</v>
      </c>
      <c r="AI27" s="68">
        <v>30000</v>
      </c>
      <c r="AJ27" s="150">
        <v>39154</v>
      </c>
      <c r="AK27" s="68">
        <v>31621</v>
      </c>
      <c r="AL27" s="136">
        <v>38758</v>
      </c>
      <c r="AM27" s="68"/>
      <c r="AN27" s="101"/>
      <c r="AO27" s="67">
        <f>+_xlfn.XLOOKUP(A27,'[5]Resumen POM'!$O:$O,'[5]Resumen POM'!$J:$J,0,0,1)</f>
        <v>0</v>
      </c>
      <c r="AP27" s="71"/>
      <c r="AQ27" s="2" t="str">
        <f t="shared" si="6"/>
        <v/>
      </c>
      <c r="AR27" s="103"/>
      <c r="AS27" s="103"/>
      <c r="AT27" s="103"/>
    </row>
    <row r="28" spans="1:46" ht="14.25" customHeight="1" x14ac:dyDescent="0.2">
      <c r="A28" s="2" t="str">
        <f>+_xlfn.XLOOKUP(B28,'[1]Proyectos (NO FILTRAR)'!$F:$F,'[1]Proyectos (NO FILTRAR)'!$B:$B,0,0,1)</f>
        <v>CH-CMP-OP-OTR00-096-A</v>
      </c>
      <c r="B28" s="118" t="s">
        <v>253</v>
      </c>
      <c r="C28" s="5" t="str">
        <f>+_xlfn.XLOOKUP(A28,'[1]Proyectos (NO FILTRAR)'!$B:$B,'[1]Proyectos (NO FILTRAR)'!$G:$G,"error",0,1)</f>
        <v>Chile</v>
      </c>
      <c r="D28" s="5">
        <v>2024</v>
      </c>
      <c r="E28" s="5" t="s">
        <v>358</v>
      </c>
      <c r="F28" s="5" t="s">
        <v>32</v>
      </c>
      <c r="G28" s="14"/>
      <c r="H28" s="14" t="s">
        <v>255</v>
      </c>
      <c r="I28" s="6">
        <v>112944.42</v>
      </c>
      <c r="J28" s="51">
        <f t="shared" si="1"/>
        <v>112944.42</v>
      </c>
      <c r="K28" s="47">
        <f t="shared" si="2"/>
        <v>1</v>
      </c>
      <c r="L28" s="7"/>
      <c r="M28" s="52">
        <f t="shared" si="3"/>
        <v>0</v>
      </c>
      <c r="N28" s="65">
        <f t="shared" si="4"/>
        <v>112944.42</v>
      </c>
      <c r="O28" s="52">
        <f t="shared" si="5"/>
        <v>1</v>
      </c>
      <c r="P28" s="113"/>
      <c r="Q28" s="48">
        <v>55137.5</v>
      </c>
      <c r="R28" s="48">
        <f>+I28-Q28</f>
        <v>57806.92</v>
      </c>
      <c r="S28" s="68">
        <v>8958</v>
      </c>
      <c r="T28" s="71">
        <v>8755.39</v>
      </c>
      <c r="U28" s="68"/>
      <c r="V28" s="71"/>
      <c r="W28" s="68">
        <v>15450.63829787234</v>
      </c>
      <c r="X28" s="71">
        <v>14745.53</v>
      </c>
      <c r="Y28" s="68"/>
      <c r="Z28" s="71"/>
      <c r="AA28" s="68"/>
      <c r="AB28" s="71"/>
      <c r="AC28" s="68"/>
      <c r="AD28" s="71"/>
      <c r="AE28" s="68"/>
      <c r="AF28" s="116">
        <v>34306</v>
      </c>
      <c r="AG28" s="68"/>
      <c r="AH28" s="71"/>
      <c r="AI28" s="68"/>
      <c r="AJ28" s="71"/>
      <c r="AK28" s="68"/>
      <c r="AL28" s="71"/>
      <c r="AM28" s="68"/>
      <c r="AN28" s="101"/>
      <c r="AO28" s="67">
        <f>+_xlfn.XLOOKUP(A28,'[5]Resumen POM'!$O:$O,'[5]Resumen POM'!$J:$J,0,0,1)</f>
        <v>0</v>
      </c>
      <c r="AP28" s="71"/>
      <c r="AR28" s="103"/>
      <c r="AS28" s="103"/>
      <c r="AT28" s="103"/>
    </row>
    <row r="29" spans="1:46" ht="14.25" customHeight="1" x14ac:dyDescent="0.2">
      <c r="A29" s="2" t="str">
        <f>+_xlfn.XLOOKUP(B29,'[1]Proyectos (NO FILTRAR)'!$F:$F,'[1]Proyectos (NO FILTRAR)'!$B:$B,0,0,1)</f>
        <v>CH-CMP-OT-OTR00-107-A</v>
      </c>
      <c r="B29" s="118" t="s">
        <v>239</v>
      </c>
      <c r="C29" s="5" t="str">
        <f>+_xlfn.XLOOKUP(A29,'[1]Proyectos (NO FILTRAR)'!$B:$B,'[1]Proyectos (NO FILTRAR)'!$G:$G,"error",0,1)</f>
        <v>Chile</v>
      </c>
      <c r="D29" s="5">
        <v>2024</v>
      </c>
      <c r="E29" s="5" t="s">
        <v>358</v>
      </c>
      <c r="F29" s="5" t="s">
        <v>162</v>
      </c>
      <c r="G29" s="14"/>
      <c r="H29" s="14" t="s">
        <v>29</v>
      </c>
      <c r="I29" s="6">
        <f>+_xlfn.XLOOKUP(B29,'[1]Proyectos (NO FILTRAR)'!$F:$F,'[1]Proyectos (NO FILTRAR)'!$O:$O,"!",0,1)</f>
        <v>112506</v>
      </c>
      <c r="J29" s="51">
        <f t="shared" si="1"/>
        <v>112506</v>
      </c>
      <c r="K29" s="47">
        <f t="shared" si="2"/>
        <v>1</v>
      </c>
      <c r="L29" s="7"/>
      <c r="M29" s="52">
        <f t="shared" si="3"/>
        <v>0</v>
      </c>
      <c r="N29" s="65">
        <f t="shared" si="4"/>
        <v>112506</v>
      </c>
      <c r="O29" s="52">
        <f t="shared" si="5"/>
        <v>1</v>
      </c>
      <c r="P29" s="65"/>
      <c r="Q29" s="48"/>
      <c r="R29" s="48">
        <f>+I29-Q29</f>
        <v>112506</v>
      </c>
      <c r="S29" s="68"/>
      <c r="T29" s="71"/>
      <c r="U29" s="68">
        <f>_xlfn.XLOOKUP(B29,'[4]Resumen EDP POM'!$B:$B,'[4]Resumen EDP POM'!$E:$E,"!",0,1)</f>
        <v>105000</v>
      </c>
      <c r="V29" s="110">
        <v>112506</v>
      </c>
      <c r="W29" s="68"/>
      <c r="X29" s="71"/>
      <c r="Y29" s="68"/>
      <c r="Z29" s="71"/>
      <c r="AA29" s="68"/>
      <c r="AB29" s="71"/>
      <c r="AC29" s="68"/>
      <c r="AD29" s="71"/>
      <c r="AE29" s="68"/>
      <c r="AF29" s="71"/>
      <c r="AG29" s="68"/>
      <c r="AH29" s="71"/>
      <c r="AI29" s="68"/>
      <c r="AJ29" s="70"/>
      <c r="AK29" s="68"/>
      <c r="AL29" s="71"/>
      <c r="AM29" s="68"/>
      <c r="AN29" s="71"/>
      <c r="AO29" s="67">
        <f>+_xlfn.XLOOKUP(A29,'[5]Resumen POM'!$O:$O,'[5]Resumen POM'!$J:$J,0,0,1)</f>
        <v>0</v>
      </c>
      <c r="AP29" s="71"/>
      <c r="AQ29" s="2" t="str">
        <f t="shared" si="6"/>
        <v/>
      </c>
      <c r="AR29" s="103"/>
      <c r="AS29" s="103"/>
      <c r="AT29" s="103"/>
    </row>
    <row r="30" spans="1:46" ht="14.25" customHeight="1" x14ac:dyDescent="0.2">
      <c r="A30" s="2" t="str">
        <f>+_xlfn.XLOOKUP(B30,'[1]Proyectos (NO FILTRAR)'!$F:$F,'[1]Proyectos (NO FILTRAR)'!$B:$B,0,0,1)</f>
        <v>CH-CMP-UG-OTR00-095-A</v>
      </c>
      <c r="B30" s="118" t="s">
        <v>252</v>
      </c>
      <c r="C30" s="5" t="str">
        <f>+_xlfn.XLOOKUP(A30,'[1]Proyectos (NO FILTRAR)'!$B:$B,'[1]Proyectos (NO FILTRAR)'!$G:$G,"error",0,1)</f>
        <v>Chile</v>
      </c>
      <c r="D30" s="5">
        <v>2024</v>
      </c>
      <c r="E30" s="5" t="s">
        <v>358</v>
      </c>
      <c r="F30" s="5" t="s">
        <v>30</v>
      </c>
      <c r="G30" s="14"/>
      <c r="H30" s="14" t="s">
        <v>109</v>
      </c>
      <c r="I30" s="6">
        <f>+_xlfn.XLOOKUP(B30,'[1]Proyectos (NO FILTRAR)'!$F:$F,'[1]Proyectos (NO FILTRAR)'!$O:$O,"!",0,1)</f>
        <v>94854</v>
      </c>
      <c r="J30" s="51">
        <f t="shared" si="1"/>
        <v>94854</v>
      </c>
      <c r="K30" s="47">
        <f t="shared" si="2"/>
        <v>1</v>
      </c>
      <c r="L30" s="7"/>
      <c r="M30" s="52">
        <f t="shared" si="3"/>
        <v>0</v>
      </c>
      <c r="N30" s="65">
        <f t="shared" si="4"/>
        <v>94854</v>
      </c>
      <c r="O30" s="52">
        <f t="shared" si="5"/>
        <v>1</v>
      </c>
      <c r="P30" s="113"/>
      <c r="Q30" s="48">
        <v>79951</v>
      </c>
      <c r="R30" s="48">
        <f>+I30-Q30</f>
        <v>14903</v>
      </c>
      <c r="S30" s="68">
        <v>14688</v>
      </c>
      <c r="T30" s="71">
        <v>14903</v>
      </c>
      <c r="U30" s="68"/>
      <c r="V30" s="71"/>
      <c r="W30" s="68"/>
      <c r="X30" s="71"/>
      <c r="Y30" s="68"/>
      <c r="Z30" s="71"/>
      <c r="AA30" s="68"/>
      <c r="AB30" s="71"/>
      <c r="AC30" s="68"/>
      <c r="AD30" s="71"/>
      <c r="AE30" s="68"/>
      <c r="AF30" s="71"/>
      <c r="AG30" s="68"/>
      <c r="AH30" s="71"/>
      <c r="AI30" s="68"/>
      <c r="AJ30" s="70"/>
      <c r="AK30" s="68"/>
      <c r="AL30" s="71"/>
      <c r="AM30" s="68"/>
      <c r="AN30" s="101"/>
      <c r="AO30" s="67">
        <f>+_xlfn.XLOOKUP(A30,'[5]Resumen POM'!$O:$O,'[5]Resumen POM'!$J:$J,0,0,1)</f>
        <v>0</v>
      </c>
      <c r="AP30" s="71"/>
      <c r="AQ30" s="2" t="str">
        <f t="shared" si="6"/>
        <v/>
      </c>
      <c r="AR30" s="103"/>
      <c r="AS30" s="103"/>
      <c r="AT30" s="103"/>
    </row>
    <row r="31" spans="1:46" ht="14.25" customHeight="1" x14ac:dyDescent="0.2">
      <c r="A31" s="2" t="str">
        <f>+_xlfn.XLOOKUP(B31,'[1]Proyectos (NO FILTRAR)'!$F:$F,'[1]Proyectos (NO FILTRAR)'!$B:$B,0,0,1)</f>
        <v>PE-MMG-UG-FEL00-136-A</v>
      </c>
      <c r="B31" s="118" t="s">
        <v>298</v>
      </c>
      <c r="C31" s="5" t="str">
        <f>+_xlfn.XLOOKUP(A31,'[1]Proyectos (NO FILTRAR)'!$B:$B,'[1]Proyectos (NO FILTRAR)'!$G:$G,"error",0,1)</f>
        <v>Perú</v>
      </c>
      <c r="D31" s="5">
        <v>2025</v>
      </c>
      <c r="E31" s="5" t="s">
        <v>358</v>
      </c>
      <c r="F31" s="5" t="s">
        <v>30</v>
      </c>
      <c r="G31" s="14"/>
      <c r="H31" s="14"/>
      <c r="I31" s="6">
        <f>+_xlfn.XLOOKUP(B31,'[1]Proyectos (NO FILTRAR)'!$F:$F,'[1]Proyectos (NO FILTRAR)'!$O:$O,"!",0,1)</f>
        <v>87520</v>
      </c>
      <c r="J31" s="51">
        <f t="shared" si="1"/>
        <v>87520</v>
      </c>
      <c r="K31" s="47">
        <f t="shared" si="2"/>
        <v>1</v>
      </c>
      <c r="L31" s="7"/>
      <c r="M31" s="52">
        <f t="shared" si="3"/>
        <v>0</v>
      </c>
      <c r="N31" s="65">
        <f t="shared" si="4"/>
        <v>87520</v>
      </c>
      <c r="O31" s="52">
        <f t="shared" si="5"/>
        <v>1</v>
      </c>
      <c r="P31" s="65"/>
      <c r="Q31" s="48"/>
      <c r="R31" s="48"/>
      <c r="S31" s="68"/>
      <c r="T31" s="108">
        <v>9930</v>
      </c>
      <c r="U31" s="68">
        <f>_xlfn.XLOOKUP(B31,'[4]Resumen EDP POM'!$B:$B,'[4]Resumen EDP POM'!$E:$E,"!",0,1)</f>
        <v>30000</v>
      </c>
      <c r="V31" s="110">
        <v>27785</v>
      </c>
      <c r="W31" s="68">
        <v>30000</v>
      </c>
      <c r="X31" s="71">
        <v>10082</v>
      </c>
      <c r="Y31" s="68">
        <v>22399</v>
      </c>
      <c r="Z31" s="71">
        <v>15088</v>
      </c>
      <c r="AA31" s="68">
        <v>17471</v>
      </c>
      <c r="AB31" s="71">
        <v>20174</v>
      </c>
      <c r="AC31" s="68">
        <v>7000</v>
      </c>
      <c r="AD31" s="71">
        <f>2228+2233</f>
        <v>4461</v>
      </c>
      <c r="AE31" s="68"/>
      <c r="AF31" s="71"/>
      <c r="AG31" s="68"/>
      <c r="AH31" s="71"/>
      <c r="AI31" s="68"/>
      <c r="AJ31" s="71"/>
      <c r="AK31" s="68"/>
      <c r="AL31" s="71"/>
      <c r="AM31" s="68"/>
      <c r="AN31" s="101"/>
      <c r="AO31" s="67">
        <f>+_xlfn.XLOOKUP(A31,'[5]Resumen POM'!$O:$O,'[5]Resumen POM'!$J:$J,0,0,1)</f>
        <v>0</v>
      </c>
      <c r="AP31" s="71"/>
      <c r="AQ31" s="2" t="str">
        <f t="shared" si="6"/>
        <v/>
      </c>
      <c r="AR31" s="30"/>
      <c r="AS31" s="103"/>
      <c r="AT31" s="103"/>
    </row>
    <row r="32" spans="1:46" ht="14.25" customHeight="1" x14ac:dyDescent="0.2">
      <c r="A32" s="2" t="str">
        <f>+_xlfn.XLOOKUP(B32,'[1]Proyectos (NO FILTRAR)'!$F:$F,'[1]Proyectos (NO FILTRAR)'!$B:$B,0,0,1)</f>
        <v>CH-COD-OU-FEL00-112-A</v>
      </c>
      <c r="B32" s="118" t="s">
        <v>256</v>
      </c>
      <c r="C32" s="5" t="str">
        <f>+_xlfn.XLOOKUP(A32,'[1]Proyectos (NO FILTRAR)'!$B:$B,'[1]Proyectos (NO FILTRAR)'!$G:$G,"error",0,1)</f>
        <v>Chile</v>
      </c>
      <c r="D32" s="5">
        <v>2024</v>
      </c>
      <c r="E32" s="5" t="s">
        <v>358</v>
      </c>
      <c r="F32" s="5" t="s">
        <v>34</v>
      </c>
      <c r="G32" s="14"/>
      <c r="H32" s="14" t="s">
        <v>35</v>
      </c>
      <c r="I32" s="6">
        <f>+_xlfn.XLOOKUP(B32,'[1]Proyectos (NO FILTRAR)'!$F:$F,'[1]Proyectos (NO FILTRAR)'!$O:$O,"!",0,1)</f>
        <v>85362.89</v>
      </c>
      <c r="J32" s="51">
        <f t="shared" si="1"/>
        <v>85362.89</v>
      </c>
      <c r="K32" s="47">
        <f t="shared" si="2"/>
        <v>1</v>
      </c>
      <c r="L32" s="7"/>
      <c r="M32" s="52">
        <f t="shared" si="3"/>
        <v>0</v>
      </c>
      <c r="N32" s="65">
        <f t="shared" si="4"/>
        <v>85362.89</v>
      </c>
      <c r="O32" s="52">
        <f t="shared" si="5"/>
        <v>1</v>
      </c>
      <c r="P32" s="65"/>
      <c r="Q32" s="48">
        <v>75127</v>
      </c>
      <c r="R32" s="48">
        <f>+I32-Q32</f>
        <v>10235.89</v>
      </c>
      <c r="S32" s="68">
        <v>9873</v>
      </c>
      <c r="T32" s="71">
        <v>10235.89</v>
      </c>
      <c r="U32" s="68"/>
      <c r="V32" s="71"/>
      <c r="W32" s="68"/>
      <c r="X32" s="71"/>
      <c r="Y32" s="68"/>
      <c r="Z32" s="71"/>
      <c r="AA32" s="68"/>
      <c r="AB32" s="71"/>
      <c r="AC32" s="68"/>
      <c r="AD32" s="71"/>
      <c r="AE32" s="68"/>
      <c r="AF32" s="71"/>
      <c r="AG32" s="68"/>
      <c r="AH32" s="71"/>
      <c r="AI32" s="68"/>
      <c r="AJ32" s="70"/>
      <c r="AK32" s="68"/>
      <c r="AL32" s="71"/>
      <c r="AM32" s="68"/>
      <c r="AN32" s="71"/>
      <c r="AO32" s="67">
        <f>+_xlfn.XLOOKUP(A32,'[5]Resumen POM'!$O:$O,'[5]Resumen POM'!$J:$J,0,0,1)</f>
        <v>0</v>
      </c>
      <c r="AP32" s="71"/>
      <c r="AQ32" s="2" t="str">
        <f t="shared" si="6"/>
        <v/>
      </c>
      <c r="AR32" s="103"/>
      <c r="AS32" s="103"/>
      <c r="AT32" s="103"/>
    </row>
    <row r="33" spans="1:46" ht="14.25" customHeight="1" x14ac:dyDescent="0.2">
      <c r="A33" s="2" t="str">
        <f>+_xlfn.XLOOKUP(B33,'[1]Proyectos (NO FILTRAR)'!$F:$F,'[1]Proyectos (NO FILTRAR)'!$B:$B,0,0,1)</f>
        <v>CH-AAM-CS-OTR00-179-A</v>
      </c>
      <c r="B33" s="118" t="s">
        <v>436</v>
      </c>
      <c r="C33" s="5" t="str">
        <f>+_xlfn.XLOOKUP(A33,'[1]Proyectos (NO FILTRAR)'!$B:$B,'[1]Proyectos (NO FILTRAR)'!$G:$G,"error",0,1)</f>
        <v>Chile</v>
      </c>
      <c r="D33" s="5">
        <v>2025</v>
      </c>
      <c r="E33" s="5" t="s">
        <v>358</v>
      </c>
      <c r="F33" s="5" t="s">
        <v>254</v>
      </c>
      <c r="G33" s="14"/>
      <c r="H33" s="14"/>
      <c r="I33" s="6">
        <f>+_xlfn.XLOOKUP(B33,'[1]Proyectos (NO FILTRAR)'!$F:$F,'[1]Proyectos (NO FILTRAR)'!$O:$O,"!",0,1)</f>
        <v>84870</v>
      </c>
      <c r="J33" s="51">
        <f t="shared" si="1"/>
        <v>84870</v>
      </c>
      <c r="K33" s="47">
        <f t="shared" si="2"/>
        <v>1</v>
      </c>
      <c r="L33" s="7"/>
      <c r="M33" s="52">
        <f t="shared" si="3"/>
        <v>0</v>
      </c>
      <c r="N33" s="65">
        <f t="shared" si="4"/>
        <v>84870</v>
      </c>
      <c r="O33" s="52">
        <f t="shared" si="5"/>
        <v>1</v>
      </c>
      <c r="P33" s="65"/>
      <c r="Q33" s="48"/>
      <c r="R33" s="48"/>
      <c r="S33" s="68"/>
      <c r="T33" s="71"/>
      <c r="U33" s="68"/>
      <c r="V33" s="71"/>
      <c r="W33" s="68"/>
      <c r="X33" s="71"/>
      <c r="Y33" s="68"/>
      <c r="Z33" s="71"/>
      <c r="AA33" s="68"/>
      <c r="AB33" s="71"/>
      <c r="AC33" s="68"/>
      <c r="AD33" s="71"/>
      <c r="AE33" s="68"/>
      <c r="AF33" s="71"/>
      <c r="AG33" s="68"/>
      <c r="AH33" s="71"/>
      <c r="AI33" s="68"/>
      <c r="AJ33" s="150">
        <v>26973</v>
      </c>
      <c r="AK33" s="68">
        <v>45000</v>
      </c>
      <c r="AL33" s="136">
        <v>51957</v>
      </c>
      <c r="AM33" s="68">
        <v>5940</v>
      </c>
      <c r="AN33" s="136">
        <v>5940</v>
      </c>
      <c r="AO33" s="67">
        <f>+_xlfn.XLOOKUP(A33,'[5]Resumen POM'!$O:$O,'[5]Resumen POM'!$J:$J,0,0,1)</f>
        <v>0</v>
      </c>
      <c r="AP33" s="71"/>
      <c r="AQ33" s="2" t="str">
        <f t="shared" si="6"/>
        <v/>
      </c>
      <c r="AR33" s="103"/>
      <c r="AS33" s="103"/>
      <c r="AT33" s="103"/>
    </row>
    <row r="34" spans="1:46" ht="14.25" customHeight="1" x14ac:dyDescent="0.2">
      <c r="A34" s="2" t="str">
        <f>+_xlfn.XLOOKUP(B34,'[1]Proyectos (NO FILTRAR)'!$F:$F,'[1]Proyectos (NO FILTRAR)'!$B:$B,0,0,1)</f>
        <v>CH-AMS-CS-OTR00-165-A</v>
      </c>
      <c r="B34" s="118" t="s">
        <v>345</v>
      </c>
      <c r="C34" s="5" t="str">
        <f>+_xlfn.XLOOKUP(A34,'[1]Proyectos (NO FILTRAR)'!$B:$B,'[1]Proyectos (NO FILTRAR)'!$G:$G,"error",0,1)</f>
        <v>Chile</v>
      </c>
      <c r="D34" s="5">
        <v>2025</v>
      </c>
      <c r="E34" s="5" t="s">
        <v>358</v>
      </c>
      <c r="F34" s="5" t="s">
        <v>32</v>
      </c>
      <c r="G34" s="14"/>
      <c r="H34" s="14"/>
      <c r="I34" s="6">
        <f>+_xlfn.XLOOKUP(B34,'[1]Proyectos (NO FILTRAR)'!$F:$F,'[1]Proyectos (NO FILTRAR)'!$O:$O,"!",0,1)</f>
        <v>80125</v>
      </c>
      <c r="J34" s="51">
        <f t="shared" si="1"/>
        <v>79751</v>
      </c>
      <c r="K34" s="47">
        <f t="shared" si="2"/>
        <v>0.99533229329173167</v>
      </c>
      <c r="L34" s="7"/>
      <c r="M34" s="52">
        <f t="shared" si="3"/>
        <v>0</v>
      </c>
      <c r="N34" s="65">
        <f t="shared" si="4"/>
        <v>79751</v>
      </c>
      <c r="O34" s="52">
        <f t="shared" si="5"/>
        <v>0.99533229329173167</v>
      </c>
      <c r="P34" s="65"/>
      <c r="Q34" s="48"/>
      <c r="R34" s="48"/>
      <c r="S34" s="68"/>
      <c r="T34" s="71"/>
      <c r="U34" s="68"/>
      <c r="V34" s="71"/>
      <c r="W34" s="68"/>
      <c r="X34" s="71"/>
      <c r="Y34" s="68"/>
      <c r="Z34" s="71"/>
      <c r="AA34" s="68"/>
      <c r="AB34" s="71"/>
      <c r="AC34" s="68"/>
      <c r="AD34" s="71"/>
      <c r="AE34" s="68"/>
      <c r="AF34" s="71"/>
      <c r="AG34" s="68">
        <v>35000</v>
      </c>
      <c r="AH34" s="71"/>
      <c r="AI34" s="68">
        <v>45000</v>
      </c>
      <c r="AJ34" s="70"/>
      <c r="AK34" s="68">
        <v>40000</v>
      </c>
      <c r="AL34" s="136">
        <v>54264</v>
      </c>
      <c r="AM34" s="68">
        <v>25861</v>
      </c>
      <c r="AN34" s="136">
        <v>25487</v>
      </c>
      <c r="AO34" s="67">
        <f>+_xlfn.XLOOKUP(A34,'[5]Resumen POM'!$O:$O,'[5]Resumen POM'!$J:$J,0,0,1)</f>
        <v>0</v>
      </c>
      <c r="AP34" s="71"/>
      <c r="AQ34" s="2" t="str">
        <f t="shared" si="6"/>
        <v/>
      </c>
      <c r="AR34" s="103"/>
      <c r="AS34" s="103"/>
      <c r="AT34" s="103"/>
    </row>
    <row r="35" spans="1:46" ht="14.25" customHeight="1" x14ac:dyDescent="0.2">
      <c r="A35" s="2" t="str">
        <f>+_xlfn.XLOOKUP(B35,'[1]Proyectos (NO FILTRAR)'!$F:$F,'[1]Proyectos (NO FILTRAR)'!$B:$B,0,0,1)</f>
        <v>BR-MOS-OP-FEL2A-102-A</v>
      </c>
      <c r="B35" s="118" t="s">
        <v>225</v>
      </c>
      <c r="C35" s="5" t="str">
        <f>+_xlfn.XLOOKUP(A35,'[1]Proyectos (NO FILTRAR)'!$B:$B,'[1]Proyectos (NO FILTRAR)'!$G:$G,"error",0,1)</f>
        <v>Brasil</v>
      </c>
      <c r="D35" s="5">
        <v>2024</v>
      </c>
      <c r="E35" s="5" t="s">
        <v>358</v>
      </c>
      <c r="F35" s="5" t="s">
        <v>162</v>
      </c>
      <c r="G35" s="14"/>
      <c r="H35" s="14" t="s">
        <v>62</v>
      </c>
      <c r="I35" s="6">
        <f>+_xlfn.XLOOKUP(B35,'[1]Proyectos (NO FILTRAR)'!$F:$F,'[1]Proyectos (NO FILTRAR)'!$O:$O,"!",0,1)</f>
        <v>79900</v>
      </c>
      <c r="J35" s="51">
        <f t="shared" ref="J35:J66" si="8">+Q35+T35+V35+X35+Z35+AB35+AD35+AF35+AH35+AJ35+AL35+AN35+AP35</f>
        <v>75129</v>
      </c>
      <c r="K35" s="47">
        <f t="shared" ref="K35:K66" si="9">+IFERROR(J35/I35,0)</f>
        <v>0.94028785982478102</v>
      </c>
      <c r="L35" s="7"/>
      <c r="M35" s="52">
        <f t="shared" ref="M35:M66" si="10">+IFERROR(L35/I35,0)</f>
        <v>0</v>
      </c>
      <c r="N35" s="65">
        <f t="shared" ref="N35:N66" si="11">+J35+AO35</f>
        <v>75129</v>
      </c>
      <c r="O35" s="52">
        <f t="shared" ref="O35:O66" si="12">IFERROR(N35/I35,0)</f>
        <v>0.94028785982478102</v>
      </c>
      <c r="P35" s="113"/>
      <c r="Q35" s="48">
        <v>75129</v>
      </c>
      <c r="R35" s="48">
        <f>+I35-Q35</f>
        <v>4771</v>
      </c>
      <c r="S35" s="68"/>
      <c r="T35" s="71"/>
      <c r="U35" s="68">
        <f>_xlfn.XLOOKUP(B35,'[4]Resumen EDP POM'!$B:$B,'[4]Resumen EDP POM'!$E:$E,"!",0,1)</f>
        <v>5000</v>
      </c>
      <c r="V35" s="71"/>
      <c r="W35" s="68">
        <v>5000</v>
      </c>
      <c r="X35" s="71"/>
      <c r="Y35" s="68"/>
      <c r="Z35" s="71"/>
      <c r="AA35" s="68"/>
      <c r="AB35" s="71"/>
      <c r="AC35" s="68"/>
      <c r="AD35" s="71"/>
      <c r="AE35" s="68"/>
      <c r="AF35" s="71"/>
      <c r="AG35" s="68"/>
      <c r="AH35" s="71"/>
      <c r="AI35" s="68"/>
      <c r="AJ35" s="70"/>
      <c r="AK35" s="68"/>
      <c r="AL35" s="71"/>
      <c r="AM35" s="68"/>
      <c r="AN35" s="101"/>
      <c r="AO35" s="67">
        <f>+_xlfn.XLOOKUP(A35,'[5]Resumen POM'!$O:$O,'[5]Resumen POM'!$J:$J,0,0,1)</f>
        <v>0</v>
      </c>
      <c r="AP35" s="71"/>
      <c r="AQ35" s="2" t="str">
        <f t="shared" si="6"/>
        <v/>
      </c>
      <c r="AR35" s="103"/>
      <c r="AS35" s="103"/>
      <c r="AT35" s="103"/>
    </row>
    <row r="36" spans="1:46" ht="14.25" customHeight="1" x14ac:dyDescent="0.2">
      <c r="A36" s="2" t="str">
        <f>+_xlfn.XLOOKUP(B36,'[1]Proyectos (NO FILTRAR)'!$F:$F,'[1]Proyectos (NO FILTRAR)'!$B:$B,0,0,1)</f>
        <v>BR-CBM-CS-OTR00-164-A</v>
      </c>
      <c r="B36" s="118" t="s">
        <v>344</v>
      </c>
      <c r="C36" s="5" t="str">
        <f>+_xlfn.XLOOKUP(A36,'[1]Proyectos (NO FILTRAR)'!$B:$B,'[1]Proyectos (NO FILTRAR)'!$G:$G,"error",0,1)</f>
        <v>Brasil</v>
      </c>
      <c r="D36" s="5">
        <v>2025</v>
      </c>
      <c r="E36" s="5" t="s">
        <v>358</v>
      </c>
      <c r="F36" s="5" t="s">
        <v>33</v>
      </c>
      <c r="G36" s="14"/>
      <c r="H36" s="14"/>
      <c r="I36" s="6">
        <f>+_xlfn.XLOOKUP(B36,'[1]Proyectos (NO FILTRAR)'!$F:$F,'[1]Proyectos (NO FILTRAR)'!$O:$O,"!",0,1)</f>
        <v>80293</v>
      </c>
      <c r="J36" s="51">
        <f t="shared" si="8"/>
        <v>72515</v>
      </c>
      <c r="K36" s="47">
        <f t="shared" si="9"/>
        <v>0.9031297871545465</v>
      </c>
      <c r="L36" s="7"/>
      <c r="M36" s="52">
        <f t="shared" si="10"/>
        <v>0</v>
      </c>
      <c r="N36" s="65">
        <f t="shared" si="11"/>
        <v>72515</v>
      </c>
      <c r="O36" s="52">
        <f t="shared" si="12"/>
        <v>0.9031297871545465</v>
      </c>
      <c r="P36" s="65"/>
      <c r="Q36" s="48"/>
      <c r="R36" s="48"/>
      <c r="S36" s="68"/>
      <c r="T36" s="71"/>
      <c r="U36" s="68"/>
      <c r="V36" s="71"/>
      <c r="W36" s="68"/>
      <c r="X36" s="71"/>
      <c r="Y36" s="68"/>
      <c r="Z36" s="71"/>
      <c r="AA36" s="68"/>
      <c r="AB36" s="71"/>
      <c r="AC36" s="68"/>
      <c r="AD36" s="71"/>
      <c r="AE36" s="68"/>
      <c r="AF36" s="71"/>
      <c r="AG36" s="68">
        <v>26162</v>
      </c>
      <c r="AH36" s="71">
        <v>0</v>
      </c>
      <c r="AI36" s="68">
        <v>24591.928915662651</v>
      </c>
      <c r="AJ36" s="150">
        <v>28949</v>
      </c>
      <c r="AK36" s="68">
        <v>28600</v>
      </c>
      <c r="AL36" s="136">
        <v>31572</v>
      </c>
      <c r="AM36" s="68">
        <v>11780</v>
      </c>
      <c r="AN36" s="136">
        <v>11994</v>
      </c>
      <c r="AO36" s="67">
        <f>+_xlfn.XLOOKUP(A36,'[5]Resumen POM'!$O:$O,'[5]Resumen POM'!$J:$J,0,0,1)</f>
        <v>0</v>
      </c>
      <c r="AP36" s="71"/>
      <c r="AQ36" s="2" t="str">
        <f t="shared" si="6"/>
        <v/>
      </c>
      <c r="AR36" s="103"/>
      <c r="AS36" s="103"/>
      <c r="AT36" s="103"/>
    </row>
    <row r="37" spans="1:46" ht="14.25" customHeight="1" x14ac:dyDescent="0.2">
      <c r="A37" s="2" t="str">
        <f>+_xlfn.XLOOKUP(B37,'[1]Proyectos (NO FILTRAR)'!$F:$F,'[1]Proyectos (NO FILTRAR)'!$B:$B,0,0,1)</f>
        <v>CH-BHP-OP-FEL00-103-A</v>
      </c>
      <c r="B37" s="118" t="s">
        <v>227</v>
      </c>
      <c r="C37" s="5" t="str">
        <f>+_xlfn.XLOOKUP(A37,'[1]Proyectos (NO FILTRAR)'!$B:$B,'[1]Proyectos (NO FILTRAR)'!$G:$G,"error",0,1)</f>
        <v>Chile</v>
      </c>
      <c r="D37" s="5">
        <v>2024</v>
      </c>
      <c r="E37" s="5" t="s">
        <v>358</v>
      </c>
      <c r="F37" s="5" t="s">
        <v>32</v>
      </c>
      <c r="G37" s="14"/>
      <c r="H37" s="14" t="s">
        <v>29</v>
      </c>
      <c r="I37" s="6">
        <f>+_xlfn.XLOOKUP(B37,'[1]Proyectos (NO FILTRAR)'!$F:$F,'[1]Proyectos (NO FILTRAR)'!$O:$O,"!",0,1)</f>
        <v>70000</v>
      </c>
      <c r="J37" s="51">
        <f t="shared" si="8"/>
        <v>46205</v>
      </c>
      <c r="K37" s="47">
        <f t="shared" si="9"/>
        <v>0.66007142857142853</v>
      </c>
      <c r="L37" s="7"/>
      <c r="M37" s="52">
        <f t="shared" si="10"/>
        <v>0</v>
      </c>
      <c r="N37" s="65">
        <f t="shared" si="11"/>
        <v>46205</v>
      </c>
      <c r="O37" s="52">
        <f t="shared" si="12"/>
        <v>0.66007142857142853</v>
      </c>
      <c r="P37" s="113"/>
      <c r="Q37" s="48">
        <v>46205</v>
      </c>
      <c r="R37" s="48">
        <f>+I37-Q37</f>
        <v>23795</v>
      </c>
      <c r="S37" s="68">
        <v>23527</v>
      </c>
      <c r="T37" s="71"/>
      <c r="U37" s="68">
        <f>_xlfn.XLOOKUP(B37,'[4]Resumen EDP POM'!$B:$B,'[4]Resumen EDP POM'!$E:$E,"!",0,1)</f>
        <v>23528</v>
      </c>
      <c r="V37" s="71"/>
      <c r="W37" s="68"/>
      <c r="X37" s="71"/>
      <c r="Y37" s="68"/>
      <c r="Z37" s="71"/>
      <c r="AA37" s="68"/>
      <c r="AB37" s="71"/>
      <c r="AC37" s="68"/>
      <c r="AD37" s="71"/>
      <c r="AE37" s="68"/>
      <c r="AF37" s="71"/>
      <c r="AG37" s="68"/>
      <c r="AH37" s="71"/>
      <c r="AI37" s="68"/>
      <c r="AJ37" s="70"/>
      <c r="AK37" s="68"/>
      <c r="AL37" s="71"/>
      <c r="AM37" s="68"/>
      <c r="AN37" s="71"/>
      <c r="AO37" s="67">
        <f>+_xlfn.XLOOKUP(A37,'[5]Resumen POM'!$O:$O,'[5]Resumen POM'!$J:$J,0,0,1)</f>
        <v>0</v>
      </c>
      <c r="AP37" s="71"/>
      <c r="AQ37" s="2" t="str">
        <f t="shared" si="6"/>
        <v/>
      </c>
      <c r="AR37" s="103"/>
      <c r="AS37" s="103"/>
      <c r="AT37" s="103"/>
    </row>
    <row r="38" spans="1:46" ht="14.25" customHeight="1" x14ac:dyDescent="0.2">
      <c r="A38" s="2" t="str">
        <f>+_xlfn.XLOOKUP(B38,'[1]Proyectos (NO FILTRAR)'!$F:$F,'[1]Proyectos (NO FILTRAR)'!$B:$B,0,0,1)</f>
        <v>CH-COD-CS-OTR00-129-A</v>
      </c>
      <c r="B38" s="118" t="s">
        <v>280</v>
      </c>
      <c r="C38" s="5" t="str">
        <f>+_xlfn.XLOOKUP(A38,'[1]Proyectos (NO FILTRAR)'!$B:$B,'[1]Proyectos (NO FILTRAR)'!$G:$G,"error",0,1)</f>
        <v>Chile</v>
      </c>
      <c r="D38" s="5">
        <v>2024</v>
      </c>
      <c r="E38" s="5" t="s">
        <v>358</v>
      </c>
      <c r="F38" s="5" t="s">
        <v>34</v>
      </c>
      <c r="G38" s="14"/>
      <c r="H38" s="14" t="s">
        <v>39</v>
      </c>
      <c r="I38" s="6">
        <f>+_xlfn.XLOOKUP(B38,'[1]Proyectos (NO FILTRAR)'!$F:$F,'[1]Proyectos (NO FILTRAR)'!$O:$O,"!",0,1)</f>
        <v>63381.369999999995</v>
      </c>
      <c r="J38" s="51">
        <f t="shared" si="8"/>
        <v>63381.369999999995</v>
      </c>
      <c r="K38" s="47">
        <f t="shared" si="9"/>
        <v>1</v>
      </c>
      <c r="L38" s="7"/>
      <c r="M38" s="52">
        <f t="shared" si="10"/>
        <v>0</v>
      </c>
      <c r="N38" s="65">
        <f t="shared" si="11"/>
        <v>63381.369999999995</v>
      </c>
      <c r="O38" s="52">
        <f t="shared" si="12"/>
        <v>1</v>
      </c>
      <c r="P38" s="113"/>
      <c r="Q38" s="48">
        <v>23268</v>
      </c>
      <c r="R38" s="48">
        <f>+I38-Q38</f>
        <v>40113.369999999995</v>
      </c>
      <c r="S38" s="68">
        <v>49524</v>
      </c>
      <c r="T38" s="71">
        <v>28753.37</v>
      </c>
      <c r="U38" s="68">
        <f>_xlfn.XLOOKUP(B38,'[4]Resumen EDP POM'!$B:$B,'[4]Resumen EDP POM'!$E:$E,"!",0,1)</f>
        <v>20771</v>
      </c>
      <c r="V38" s="110">
        <v>11360</v>
      </c>
      <c r="W38" s="68"/>
      <c r="X38" s="71"/>
      <c r="Y38" s="68"/>
      <c r="Z38" s="71"/>
      <c r="AA38" s="68"/>
      <c r="AB38" s="71"/>
      <c r="AC38" s="68"/>
      <c r="AD38" s="71"/>
      <c r="AE38" s="68"/>
      <c r="AF38" s="71"/>
      <c r="AG38" s="68"/>
      <c r="AH38" s="71"/>
      <c r="AI38" s="68"/>
      <c r="AJ38" s="70"/>
      <c r="AK38" s="68"/>
      <c r="AL38" s="71"/>
      <c r="AM38" s="68"/>
      <c r="AN38" s="71"/>
      <c r="AO38" s="67">
        <f>+_xlfn.XLOOKUP(A38,'[5]Resumen POM'!$O:$O,'[5]Resumen POM'!$J:$J,0,0,1)</f>
        <v>0</v>
      </c>
      <c r="AP38" s="71"/>
      <c r="AQ38" s="2" t="str">
        <f t="shared" si="6"/>
        <v/>
      </c>
      <c r="AR38" s="103"/>
      <c r="AS38" s="103"/>
      <c r="AT38" s="103"/>
    </row>
    <row r="39" spans="1:46" ht="14.25" customHeight="1" x14ac:dyDescent="0.2">
      <c r="A39" s="2" t="str">
        <f>+_xlfn.XLOOKUP(B39,'[1]Proyectos (NO FILTRAR)'!$F:$F,'[1]Proyectos (NO FILTRAR)'!$B:$B,0,0,1)</f>
        <v>CH-AAM-CS-OTR00-146-A</v>
      </c>
      <c r="B39" s="118" t="s">
        <v>307</v>
      </c>
      <c r="C39" s="5" t="str">
        <f>+_xlfn.XLOOKUP(A39,'[1]Proyectos (NO FILTRAR)'!$B:$B,'[1]Proyectos (NO FILTRAR)'!$G:$G,"error",0,1)</f>
        <v>Chile</v>
      </c>
      <c r="D39" s="5">
        <v>2025</v>
      </c>
      <c r="E39" s="5" t="s">
        <v>358</v>
      </c>
      <c r="F39" s="5" t="s">
        <v>32</v>
      </c>
      <c r="G39" s="14"/>
      <c r="H39" s="14"/>
      <c r="I39" s="6">
        <f>+_xlfn.XLOOKUP(B39,'[1]Proyectos (NO FILTRAR)'!$F:$F,'[1]Proyectos (NO FILTRAR)'!$O:$O,"!",0,1)</f>
        <v>62417</v>
      </c>
      <c r="J39" s="51">
        <f t="shared" si="8"/>
        <v>62417</v>
      </c>
      <c r="K39" s="47">
        <f t="shared" si="9"/>
        <v>1</v>
      </c>
      <c r="L39" s="7"/>
      <c r="M39" s="52">
        <f t="shared" si="10"/>
        <v>0</v>
      </c>
      <c r="N39" s="65">
        <f t="shared" si="11"/>
        <v>62417</v>
      </c>
      <c r="O39" s="52">
        <f t="shared" si="12"/>
        <v>1</v>
      </c>
      <c r="P39" s="65"/>
      <c r="Q39" s="48"/>
      <c r="R39" s="48"/>
      <c r="S39" s="68"/>
      <c r="T39" s="71"/>
      <c r="U39" s="68"/>
      <c r="V39" s="71"/>
      <c r="W39" s="68">
        <v>34964.851063829781</v>
      </c>
      <c r="X39" s="71"/>
      <c r="Y39" s="68">
        <v>42701.489361702123</v>
      </c>
      <c r="Z39" s="71">
        <v>62417</v>
      </c>
      <c r="AA39" s="68">
        <v>6227.1999999999971</v>
      </c>
      <c r="AB39" s="71"/>
      <c r="AC39" s="68"/>
      <c r="AD39" s="71"/>
      <c r="AE39" s="68"/>
      <c r="AF39" s="71"/>
      <c r="AG39" s="68"/>
      <c r="AH39" s="71"/>
      <c r="AI39" s="68"/>
      <c r="AJ39" s="71"/>
      <c r="AK39" s="68"/>
      <c r="AL39" s="71"/>
      <c r="AM39" s="68"/>
      <c r="AN39" s="101"/>
      <c r="AO39" s="67">
        <f>+_xlfn.XLOOKUP(A39,'[5]Resumen POM'!$O:$O,'[5]Resumen POM'!$J:$J,0,0,1)</f>
        <v>0</v>
      </c>
      <c r="AP39" s="71"/>
      <c r="AQ39" s="2" t="str">
        <f t="shared" si="6"/>
        <v/>
      </c>
      <c r="AR39" s="103"/>
      <c r="AS39" s="103"/>
      <c r="AT39" s="103"/>
    </row>
    <row r="40" spans="1:46" ht="14.25" customHeight="1" x14ac:dyDescent="0.2">
      <c r="A40" s="2" t="str">
        <f>+_xlfn.XLOOKUP(B40,'[1]Proyectos (NO FILTRAR)'!$F:$F,'[1]Proyectos (NO FILTRAR)'!$B:$B,0,0,1)</f>
        <v>BR-MOS-CS-OTR00-115-A</v>
      </c>
      <c r="B40" s="118" t="s">
        <v>264</v>
      </c>
      <c r="C40" s="5" t="str">
        <f>+_xlfn.XLOOKUP(A40,'[1]Proyectos (NO FILTRAR)'!$B:$B,'[1]Proyectos (NO FILTRAR)'!$G:$G,"error",0,1)</f>
        <v>Brasil</v>
      </c>
      <c r="D40" s="5">
        <v>2024</v>
      </c>
      <c r="E40" s="5" t="s">
        <v>358</v>
      </c>
      <c r="F40" s="5" t="s">
        <v>33</v>
      </c>
      <c r="G40" s="14"/>
      <c r="H40" s="14" t="s">
        <v>266</v>
      </c>
      <c r="I40" s="6">
        <f>+_xlfn.XLOOKUP(B40,'[1]Proyectos (NO FILTRAR)'!$F:$F,'[1]Proyectos (NO FILTRAR)'!$O:$O,"!",0,1)</f>
        <v>60100.34</v>
      </c>
      <c r="J40" s="51">
        <f t="shared" si="8"/>
        <v>60100.34</v>
      </c>
      <c r="K40" s="47">
        <f t="shared" si="9"/>
        <v>1</v>
      </c>
      <c r="L40" s="7"/>
      <c r="M40" s="52">
        <f t="shared" si="10"/>
        <v>0</v>
      </c>
      <c r="N40" s="65">
        <f t="shared" si="11"/>
        <v>60100.34</v>
      </c>
      <c r="O40" s="52">
        <f t="shared" si="12"/>
        <v>1</v>
      </c>
      <c r="P40" s="113"/>
      <c r="Q40" s="48">
        <v>25514</v>
      </c>
      <c r="R40" s="48">
        <f>+I40-Q40</f>
        <v>34586.339999999997</v>
      </c>
      <c r="S40" s="68">
        <v>21800</v>
      </c>
      <c r="T40" s="71">
        <v>21816</v>
      </c>
      <c r="U40" s="68">
        <f>_xlfn.XLOOKUP(B40,'[4]Resumen EDP POM'!$B:$B,'[4]Resumen EDP POM'!$E:$E,"!",0,1)</f>
        <v>16055.2</v>
      </c>
      <c r="V40" s="110">
        <v>12770.34</v>
      </c>
      <c r="W40" s="68"/>
      <c r="X40" s="71"/>
      <c r="Y40" s="68"/>
      <c r="Z40" s="71"/>
      <c r="AA40" s="68"/>
      <c r="AB40" s="71"/>
      <c r="AC40" s="68"/>
      <c r="AD40" s="71"/>
      <c r="AE40" s="68"/>
      <c r="AF40" s="71"/>
      <c r="AG40" s="68"/>
      <c r="AH40" s="71"/>
      <c r="AI40" s="68"/>
      <c r="AJ40" s="70"/>
      <c r="AK40" s="68"/>
      <c r="AL40" s="71"/>
      <c r="AM40" s="68"/>
      <c r="AN40" s="101"/>
      <c r="AO40" s="67">
        <f>+_xlfn.XLOOKUP(A40,'[5]Resumen POM'!$O:$O,'[5]Resumen POM'!$J:$J,0,0,1)</f>
        <v>0</v>
      </c>
      <c r="AP40" s="71"/>
      <c r="AQ40" s="2" t="str">
        <f t="shared" si="6"/>
        <v/>
      </c>
      <c r="AR40" s="103"/>
      <c r="AS40" s="103"/>
      <c r="AT40" s="103"/>
    </row>
    <row r="41" spans="1:46" ht="14.25" customHeight="1" x14ac:dyDescent="0.2">
      <c r="A41" s="2" t="str">
        <f>+_xlfn.XLOOKUP(B41,'[1]Proyectos (NO FILTRAR)'!$F:$F,'[1]Proyectos (NO FILTRAR)'!$B:$B,0,0,1)</f>
        <v>PE-MSR-UG-OTR00-151-A</v>
      </c>
      <c r="B41" s="118" t="s">
        <v>318</v>
      </c>
      <c r="C41" s="5" t="str">
        <f>+_xlfn.XLOOKUP(A41,'[1]Proyectos (NO FILTRAR)'!$B:$B,'[1]Proyectos (NO FILTRAR)'!$G:$G,"error",0,1)</f>
        <v>Perú</v>
      </c>
      <c r="D41" s="5">
        <v>2025</v>
      </c>
      <c r="E41" s="5" t="s">
        <v>358</v>
      </c>
      <c r="F41" s="5" t="s">
        <v>28</v>
      </c>
      <c r="G41" s="14"/>
      <c r="H41" s="14"/>
      <c r="I41" s="6">
        <f>+_xlfn.XLOOKUP(B41,'[1]Proyectos (NO FILTRAR)'!$F:$F,'[1]Proyectos (NO FILTRAR)'!$O:$O,"!",0,1)</f>
        <v>60000</v>
      </c>
      <c r="J41" s="51">
        <f t="shared" si="8"/>
        <v>29207</v>
      </c>
      <c r="K41" s="47">
        <f t="shared" si="9"/>
        <v>0.48678333333333335</v>
      </c>
      <c r="L41" s="7"/>
      <c r="M41" s="52">
        <f t="shared" si="10"/>
        <v>0</v>
      </c>
      <c r="N41" s="65">
        <f t="shared" si="11"/>
        <v>29207</v>
      </c>
      <c r="O41" s="52">
        <f t="shared" si="12"/>
        <v>0.48678333333333335</v>
      </c>
      <c r="P41" s="65"/>
      <c r="Q41" s="48"/>
      <c r="R41" s="48"/>
      <c r="S41" s="68"/>
      <c r="T41" s="71"/>
      <c r="U41" s="68"/>
      <c r="V41" s="71"/>
      <c r="W41" s="68"/>
      <c r="X41" s="71"/>
      <c r="Y41" s="68"/>
      <c r="Z41" s="71"/>
      <c r="AA41" s="68">
        <v>12000</v>
      </c>
      <c r="AB41" s="71">
        <v>29207</v>
      </c>
      <c r="AC41" s="68">
        <v>30000</v>
      </c>
      <c r="AD41" s="71"/>
      <c r="AE41" s="68"/>
      <c r="AF41" s="71"/>
      <c r="AG41" s="68"/>
      <c r="AH41" s="71"/>
      <c r="AI41" s="68"/>
      <c r="AJ41" s="70"/>
      <c r="AK41" s="68"/>
      <c r="AL41" s="71"/>
      <c r="AM41" s="68"/>
      <c r="AN41" s="101"/>
      <c r="AO41" s="67">
        <f>+_xlfn.XLOOKUP(A41,'[5]Resumen POM'!$O:$O,'[5]Resumen POM'!$J:$J,0,0,1)</f>
        <v>0</v>
      </c>
      <c r="AP41" s="71"/>
      <c r="AQ41" s="2" t="str">
        <f t="shared" si="6"/>
        <v/>
      </c>
      <c r="AR41" s="103"/>
      <c r="AS41" s="103"/>
      <c r="AT41" s="103"/>
    </row>
    <row r="42" spans="1:46" ht="14.25" customHeight="1" x14ac:dyDescent="0.2">
      <c r="A42" s="2" t="str">
        <f>+_xlfn.XLOOKUP(B42,'[1]Proyectos (NO FILTRAR)'!$F:$F,'[1]Proyectos (NO FILTRAR)'!$B:$B,0,0,1)</f>
        <v>OT-FNE-CS-OTR00-176-A</v>
      </c>
      <c r="B42" s="118" t="s">
        <v>425</v>
      </c>
      <c r="C42" s="5" t="str">
        <f>+_xlfn.XLOOKUP(A42,'[1]Proyectos (NO FILTRAR)'!$B:$B,'[1]Proyectos (NO FILTRAR)'!$G:$G,"error",0,1)</f>
        <v>Otros</v>
      </c>
      <c r="D42" s="5">
        <v>2025</v>
      </c>
      <c r="E42" s="5" t="s">
        <v>358</v>
      </c>
      <c r="F42" s="5" t="s">
        <v>439</v>
      </c>
      <c r="G42" s="14"/>
      <c r="H42" s="14"/>
      <c r="I42" s="6">
        <f>+_xlfn.XLOOKUP(B42,'[1]Proyectos (NO FILTRAR)'!$F:$F,'[1]Proyectos (NO FILTRAR)'!$O:$O,"!",0,1)</f>
        <v>52400</v>
      </c>
      <c r="J42" s="51">
        <f t="shared" si="8"/>
        <v>52075</v>
      </c>
      <c r="K42" s="47">
        <f t="shared" si="9"/>
        <v>0.99379770992366412</v>
      </c>
      <c r="L42" s="7"/>
      <c r="M42" s="52">
        <f t="shared" si="10"/>
        <v>0</v>
      </c>
      <c r="N42" s="65">
        <f t="shared" si="11"/>
        <v>52075</v>
      </c>
      <c r="O42" s="52">
        <f t="shared" si="12"/>
        <v>0.99379770992366412</v>
      </c>
      <c r="P42" s="65"/>
      <c r="Q42" s="48"/>
      <c r="R42" s="48"/>
      <c r="S42" s="68"/>
      <c r="T42" s="71"/>
      <c r="U42" s="68"/>
      <c r="V42" s="71"/>
      <c r="W42" s="68"/>
      <c r="X42" s="71"/>
      <c r="Y42" s="68"/>
      <c r="Z42" s="71"/>
      <c r="AA42" s="68"/>
      <c r="AB42" s="71"/>
      <c r="AC42" s="68"/>
      <c r="AD42" s="71"/>
      <c r="AE42" s="68"/>
      <c r="AF42" s="71"/>
      <c r="AG42" s="68"/>
      <c r="AH42" s="71"/>
      <c r="AI42" s="68">
        <v>52400</v>
      </c>
      <c r="AJ42" s="71"/>
      <c r="AK42" s="68">
        <v>52075</v>
      </c>
      <c r="AL42" s="136">
        <v>52075</v>
      </c>
      <c r="AM42" s="68"/>
      <c r="AN42" s="101"/>
      <c r="AO42" s="67">
        <f>+_xlfn.XLOOKUP(A42,'[5]Resumen POM'!$O:$O,'[5]Resumen POM'!$J:$J,0,0,1)</f>
        <v>0</v>
      </c>
      <c r="AP42" s="71"/>
      <c r="AQ42" s="2" t="str">
        <f t="shared" si="6"/>
        <v/>
      </c>
      <c r="AR42" s="103"/>
      <c r="AS42" s="103"/>
      <c r="AT42" s="103"/>
    </row>
    <row r="43" spans="1:46" ht="14.25" customHeight="1" x14ac:dyDescent="0.2">
      <c r="A43" s="2" t="s">
        <v>292</v>
      </c>
      <c r="B43" s="118" t="s">
        <v>290</v>
      </c>
      <c r="C43" s="5" t="str">
        <f>+_xlfn.XLOOKUP(A43,'[1]Proyectos (NO FILTRAR)'!$B:$B,'[1]Proyectos (NO FILTRAR)'!$G:$G,"error",0,1)</f>
        <v>Perú</v>
      </c>
      <c r="D43" s="5">
        <v>2024</v>
      </c>
      <c r="E43" s="5" t="s">
        <v>358</v>
      </c>
      <c r="F43" s="5" t="s">
        <v>28</v>
      </c>
      <c r="G43" s="14"/>
      <c r="H43" s="14" t="s">
        <v>29</v>
      </c>
      <c r="I43" s="6">
        <f>+_xlfn.XLOOKUP(B43,'[1]Proyectos (NO FILTRAR)'!$F:$F,'[1]Proyectos (NO FILTRAR)'!$O:$O,"!",0,1)</f>
        <v>51870</v>
      </c>
      <c r="J43" s="51">
        <f t="shared" si="8"/>
        <v>51870</v>
      </c>
      <c r="K43" s="78">
        <f t="shared" si="9"/>
        <v>1</v>
      </c>
      <c r="L43" s="7"/>
      <c r="M43" s="77">
        <f t="shared" si="10"/>
        <v>0</v>
      </c>
      <c r="N43" s="65">
        <f t="shared" si="11"/>
        <v>51870</v>
      </c>
      <c r="O43" s="77">
        <f t="shared" si="12"/>
        <v>1</v>
      </c>
      <c r="P43" s="104"/>
      <c r="Q43" s="48"/>
      <c r="R43" s="48">
        <f>+I43-Q43</f>
        <v>51870</v>
      </c>
      <c r="S43" s="68">
        <v>40000</v>
      </c>
      <c r="T43" s="108"/>
      <c r="U43" s="68">
        <f>_xlfn.XLOOKUP(B43,'[4]Resumen EDP POM'!$B:$B,'[4]Resumen EDP POM'!$E:$E,"!",0,1)</f>
        <v>18424</v>
      </c>
      <c r="V43" s="108"/>
      <c r="W43" s="68">
        <v>51870</v>
      </c>
      <c r="X43" s="71">
        <v>51870</v>
      </c>
      <c r="Y43" s="68"/>
      <c r="Z43" s="71"/>
      <c r="AA43" s="68"/>
      <c r="AB43" s="71"/>
      <c r="AC43" s="68"/>
      <c r="AD43" s="71"/>
      <c r="AE43" s="68"/>
      <c r="AF43" s="71"/>
      <c r="AG43" s="68"/>
      <c r="AH43" s="71"/>
      <c r="AI43" s="68"/>
      <c r="AJ43" s="70"/>
      <c r="AK43" s="68"/>
      <c r="AL43" s="71"/>
      <c r="AM43" s="68"/>
      <c r="AN43" s="71"/>
      <c r="AO43" s="67">
        <f>+_xlfn.XLOOKUP(A43,'[5]Resumen POM'!$O:$O,'[5]Resumen POM'!$J:$J,0,0,1)</f>
        <v>0</v>
      </c>
      <c r="AP43" s="71"/>
      <c r="AQ43" s="2" t="str">
        <f t="shared" si="6"/>
        <v/>
      </c>
      <c r="AR43" s="103"/>
      <c r="AS43" s="103"/>
      <c r="AT43" s="103"/>
    </row>
    <row r="44" spans="1:46" ht="14.25" customHeight="1" x14ac:dyDescent="0.2">
      <c r="A44" s="2" t="str">
        <f>+_xlfn.XLOOKUP(B44,'[1]Proyectos (NO FILTRAR)'!$F:$F,'[1]Proyectos (NO FILTRAR)'!$B:$B,0,0,1)</f>
        <v>OT-RES-CS-OTR00-150-A</v>
      </c>
      <c r="B44" s="118" t="s">
        <v>317</v>
      </c>
      <c r="C44" s="5" t="str">
        <f>+_xlfn.XLOOKUP(A44,'[1]Proyectos (NO FILTRAR)'!$B:$B,'[1]Proyectos (NO FILTRAR)'!$G:$G,"error",0,1)</f>
        <v>Otros</v>
      </c>
      <c r="D44" s="5">
        <v>2025</v>
      </c>
      <c r="E44" s="5" t="s">
        <v>358</v>
      </c>
      <c r="F44" s="5" t="s">
        <v>315</v>
      </c>
      <c r="G44" s="14"/>
      <c r="H44" s="14"/>
      <c r="I44" s="6">
        <f>+_xlfn.XLOOKUP(B44,'[1]Proyectos (NO FILTRAR)'!$F:$F,'[1]Proyectos (NO FILTRAR)'!$O:$O,"!",0,1)</f>
        <v>47808</v>
      </c>
      <c r="J44" s="51">
        <f t="shared" si="8"/>
        <v>47808</v>
      </c>
      <c r="K44" s="47">
        <f t="shared" si="9"/>
        <v>1</v>
      </c>
      <c r="L44" s="7"/>
      <c r="M44" s="52">
        <f t="shared" si="10"/>
        <v>0</v>
      </c>
      <c r="N44" s="65">
        <f t="shared" si="11"/>
        <v>47808</v>
      </c>
      <c r="O44" s="52">
        <f t="shared" si="12"/>
        <v>1</v>
      </c>
      <c r="P44" s="65"/>
      <c r="Q44" s="48"/>
      <c r="R44" s="48"/>
      <c r="S44" s="68"/>
      <c r="T44" s="71"/>
      <c r="U44" s="68"/>
      <c r="V44" s="71"/>
      <c r="W44" s="68"/>
      <c r="X44" s="71"/>
      <c r="Y44" s="68"/>
      <c r="Z44" s="71"/>
      <c r="AA44" s="68">
        <v>49800</v>
      </c>
      <c r="AB44" s="71">
        <v>47808</v>
      </c>
      <c r="AC44" s="68"/>
      <c r="AD44" s="71"/>
      <c r="AE44" s="68"/>
      <c r="AF44" s="71"/>
      <c r="AG44" s="68"/>
      <c r="AH44" s="71"/>
      <c r="AI44" s="68"/>
      <c r="AJ44" s="71"/>
      <c r="AK44" s="68"/>
      <c r="AL44" s="71"/>
      <c r="AM44" s="68"/>
      <c r="AN44" s="101"/>
      <c r="AO44" s="67">
        <f>+_xlfn.XLOOKUP(A44,'[5]Resumen POM'!$O:$O,'[5]Resumen POM'!$J:$J,0,0,1)</f>
        <v>0</v>
      </c>
      <c r="AP44" s="71"/>
      <c r="AR44" s="103"/>
      <c r="AS44" s="103"/>
      <c r="AT44" s="103"/>
    </row>
    <row r="45" spans="1:46" ht="14.25" customHeight="1" x14ac:dyDescent="0.2">
      <c r="A45" s="2" t="str">
        <f>+_xlfn.XLOOKUP(B45,'[1]Proyectos (NO FILTRAR)'!$F:$F,'[1]Proyectos (NO FILTRAR)'!$B:$B,0,0,1)</f>
        <v>CH-BHP-OP-OTR00-145-A</v>
      </c>
      <c r="B45" s="118" t="s">
        <v>302</v>
      </c>
      <c r="C45" s="5" t="str">
        <f>+_xlfn.XLOOKUP(A45,'[1]Proyectos (NO FILTRAR)'!$B:$B,'[1]Proyectos (NO FILTRAR)'!$G:$G,"error",0,1)</f>
        <v>Chile</v>
      </c>
      <c r="D45" s="5">
        <v>2025</v>
      </c>
      <c r="E45" s="5" t="s">
        <v>358</v>
      </c>
      <c r="F45" s="5" t="s">
        <v>32</v>
      </c>
      <c r="G45" s="14"/>
      <c r="H45" s="14" t="s">
        <v>29</v>
      </c>
      <c r="I45" s="6">
        <f>+_xlfn.XLOOKUP(B45,'[1]Proyectos (NO FILTRAR)'!$F:$F,'[1]Proyectos (NO FILTRAR)'!$O:$O,"!",0,1)</f>
        <v>47590</v>
      </c>
      <c r="J45" s="51">
        <f t="shared" si="8"/>
        <v>47590</v>
      </c>
      <c r="K45" s="47">
        <f t="shared" si="9"/>
        <v>1</v>
      </c>
      <c r="L45" s="7"/>
      <c r="M45" s="52">
        <f t="shared" si="10"/>
        <v>0</v>
      </c>
      <c r="N45" s="65">
        <f t="shared" si="11"/>
        <v>47590</v>
      </c>
      <c r="O45" s="52">
        <f t="shared" si="12"/>
        <v>1</v>
      </c>
      <c r="P45" s="65"/>
      <c r="Q45" s="48"/>
      <c r="R45" s="48"/>
      <c r="S45" s="68"/>
      <c r="T45" s="71"/>
      <c r="U45" s="68"/>
      <c r="V45" s="108">
        <v>29950</v>
      </c>
      <c r="W45" s="68">
        <v>19000</v>
      </c>
      <c r="X45" s="71"/>
      <c r="Y45" s="68">
        <v>6410</v>
      </c>
      <c r="Z45" s="71">
        <v>11230</v>
      </c>
      <c r="AA45" s="68"/>
      <c r="AB45" s="110">
        <v>6410</v>
      </c>
      <c r="AC45" s="68"/>
      <c r="AD45" s="71"/>
      <c r="AE45" s="68"/>
      <c r="AF45" s="71"/>
      <c r="AG45" s="68"/>
      <c r="AH45" s="71"/>
      <c r="AI45" s="68"/>
      <c r="AJ45" s="71"/>
      <c r="AK45" s="68"/>
      <c r="AL45" s="71"/>
      <c r="AM45" s="68"/>
      <c r="AN45" s="101"/>
      <c r="AO45" s="67">
        <f>+_xlfn.XLOOKUP(A45,'[5]Resumen POM'!$O:$O,'[5]Resumen POM'!$J:$J,0,0,1)</f>
        <v>0</v>
      </c>
      <c r="AP45" s="71"/>
      <c r="AR45" s="103"/>
      <c r="AS45" s="103"/>
      <c r="AT45" s="103"/>
    </row>
    <row r="46" spans="1:46" ht="14.25" customHeight="1" x14ac:dyDescent="0.2">
      <c r="A46" s="2" t="str">
        <f>+_xlfn.XLOOKUP(B46,'[1]Proyectos (NO FILTRAR)'!$F:$F,'[1]Proyectos (NO FILTRAR)'!$B:$B,0,0,1)</f>
        <v>PE-VLC-GM-FEL00-166-A</v>
      </c>
      <c r="B46" s="118" t="s">
        <v>346</v>
      </c>
      <c r="C46" s="5" t="str">
        <f>+_xlfn.XLOOKUP(A46,'[1]Proyectos (NO FILTRAR)'!$B:$B,'[1]Proyectos (NO FILTRAR)'!$G:$G,"error",0,1)</f>
        <v>Perú</v>
      </c>
      <c r="D46" s="5">
        <v>2025</v>
      </c>
      <c r="E46" s="5" t="s">
        <v>358</v>
      </c>
      <c r="F46" s="5" t="s">
        <v>162</v>
      </c>
      <c r="G46" s="14"/>
      <c r="H46" s="14"/>
      <c r="I46" s="6">
        <f>+_xlfn.XLOOKUP(B46,'[1]Proyectos (NO FILTRAR)'!$F:$F,'[1]Proyectos (NO FILTRAR)'!$O:$O,"!",0,1)</f>
        <v>38209</v>
      </c>
      <c r="J46" s="51">
        <f t="shared" si="8"/>
        <v>38209.1</v>
      </c>
      <c r="K46" s="47">
        <f t="shared" si="9"/>
        <v>1.000002617184433</v>
      </c>
      <c r="L46" s="7"/>
      <c r="M46" s="52">
        <f t="shared" si="10"/>
        <v>0</v>
      </c>
      <c r="N46" s="65">
        <f t="shared" si="11"/>
        <v>38209.1</v>
      </c>
      <c r="O46" s="52">
        <f t="shared" si="12"/>
        <v>1.000002617184433</v>
      </c>
      <c r="P46" s="65"/>
      <c r="Q46" s="48"/>
      <c r="R46" s="48"/>
      <c r="S46" s="68"/>
      <c r="T46" s="71"/>
      <c r="U46" s="68"/>
      <c r="V46" s="71"/>
      <c r="W46" s="68"/>
      <c r="X46" s="71"/>
      <c r="Y46" s="68"/>
      <c r="Z46" s="71"/>
      <c r="AA46" s="68"/>
      <c r="AB46" s="71"/>
      <c r="AC46" s="68"/>
      <c r="AD46" s="71"/>
      <c r="AE46" s="68"/>
      <c r="AF46" s="71"/>
      <c r="AG46" s="68">
        <v>19000</v>
      </c>
      <c r="AH46" s="136">
        <v>34388.1</v>
      </c>
      <c r="AI46" s="68">
        <v>3500</v>
      </c>
      <c r="AJ46" s="71"/>
      <c r="AK46" s="68">
        <v>3820.9000000000015</v>
      </c>
      <c r="AL46" s="136">
        <v>3821</v>
      </c>
      <c r="AM46" s="68"/>
      <c r="AN46" s="101"/>
      <c r="AO46" s="67">
        <f>+_xlfn.XLOOKUP(A46,'[5]Resumen POM'!$O:$O,'[5]Resumen POM'!$J:$J,0,0,1)</f>
        <v>0</v>
      </c>
      <c r="AP46" s="71"/>
      <c r="AR46" s="103"/>
      <c r="AS46" s="103"/>
      <c r="AT46" s="103"/>
    </row>
    <row r="47" spans="1:46" ht="14.25" customHeight="1" x14ac:dyDescent="0.2">
      <c r="A47" s="2" t="str">
        <f>+_xlfn.XLOOKUP(B47,'[1]Proyectos (NO FILTRAR)'!$F:$F,'[1]Proyectos (NO FILTRAR)'!$B:$B,0,0,1)</f>
        <v>CH-BHP-OP-OTR00-140-A</v>
      </c>
      <c r="B47" s="118" t="s">
        <v>299</v>
      </c>
      <c r="C47" s="5" t="str">
        <f>+_xlfn.XLOOKUP(A47,'[1]Proyectos (NO FILTRAR)'!$B:$B,'[1]Proyectos (NO FILTRAR)'!$G:$G,"error",0,1)</f>
        <v>Chile</v>
      </c>
      <c r="D47" s="5">
        <v>2025</v>
      </c>
      <c r="E47" s="5" t="s">
        <v>358</v>
      </c>
      <c r="F47" s="5" t="s">
        <v>32</v>
      </c>
      <c r="G47" s="14"/>
      <c r="H47" s="14"/>
      <c r="I47" s="6">
        <f>+_xlfn.XLOOKUP(B47,'[1]Proyectos (NO FILTRAR)'!$F:$F,'[1]Proyectos (NO FILTRAR)'!$O:$O,"!",0,1)</f>
        <v>37400</v>
      </c>
      <c r="J47" s="51">
        <f t="shared" si="8"/>
        <v>37400</v>
      </c>
      <c r="K47" s="47">
        <f t="shared" si="9"/>
        <v>1</v>
      </c>
      <c r="L47" s="7"/>
      <c r="M47" s="52">
        <f t="shared" si="10"/>
        <v>0</v>
      </c>
      <c r="N47" s="65">
        <f t="shared" si="11"/>
        <v>37400</v>
      </c>
      <c r="O47" s="52">
        <f t="shared" si="12"/>
        <v>1</v>
      </c>
      <c r="P47" s="65"/>
      <c r="Q47" s="48"/>
      <c r="R47" s="48"/>
      <c r="S47" s="68"/>
      <c r="T47" s="71"/>
      <c r="U47" s="68"/>
      <c r="V47" s="110">
        <v>37400</v>
      </c>
      <c r="W47" s="68"/>
      <c r="X47" s="71"/>
      <c r="Y47" s="68"/>
      <c r="Z47" s="71"/>
      <c r="AA47" s="68"/>
      <c r="AB47" s="71"/>
      <c r="AC47" s="68"/>
      <c r="AD47" s="71"/>
      <c r="AE47" s="68"/>
      <c r="AF47" s="71"/>
      <c r="AG47" s="68"/>
      <c r="AH47" s="71"/>
      <c r="AI47" s="68"/>
      <c r="AJ47" s="71"/>
      <c r="AK47" s="68"/>
      <c r="AL47" s="71"/>
      <c r="AM47" s="68"/>
      <c r="AN47" s="101"/>
      <c r="AO47" s="67">
        <f>+_xlfn.XLOOKUP(A47,'[5]Resumen POM'!$O:$O,'[5]Resumen POM'!$J:$J,0,0,1)</f>
        <v>0</v>
      </c>
      <c r="AP47" s="71"/>
      <c r="AR47" s="103"/>
      <c r="AS47" s="103"/>
      <c r="AT47" s="103"/>
    </row>
    <row r="48" spans="1:46" ht="14.25" customHeight="1" x14ac:dyDescent="0.2">
      <c r="A48" s="2" t="str">
        <f>+_xlfn.XLOOKUP(B48,'[1]Proyectos (NO FILTRAR)'!$F:$F,'[1]Proyectos (NO FILTRAR)'!$B:$B,0,0,1)</f>
        <v>PE-HUD-GM-FEL00-153-A</v>
      </c>
      <c r="B48" s="118" t="s">
        <v>320</v>
      </c>
      <c r="C48" s="5" t="str">
        <f>+_xlfn.XLOOKUP(A48,'[1]Proyectos (NO FILTRAR)'!$B:$B,'[1]Proyectos (NO FILTRAR)'!$G:$G,"error",0,1)</f>
        <v>Perú</v>
      </c>
      <c r="D48" s="5">
        <v>2025</v>
      </c>
      <c r="E48" s="5" t="s">
        <v>358</v>
      </c>
      <c r="F48" s="5" t="s">
        <v>162</v>
      </c>
      <c r="G48" s="14"/>
      <c r="H48" s="14"/>
      <c r="I48" s="6">
        <f>+_xlfn.XLOOKUP(B48,'[1]Proyectos (NO FILTRAR)'!$F:$F,'[1]Proyectos (NO FILTRAR)'!$O:$O,"!",0,1)</f>
        <v>36720</v>
      </c>
      <c r="J48" s="51">
        <f t="shared" si="8"/>
        <v>36720</v>
      </c>
      <c r="K48" s="47">
        <f t="shared" si="9"/>
        <v>1</v>
      </c>
      <c r="L48" s="7"/>
      <c r="M48" s="52">
        <f t="shared" si="10"/>
        <v>0</v>
      </c>
      <c r="N48" s="65">
        <f t="shared" si="11"/>
        <v>36720</v>
      </c>
      <c r="O48" s="52">
        <f t="shared" si="12"/>
        <v>1</v>
      </c>
      <c r="P48" s="65"/>
      <c r="Q48" s="48"/>
      <c r="R48" s="48"/>
      <c r="S48" s="68"/>
      <c r="T48" s="71"/>
      <c r="U48" s="68"/>
      <c r="V48" s="71"/>
      <c r="W48" s="68"/>
      <c r="X48" s="71"/>
      <c r="Y48" s="68"/>
      <c r="Z48" s="71"/>
      <c r="AA48" s="68">
        <v>38720</v>
      </c>
      <c r="AB48" s="71">
        <v>36720</v>
      </c>
      <c r="AC48" s="68"/>
      <c r="AD48" s="71"/>
      <c r="AE48" s="68"/>
      <c r="AF48" s="71"/>
      <c r="AG48" s="68"/>
      <c r="AH48" s="71"/>
      <c r="AI48" s="68"/>
      <c r="AJ48" s="71"/>
      <c r="AK48" s="68"/>
      <c r="AL48" s="71"/>
      <c r="AM48" s="68"/>
      <c r="AN48" s="101"/>
      <c r="AO48" s="67">
        <f>+_xlfn.XLOOKUP(A48,'[5]Resumen POM'!$O:$O,'[5]Resumen POM'!$J:$J,0,0,1)</f>
        <v>0</v>
      </c>
      <c r="AP48" s="71"/>
      <c r="AR48" s="103"/>
      <c r="AS48" s="103"/>
      <c r="AT48" s="103"/>
    </row>
    <row r="49" spans="1:46" ht="14.25" customHeight="1" x14ac:dyDescent="0.2">
      <c r="A49" s="2" t="str">
        <f>+_xlfn.XLOOKUP(B49,'[1]Proyectos (NO FILTRAR)'!$F:$F,'[1]Proyectos (NO FILTRAR)'!$B:$B,0,0,1)</f>
        <v>CH-COD-CS-OTR00-128-A</v>
      </c>
      <c r="B49" s="118" t="s">
        <v>278</v>
      </c>
      <c r="C49" s="5" t="str">
        <f>+_xlfn.XLOOKUP(A49,'[1]Proyectos (NO FILTRAR)'!$B:$B,'[1]Proyectos (NO FILTRAR)'!$G:$G,"error",0,1)</f>
        <v>Chile</v>
      </c>
      <c r="D49" s="5">
        <v>2024</v>
      </c>
      <c r="E49" s="5" t="s">
        <v>358</v>
      </c>
      <c r="F49" s="5" t="s">
        <v>34</v>
      </c>
      <c r="G49" s="14"/>
      <c r="H49" s="14" t="s">
        <v>258</v>
      </c>
      <c r="I49" s="6">
        <f>+_xlfn.XLOOKUP(B49,'[1]Proyectos (NO FILTRAR)'!$F:$F,'[1]Proyectos (NO FILTRAR)'!$O:$O,"!",0,1)</f>
        <v>36418</v>
      </c>
      <c r="J49" s="51">
        <f t="shared" si="8"/>
        <v>36418</v>
      </c>
      <c r="K49" s="47">
        <f t="shared" si="9"/>
        <v>1</v>
      </c>
      <c r="L49" s="7"/>
      <c r="M49" s="52">
        <f t="shared" si="10"/>
        <v>0</v>
      </c>
      <c r="N49" s="65">
        <f t="shared" si="11"/>
        <v>36418</v>
      </c>
      <c r="O49" s="52">
        <f t="shared" si="12"/>
        <v>1</v>
      </c>
      <c r="P49" s="113"/>
      <c r="Q49" s="48">
        <v>29155</v>
      </c>
      <c r="R49" s="48">
        <f>+I49-Q49</f>
        <v>7263</v>
      </c>
      <c r="S49" s="68">
        <v>7623</v>
      </c>
      <c r="T49" s="71">
        <v>7263</v>
      </c>
      <c r="U49" s="68"/>
      <c r="V49" s="71"/>
      <c r="W49" s="68"/>
      <c r="X49" s="71"/>
      <c r="Y49" s="68"/>
      <c r="Z49" s="71"/>
      <c r="AA49" s="68"/>
      <c r="AB49" s="71"/>
      <c r="AC49" s="68"/>
      <c r="AD49" s="71"/>
      <c r="AE49" s="68"/>
      <c r="AF49" s="71"/>
      <c r="AG49" s="68"/>
      <c r="AH49" s="71"/>
      <c r="AI49" s="68"/>
      <c r="AJ49" s="71"/>
      <c r="AK49" s="68"/>
      <c r="AL49" s="71"/>
      <c r="AM49" s="68"/>
      <c r="AN49" s="101"/>
      <c r="AO49" s="67">
        <f>+_xlfn.XLOOKUP(A49,'[5]Resumen POM'!$O:$O,'[5]Resumen POM'!$J:$J,0,0,1)</f>
        <v>0</v>
      </c>
      <c r="AP49" s="71"/>
      <c r="AR49" s="103"/>
      <c r="AS49" s="103"/>
      <c r="AT49" s="103"/>
    </row>
    <row r="50" spans="1:46" ht="14.25" customHeight="1" x14ac:dyDescent="0.2">
      <c r="A50" s="2" t="str">
        <f>+_xlfn.XLOOKUP(B50,'[1]Proyectos (NO FILTRAR)'!$F:$F,'[1]Proyectos (NO FILTRAR)'!$B:$B,0,0,1)</f>
        <v>PE-MSR-UG-OTR00-162-A</v>
      </c>
      <c r="B50" s="118" t="s">
        <v>348</v>
      </c>
      <c r="C50" s="5" t="str">
        <f>+_xlfn.XLOOKUP(A50,'[1]Proyectos (NO FILTRAR)'!$B:$B,'[1]Proyectos (NO FILTRAR)'!$G:$G,"error",0,1)</f>
        <v>Perú</v>
      </c>
      <c r="D50" s="5">
        <v>2025</v>
      </c>
      <c r="E50" s="5" t="s">
        <v>358</v>
      </c>
      <c r="F50" s="5" t="s">
        <v>39</v>
      </c>
      <c r="G50" s="14"/>
      <c r="H50" s="14"/>
      <c r="I50" s="6">
        <f>+_xlfn.XLOOKUP(B50,'[1]Proyectos (NO FILTRAR)'!$F:$F,'[1]Proyectos (NO FILTRAR)'!$O:$O,"!",0,1)</f>
        <v>35690</v>
      </c>
      <c r="J50" s="51">
        <f t="shared" si="8"/>
        <v>35690</v>
      </c>
      <c r="K50" s="47">
        <f t="shared" si="9"/>
        <v>1</v>
      </c>
      <c r="L50" s="7"/>
      <c r="M50" s="52">
        <f t="shared" si="10"/>
        <v>0</v>
      </c>
      <c r="N50" s="65">
        <f t="shared" si="11"/>
        <v>35690</v>
      </c>
      <c r="O50" s="52">
        <f t="shared" si="12"/>
        <v>1</v>
      </c>
      <c r="P50" s="65"/>
      <c r="Q50" s="48"/>
      <c r="R50" s="48"/>
      <c r="S50" s="68"/>
      <c r="T50" s="71"/>
      <c r="U50" s="68"/>
      <c r="V50" s="71"/>
      <c r="W50" s="68"/>
      <c r="X50" s="71"/>
      <c r="Y50" s="68"/>
      <c r="Z50" s="71"/>
      <c r="AA50" s="68"/>
      <c r="AB50" s="71"/>
      <c r="AC50" s="68"/>
      <c r="AD50" s="71"/>
      <c r="AE50" s="68"/>
      <c r="AF50" s="116">
        <v>35690</v>
      </c>
      <c r="AG50" s="68"/>
      <c r="AH50" s="71"/>
      <c r="AI50" s="68"/>
      <c r="AJ50" s="70"/>
      <c r="AK50" s="68"/>
      <c r="AL50" s="71"/>
      <c r="AM50" s="68"/>
      <c r="AN50" s="101"/>
      <c r="AO50" s="67">
        <f>+_xlfn.XLOOKUP(A50,'[5]Resumen POM'!$O:$O,'[5]Resumen POM'!$J:$J,0,0,1)</f>
        <v>0</v>
      </c>
      <c r="AP50" s="71"/>
      <c r="AR50" s="103"/>
      <c r="AS50" s="103"/>
      <c r="AT50" s="103"/>
    </row>
    <row r="51" spans="1:46" ht="14.25" customHeight="1" x14ac:dyDescent="0.2">
      <c r="A51" s="2" t="str">
        <f>+_xlfn.XLOOKUP(B51,'[1]Proyectos (NO FILTRAR)'!$F:$F,'[1]Proyectos (NO FILTRAR)'!$B:$B,0,0,1)</f>
        <v>PE-NEX-CS-OTR00-168-A</v>
      </c>
      <c r="B51" s="118" t="s">
        <v>355</v>
      </c>
      <c r="C51" s="5" t="str">
        <f>+_xlfn.XLOOKUP(A51,'[1]Proyectos (NO FILTRAR)'!$B:$B,'[1]Proyectos (NO FILTRAR)'!$G:$G,"error",0,1)</f>
        <v>Perú</v>
      </c>
      <c r="D51" s="5">
        <v>2025</v>
      </c>
      <c r="E51" s="5" t="s">
        <v>358</v>
      </c>
      <c r="F51" s="5" t="s">
        <v>162</v>
      </c>
      <c r="G51" s="14"/>
      <c r="H51" s="14"/>
      <c r="I51" s="6">
        <f>+_xlfn.XLOOKUP(B51,'[1]Proyectos (NO FILTRAR)'!$F:$F,'[1]Proyectos (NO FILTRAR)'!$O:$O,"!",0,1)</f>
        <v>29716</v>
      </c>
      <c r="J51" s="51">
        <f t="shared" si="8"/>
        <v>29716</v>
      </c>
      <c r="K51" s="47">
        <f t="shared" si="9"/>
        <v>1</v>
      </c>
      <c r="L51" s="7"/>
      <c r="M51" s="52">
        <f t="shared" si="10"/>
        <v>0</v>
      </c>
      <c r="N51" s="65">
        <f t="shared" si="11"/>
        <v>29716</v>
      </c>
      <c r="O51" s="52">
        <f t="shared" si="12"/>
        <v>1</v>
      </c>
      <c r="P51" s="65"/>
      <c r="Q51" s="48"/>
      <c r="R51" s="48"/>
      <c r="S51" s="68"/>
      <c r="T51" s="71"/>
      <c r="U51" s="68"/>
      <c r="V51" s="71"/>
      <c r="W51" s="68"/>
      <c r="X51" s="71"/>
      <c r="Y51" s="68"/>
      <c r="Z51" s="71"/>
      <c r="AA51" s="68"/>
      <c r="AB51" s="71"/>
      <c r="AC51" s="68"/>
      <c r="AD51" s="71"/>
      <c r="AE51" s="68"/>
      <c r="AF51" s="71"/>
      <c r="AG51" s="68"/>
      <c r="AH51" s="71"/>
      <c r="AI51" s="68">
        <v>29716</v>
      </c>
      <c r="AJ51" s="71"/>
      <c r="AK51" s="68">
        <v>29716</v>
      </c>
      <c r="AL51" s="136">
        <v>29716</v>
      </c>
      <c r="AM51" s="68"/>
      <c r="AN51" s="101"/>
      <c r="AO51" s="67">
        <f>+_xlfn.XLOOKUP(A51,'[5]Resumen POM'!$O:$O,'[5]Resumen POM'!$J:$J,0,0,1)</f>
        <v>0</v>
      </c>
      <c r="AP51" s="71"/>
      <c r="AR51" s="103"/>
      <c r="AS51" s="103"/>
      <c r="AT51" s="103"/>
    </row>
    <row r="52" spans="1:46" ht="14.25" customHeight="1" x14ac:dyDescent="0.2">
      <c r="A52" s="2" t="str">
        <f>+_xlfn.XLOOKUP(B52,'[1]Proyectos (NO FILTRAR)'!$F:$F,'[1]Proyectos (NO FILTRAR)'!$B:$B,0,0,1)</f>
        <v>PE-VLC-GM-FEL00-157-A</v>
      </c>
      <c r="B52" s="118" t="s">
        <v>324</v>
      </c>
      <c r="C52" s="5" t="str">
        <f>+_xlfn.XLOOKUP(A52,'[1]Proyectos (NO FILTRAR)'!$B:$B,'[1]Proyectos (NO FILTRAR)'!$G:$G,"error",0,1)</f>
        <v>Perú</v>
      </c>
      <c r="D52" s="5">
        <v>2025</v>
      </c>
      <c r="E52" s="5" t="s">
        <v>358</v>
      </c>
      <c r="F52" s="5" t="s">
        <v>162</v>
      </c>
      <c r="G52" s="14"/>
      <c r="H52" s="14"/>
      <c r="I52" s="6">
        <f>+_xlfn.XLOOKUP(B52,'[1]Proyectos (NO FILTRAR)'!$F:$F,'[1]Proyectos (NO FILTRAR)'!$O:$O,"!",0,1)</f>
        <v>24440</v>
      </c>
      <c r="J52" s="51">
        <f t="shared" si="8"/>
        <v>24440</v>
      </c>
      <c r="K52" s="47">
        <f t="shared" si="9"/>
        <v>1</v>
      </c>
      <c r="L52" s="7"/>
      <c r="M52" s="52">
        <f t="shared" si="10"/>
        <v>0</v>
      </c>
      <c r="N52" s="65">
        <f t="shared" si="11"/>
        <v>24440</v>
      </c>
      <c r="O52" s="52">
        <f t="shared" si="12"/>
        <v>1</v>
      </c>
      <c r="P52" s="65"/>
      <c r="Q52" s="48"/>
      <c r="R52" s="48"/>
      <c r="S52" s="68"/>
      <c r="T52" s="71"/>
      <c r="U52" s="68"/>
      <c r="V52" s="71"/>
      <c r="W52" s="68"/>
      <c r="X52" s="71"/>
      <c r="Y52" s="68"/>
      <c r="Z52" s="71"/>
      <c r="AA52" s="68"/>
      <c r="AB52" s="71"/>
      <c r="AC52" s="68"/>
      <c r="AD52" s="71"/>
      <c r="AE52" s="68">
        <v>24440</v>
      </c>
      <c r="AF52" s="71"/>
      <c r="AG52" s="68">
        <v>24440</v>
      </c>
      <c r="AH52" s="71"/>
      <c r="AI52" s="68">
        <v>24400</v>
      </c>
      <c r="AJ52" s="136">
        <v>24440</v>
      </c>
      <c r="AK52" s="68"/>
      <c r="AL52" s="71"/>
      <c r="AM52" s="68"/>
      <c r="AN52" s="101"/>
      <c r="AO52" s="67">
        <f>+_xlfn.XLOOKUP(A52,'[5]Resumen POM'!$O:$O,'[5]Resumen POM'!$J:$J,0,0,1)</f>
        <v>0</v>
      </c>
      <c r="AP52" s="71"/>
      <c r="AR52" s="103"/>
      <c r="AS52" s="103"/>
      <c r="AT52" s="103"/>
    </row>
    <row r="53" spans="1:46" ht="14.25" customHeight="1" x14ac:dyDescent="0.2">
      <c r="A53" s="2" t="str">
        <f>+_xlfn.XLOOKUP(B53,'[1]Proyectos (NO FILTRAR)'!$F:$F,'[1]Proyectos (NO FILTRAR)'!$B:$B,0,0,1)</f>
        <v>CH-CMP-OP-FEL00-155-A</v>
      </c>
      <c r="B53" s="118" t="s">
        <v>322</v>
      </c>
      <c r="C53" s="5" t="str">
        <f>+_xlfn.XLOOKUP(A53,'[1]Proyectos (NO FILTRAR)'!$B:$B,'[1]Proyectos (NO FILTRAR)'!$G:$G,"error",0,1)</f>
        <v>Chile</v>
      </c>
      <c r="D53" s="5">
        <v>2025</v>
      </c>
      <c r="E53" s="5" t="s">
        <v>358</v>
      </c>
      <c r="F53" s="5" t="s">
        <v>32</v>
      </c>
      <c r="G53" s="14"/>
      <c r="H53" s="14"/>
      <c r="I53" s="6">
        <f>+_xlfn.XLOOKUP(B53,'[1]Proyectos (NO FILTRAR)'!$F:$F,'[1]Proyectos (NO FILTRAR)'!$O:$O,"!",0,1)</f>
        <v>20733</v>
      </c>
      <c r="J53" s="51">
        <f t="shared" si="8"/>
        <v>20733</v>
      </c>
      <c r="K53" s="47">
        <f t="shared" si="9"/>
        <v>1</v>
      </c>
      <c r="L53" s="7"/>
      <c r="M53" s="52">
        <f t="shared" si="10"/>
        <v>0</v>
      </c>
      <c r="N53" s="65">
        <f t="shared" si="11"/>
        <v>20733</v>
      </c>
      <c r="O53" s="52">
        <f t="shared" si="12"/>
        <v>1</v>
      </c>
      <c r="P53" s="65"/>
      <c r="Q53" s="48"/>
      <c r="R53" s="48"/>
      <c r="S53" s="68"/>
      <c r="T53" s="71"/>
      <c r="U53" s="68"/>
      <c r="V53" s="71"/>
      <c r="W53" s="68"/>
      <c r="X53" s="71"/>
      <c r="Y53" s="68"/>
      <c r="Z53" s="71"/>
      <c r="AA53" s="68"/>
      <c r="AB53" s="71"/>
      <c r="AC53" s="68"/>
      <c r="AD53" s="108">
        <v>5398</v>
      </c>
      <c r="AE53" s="68">
        <v>15389.59</v>
      </c>
      <c r="AF53" s="116"/>
      <c r="AG53" s="68">
        <v>6679.6900000000005</v>
      </c>
      <c r="AH53" s="71"/>
      <c r="AI53" s="68">
        <v>15000</v>
      </c>
      <c r="AJ53" s="150">
        <v>15335</v>
      </c>
      <c r="AK53" s="68"/>
      <c r="AL53" s="71"/>
      <c r="AM53" s="68"/>
      <c r="AN53" s="101"/>
      <c r="AO53" s="67">
        <f>+_xlfn.XLOOKUP(A53,'[5]Resumen POM'!$O:$O,'[5]Resumen POM'!$J:$J,0,0,1)</f>
        <v>0</v>
      </c>
      <c r="AP53" s="71"/>
      <c r="AR53" s="103"/>
      <c r="AS53" s="103"/>
      <c r="AT53" s="103"/>
    </row>
    <row r="54" spans="1:46" ht="14.25" customHeight="1" x14ac:dyDescent="0.2">
      <c r="A54" s="2" t="str">
        <f>+_xlfn.XLOOKUP(B54,'[1]Proyectos (NO FILTRAR)'!$F:$F,'[1]Proyectos (NO FILTRAR)'!$B:$B,0,0,1)</f>
        <v>CH-PUC-CS-OTR00-170-A</v>
      </c>
      <c r="B54" s="118" t="s">
        <v>357</v>
      </c>
      <c r="C54" s="5" t="str">
        <f>+_xlfn.XLOOKUP(A54,'[1]Proyectos (NO FILTRAR)'!$B:$B,'[1]Proyectos (NO FILTRAR)'!$G:$G,"error",0,1)</f>
        <v>Chile</v>
      </c>
      <c r="D54" s="5">
        <v>2025</v>
      </c>
      <c r="E54" s="5" t="s">
        <v>358</v>
      </c>
      <c r="F54" s="5" t="s">
        <v>32</v>
      </c>
      <c r="G54" s="14"/>
      <c r="H54" s="14"/>
      <c r="I54" s="6">
        <f>+_xlfn.XLOOKUP(B54,'[1]Proyectos (NO FILTRAR)'!$F:$F,'[1]Proyectos (NO FILTRAR)'!$O:$O,"!",0,1)</f>
        <v>20350</v>
      </c>
      <c r="J54" s="51">
        <f t="shared" si="8"/>
        <v>10175</v>
      </c>
      <c r="K54" s="47">
        <f t="shared" si="9"/>
        <v>0.5</v>
      </c>
      <c r="L54" s="7"/>
      <c r="M54" s="52">
        <f t="shared" si="10"/>
        <v>0</v>
      </c>
      <c r="N54" s="65">
        <f t="shared" si="11"/>
        <v>10175</v>
      </c>
      <c r="O54" s="52">
        <f t="shared" si="12"/>
        <v>0.5</v>
      </c>
      <c r="P54" s="65"/>
      <c r="Q54" s="48"/>
      <c r="R54" s="48"/>
      <c r="S54" s="68"/>
      <c r="T54" s="71"/>
      <c r="U54" s="68"/>
      <c r="V54" s="71"/>
      <c r="W54" s="68"/>
      <c r="X54" s="71"/>
      <c r="Y54" s="68"/>
      <c r="Z54" s="71"/>
      <c r="AA54" s="68"/>
      <c r="AB54" s="71"/>
      <c r="AC54" s="68"/>
      <c r="AD54" s="71"/>
      <c r="AE54" s="68"/>
      <c r="AF54" s="71"/>
      <c r="AG54" s="68"/>
      <c r="AH54" s="71"/>
      <c r="AI54" s="68">
        <v>12000</v>
      </c>
      <c r="AJ54" s="150">
        <v>10175</v>
      </c>
      <c r="AK54" s="68"/>
      <c r="AL54" s="71"/>
      <c r="AM54" s="68"/>
      <c r="AN54" s="101"/>
      <c r="AO54" s="67">
        <f>+_xlfn.XLOOKUP(A54,'[5]Resumen POM'!$O:$O,'[5]Resumen POM'!$J:$J,0,0,1)</f>
        <v>0</v>
      </c>
      <c r="AP54" s="71"/>
      <c r="AR54" s="103"/>
      <c r="AS54" s="103"/>
      <c r="AT54" s="103"/>
    </row>
    <row r="55" spans="1:46" ht="14.25" customHeight="1" x14ac:dyDescent="0.2">
      <c r="A55" s="2" t="str">
        <f>+_xlfn.XLOOKUP(B55,'[1]Proyectos (NO FILTRAR)'!$F:$F,'[1]Proyectos (NO FILTRAR)'!$B:$B,0,0,1)</f>
        <v>CH-COL-CS-OTR00-180-A</v>
      </c>
      <c r="B55" s="118" t="s">
        <v>438</v>
      </c>
      <c r="C55" s="5" t="str">
        <f>+_xlfn.XLOOKUP(A55,'[1]Proyectos (NO FILTRAR)'!$B:$B,'[1]Proyectos (NO FILTRAR)'!$G:$G,"error",0,1)</f>
        <v>Chile</v>
      </c>
      <c r="D55" s="5">
        <v>2025</v>
      </c>
      <c r="E55" s="5" t="s">
        <v>358</v>
      </c>
      <c r="F55" s="5" t="s">
        <v>32</v>
      </c>
      <c r="G55" s="14"/>
      <c r="H55" s="14"/>
      <c r="I55" s="6">
        <f>+_xlfn.XLOOKUP(B55,'[1]Proyectos (NO FILTRAR)'!$F:$F,'[1]Proyectos (NO FILTRAR)'!$O:$O,"!",0,1)</f>
        <v>52492</v>
      </c>
      <c r="J55" s="51">
        <f t="shared" si="8"/>
        <v>54266</v>
      </c>
      <c r="K55" s="47">
        <f t="shared" si="9"/>
        <v>1.0337956260001524</v>
      </c>
      <c r="L55" s="7"/>
      <c r="M55" s="52">
        <f t="shared" si="10"/>
        <v>0</v>
      </c>
      <c r="N55" s="65">
        <f t="shared" si="11"/>
        <v>61266</v>
      </c>
      <c r="O55" s="52">
        <f t="shared" si="12"/>
        <v>1.167149279890269</v>
      </c>
      <c r="P55" s="65"/>
      <c r="Q55" s="48"/>
      <c r="R55" s="48"/>
      <c r="S55" s="68"/>
      <c r="T55" s="71"/>
      <c r="U55" s="68"/>
      <c r="V55" s="71"/>
      <c r="W55" s="68"/>
      <c r="X55" s="71"/>
      <c r="Y55" s="68"/>
      <c r="Z55" s="71"/>
      <c r="AA55" s="68"/>
      <c r="AB55" s="71"/>
      <c r="AC55" s="68"/>
      <c r="AD55" s="71"/>
      <c r="AE55" s="68"/>
      <c r="AF55" s="71"/>
      <c r="AG55" s="68"/>
      <c r="AH55" s="71"/>
      <c r="AI55" s="68"/>
      <c r="AJ55" s="70"/>
      <c r="AK55" s="68">
        <v>20000</v>
      </c>
      <c r="AL55" s="136">
        <v>33407</v>
      </c>
      <c r="AM55" s="68">
        <v>7000</v>
      </c>
      <c r="AN55" s="136">
        <v>7599</v>
      </c>
      <c r="AO55" s="67">
        <f>+_xlfn.XLOOKUP(A55,'[5]Resumen POM'!$O:$O,'[5]Resumen POM'!$J:$J,0,0,1)</f>
        <v>7000</v>
      </c>
      <c r="AP55" s="151">
        <f>7767+5493</f>
        <v>13260</v>
      </c>
      <c r="AR55" s="103"/>
      <c r="AS55" s="103"/>
      <c r="AT55" s="103"/>
    </row>
    <row r="56" spans="1:46" ht="14.25" customHeight="1" x14ac:dyDescent="0.2">
      <c r="A56" s="2" t="str">
        <f>+_xlfn.XLOOKUP(B56,'[1]Proyectos (NO FILTRAR)'!$F:$F,'[1]Proyectos (NO FILTRAR)'!$B:$B,0,0,1)</f>
        <v>CH-CRF-CS-FEL00-169-A</v>
      </c>
      <c r="B56" s="118" t="s">
        <v>356</v>
      </c>
      <c r="C56" s="5" t="str">
        <f>+_xlfn.XLOOKUP(A56,'[1]Proyectos (NO FILTRAR)'!$B:$B,'[1]Proyectos (NO FILTRAR)'!$G:$G,"error",0,1)</f>
        <v>Chile</v>
      </c>
      <c r="D56" s="5">
        <v>2025</v>
      </c>
      <c r="E56" s="5" t="s">
        <v>358</v>
      </c>
      <c r="F56" s="5" t="s">
        <v>315</v>
      </c>
      <c r="G56" s="14"/>
      <c r="H56" s="14"/>
      <c r="I56" s="6">
        <f>+_xlfn.XLOOKUP(B56,'[1]Proyectos (NO FILTRAR)'!$F:$F,'[1]Proyectos (NO FILTRAR)'!$O:$O,"!",0,1)</f>
        <v>40000</v>
      </c>
      <c r="J56" s="51">
        <f t="shared" si="8"/>
        <v>41838</v>
      </c>
      <c r="K56" s="47">
        <f t="shared" si="9"/>
        <v>1.0459499999999999</v>
      </c>
      <c r="L56" s="7"/>
      <c r="M56" s="52">
        <f t="shared" si="10"/>
        <v>0</v>
      </c>
      <c r="N56" s="65">
        <f t="shared" si="11"/>
        <v>78838</v>
      </c>
      <c r="O56" s="52">
        <f t="shared" si="12"/>
        <v>1.97095</v>
      </c>
      <c r="P56" s="65"/>
      <c r="Q56" s="48"/>
      <c r="R56" s="48"/>
      <c r="S56" s="68"/>
      <c r="T56" s="71"/>
      <c r="U56" s="68"/>
      <c r="V56" s="71"/>
      <c r="W56" s="68"/>
      <c r="X56" s="71"/>
      <c r="Y56" s="68"/>
      <c r="Z56" s="71"/>
      <c r="AA56" s="68"/>
      <c r="AB56" s="71"/>
      <c r="AC56" s="68"/>
      <c r="AD56" s="71"/>
      <c r="AE56" s="68"/>
      <c r="AF56" s="71"/>
      <c r="AG56" s="68"/>
      <c r="AH56" s="71"/>
      <c r="AI56" s="68">
        <v>25000</v>
      </c>
      <c r="AJ56" s="70"/>
      <c r="AK56" s="68">
        <v>38000</v>
      </c>
      <c r="AL56" s="71"/>
      <c r="AM56" s="68">
        <v>30000</v>
      </c>
      <c r="AN56" s="101"/>
      <c r="AO56" s="67">
        <f>+_xlfn.XLOOKUP(A56,'[5]Resumen POM'!$O:$O,'[5]Resumen POM'!$J:$J,0,0,1)</f>
        <v>37000</v>
      </c>
      <c r="AP56" s="151">
        <v>41838</v>
      </c>
      <c r="AR56" s="103"/>
      <c r="AS56" s="103"/>
      <c r="AT56" s="103"/>
    </row>
    <row r="57" spans="1:46" ht="14.25" customHeight="1" x14ac:dyDescent="0.2">
      <c r="A57" s="2" t="str">
        <f>+_xlfn.XLOOKUP(B57,'[1]Proyectos (NO FILTRAR)'!$F:$F,'[1]Proyectos (NO FILTRAR)'!$B:$B,0,0,1)</f>
        <v>CH-GLE-CS-OTR00-183-A</v>
      </c>
      <c r="B57" s="106" t="s">
        <v>447</v>
      </c>
      <c r="C57" s="5" t="str">
        <f>+_xlfn.XLOOKUP(A57,'[1]Proyectos (NO FILTRAR)'!$B:$B,'[1]Proyectos (NO FILTRAR)'!$G:$G,"error",0,1)</f>
        <v>Chile</v>
      </c>
      <c r="D57" s="5">
        <v>2025</v>
      </c>
      <c r="E57" s="5" t="s">
        <v>358</v>
      </c>
      <c r="F57" s="5" t="s">
        <v>450</v>
      </c>
      <c r="G57" s="14" t="s">
        <v>463</v>
      </c>
      <c r="H57" s="14"/>
      <c r="I57" s="6">
        <f>+_xlfn.XLOOKUP(B57,'[1]Proyectos (NO FILTRAR)'!$F:$F,'[1]Proyectos (NO FILTRAR)'!$O:$O,"!",0,1)</f>
        <v>198640</v>
      </c>
      <c r="J57" s="51">
        <f t="shared" si="8"/>
        <v>198640</v>
      </c>
      <c r="K57" s="47">
        <f t="shared" si="9"/>
        <v>1</v>
      </c>
      <c r="L57" s="7"/>
      <c r="M57" s="52">
        <f t="shared" si="10"/>
        <v>0</v>
      </c>
      <c r="N57" s="65">
        <f t="shared" si="11"/>
        <v>269140</v>
      </c>
      <c r="O57" s="52">
        <f t="shared" si="12"/>
        <v>1.3549134111961336</v>
      </c>
      <c r="P57" s="65"/>
      <c r="Q57" s="48"/>
      <c r="R57" s="48"/>
      <c r="S57" s="68"/>
      <c r="T57" s="71"/>
      <c r="U57" s="68"/>
      <c r="V57" s="71"/>
      <c r="W57" s="68"/>
      <c r="X57" s="71"/>
      <c r="Y57" s="68"/>
      <c r="Z57" s="71"/>
      <c r="AA57" s="68"/>
      <c r="AB57" s="71"/>
      <c r="AC57" s="68"/>
      <c r="AD57" s="71"/>
      <c r="AE57" s="68"/>
      <c r="AF57" s="71"/>
      <c r="AG57" s="68"/>
      <c r="AH57" s="71"/>
      <c r="AI57" s="68"/>
      <c r="AJ57" s="70"/>
      <c r="AK57" s="68"/>
      <c r="AL57" s="71"/>
      <c r="AM57" s="68">
        <v>73644</v>
      </c>
      <c r="AN57" s="136">
        <v>87783</v>
      </c>
      <c r="AO57" s="67">
        <f>+_xlfn.XLOOKUP(A57,'[5]Resumen POM'!$O:$O,'[5]Resumen POM'!$J:$J,0,0,1)</f>
        <v>70500</v>
      </c>
      <c r="AP57" s="151">
        <v>110857</v>
      </c>
      <c r="AR57" s="103"/>
      <c r="AS57" s="103"/>
      <c r="AT57" s="103"/>
    </row>
    <row r="58" spans="1:46" ht="14.25" customHeight="1" x14ac:dyDescent="0.2">
      <c r="A58" s="2" t="str">
        <f>+_xlfn.XLOOKUP(B58,'[1]Proyectos (NO FILTRAR)'!$F:$F,'[1]Proyectos (NO FILTRAR)'!$B:$B,0,0,1)</f>
        <v>PE-NEX-GM-FEL00-167-A</v>
      </c>
      <c r="B58" s="106" t="s">
        <v>347</v>
      </c>
      <c r="C58" s="5" t="str">
        <f>+_xlfn.XLOOKUP(A58,'[1]Proyectos (NO FILTRAR)'!$B:$B,'[1]Proyectos (NO FILTRAR)'!$G:$G,"error",0,1)</f>
        <v>Perú</v>
      </c>
      <c r="D58" s="5">
        <v>2025</v>
      </c>
      <c r="E58" s="5" t="s">
        <v>358</v>
      </c>
      <c r="F58" s="5" t="s">
        <v>162</v>
      </c>
      <c r="G58" s="14" t="s">
        <v>464</v>
      </c>
      <c r="H58" s="14"/>
      <c r="I58" s="6">
        <f>+_xlfn.XLOOKUP(B58,'[1]Proyectos (NO FILTRAR)'!$F:$F,'[1]Proyectos (NO FILTRAR)'!$O:$O,"!",0,1)</f>
        <v>80283</v>
      </c>
      <c r="J58" s="51">
        <f t="shared" si="8"/>
        <v>80282</v>
      </c>
      <c r="K58" s="47">
        <f t="shared" si="9"/>
        <v>0.9999875440628776</v>
      </c>
      <c r="L58" s="7"/>
      <c r="M58" s="52">
        <f t="shared" si="10"/>
        <v>0</v>
      </c>
      <c r="N58" s="65">
        <f t="shared" si="11"/>
        <v>97006</v>
      </c>
      <c r="O58" s="52">
        <f t="shared" si="12"/>
        <v>1.208300636498387</v>
      </c>
      <c r="P58" s="65"/>
      <c r="Q58" s="48"/>
      <c r="R58" s="48"/>
      <c r="S58" s="68"/>
      <c r="T58" s="71"/>
      <c r="U58" s="68"/>
      <c r="V58" s="71"/>
      <c r="W58" s="68"/>
      <c r="X58" s="71"/>
      <c r="Y58" s="68"/>
      <c r="Z58" s="71"/>
      <c r="AA58" s="68"/>
      <c r="AB58" s="71"/>
      <c r="AC58" s="68"/>
      <c r="AD58" s="71"/>
      <c r="AE58" s="68"/>
      <c r="AF58" s="71"/>
      <c r="AG58" s="68">
        <v>20000</v>
      </c>
      <c r="AH58" s="71">
        <v>0</v>
      </c>
      <c r="AI58" s="68">
        <v>20000</v>
      </c>
      <c r="AJ58" s="70"/>
      <c r="AK58" s="68">
        <v>20000</v>
      </c>
      <c r="AL58" s="136">
        <v>20759</v>
      </c>
      <c r="AM58" s="68">
        <v>30000</v>
      </c>
      <c r="AN58" s="136">
        <v>42800</v>
      </c>
      <c r="AO58" s="67">
        <f>+_xlfn.XLOOKUP(A58,'[5]Resumen POM'!$O:$O,'[5]Resumen POM'!$J:$J,0,0,1)</f>
        <v>16724</v>
      </c>
      <c r="AP58" s="151">
        <v>16723</v>
      </c>
      <c r="AR58" s="103"/>
      <c r="AS58" s="103"/>
      <c r="AT58" s="103"/>
    </row>
    <row r="59" spans="1:46" ht="14.25" customHeight="1" x14ac:dyDescent="0.2">
      <c r="A59" s="2" t="str">
        <f>+_xlfn.XLOOKUP(B59,'[1]Proyectos (NO FILTRAR)'!$F:$F,'[1]Proyectos (NO FILTRAR)'!$B:$B,0,0,1)</f>
        <v>PE-MSR-UG-FEL00-142-A</v>
      </c>
      <c r="B59" s="106" t="s">
        <v>305</v>
      </c>
      <c r="C59" s="5" t="str">
        <f>+_xlfn.XLOOKUP(A59,'[1]Proyectos (NO FILTRAR)'!$B:$B,'[1]Proyectos (NO FILTRAR)'!$G:$G,"error",0,1)</f>
        <v>Perú</v>
      </c>
      <c r="D59" s="5">
        <v>2025</v>
      </c>
      <c r="E59" s="5" t="s">
        <v>358</v>
      </c>
      <c r="F59" s="5" t="s">
        <v>109</v>
      </c>
      <c r="G59" s="14" t="s">
        <v>462</v>
      </c>
      <c r="H59" s="14"/>
      <c r="I59" s="6">
        <f>+_xlfn.XLOOKUP(B59,'[1]Proyectos (NO FILTRAR)'!$F:$F,'[1]Proyectos (NO FILTRAR)'!$O:$O,"!",0,1)</f>
        <v>248031</v>
      </c>
      <c r="J59" s="51">
        <f t="shared" si="8"/>
        <v>239635</v>
      </c>
      <c r="K59" s="47">
        <f t="shared" si="9"/>
        <v>0.96614939261624555</v>
      </c>
      <c r="L59" s="7"/>
      <c r="M59" s="52">
        <f t="shared" si="10"/>
        <v>0</v>
      </c>
      <c r="N59" s="65">
        <f t="shared" si="11"/>
        <v>239635</v>
      </c>
      <c r="O59" s="52">
        <f t="shared" si="12"/>
        <v>0.96614939261624555</v>
      </c>
      <c r="P59" s="65">
        <f>+I59-N59</f>
        <v>8396</v>
      </c>
      <c r="Q59" s="48"/>
      <c r="R59" s="48"/>
      <c r="S59" s="68"/>
      <c r="T59" s="71"/>
      <c r="U59" s="68"/>
      <c r="V59" s="71"/>
      <c r="W59" s="68">
        <v>30000</v>
      </c>
      <c r="X59" s="71"/>
      <c r="Y59" s="68"/>
      <c r="Z59" s="71">
        <v>76361</v>
      </c>
      <c r="AA59" s="68">
        <v>100000</v>
      </c>
      <c r="AB59" s="110"/>
      <c r="AC59" s="68">
        <v>59234</v>
      </c>
      <c r="AD59" s="71">
        <v>114681</v>
      </c>
      <c r="AE59" s="68">
        <v>30000</v>
      </c>
      <c r="AF59" s="71"/>
      <c r="AG59" s="68">
        <v>52138</v>
      </c>
      <c r="AH59" s="136">
        <v>23019</v>
      </c>
      <c r="AI59" s="68">
        <v>33970</v>
      </c>
      <c r="AJ59" s="136">
        <v>8564</v>
      </c>
      <c r="AK59" s="68">
        <v>25000</v>
      </c>
      <c r="AL59" s="136">
        <v>17010</v>
      </c>
      <c r="AM59" s="68">
        <v>8396</v>
      </c>
      <c r="AN59" s="101"/>
      <c r="AO59" s="67">
        <f>+_xlfn.XLOOKUP(A59,'[5]Resumen POM'!$O:$O,'[5]Resumen POM'!$J:$J,0,0,1)</f>
        <v>0</v>
      </c>
      <c r="AP59" s="71"/>
      <c r="AR59" s="103"/>
      <c r="AS59" s="103"/>
      <c r="AT59" s="103"/>
    </row>
    <row r="60" spans="1:46" ht="14.25" customHeight="1" x14ac:dyDescent="0.2">
      <c r="A60" s="2" t="str">
        <f>+_xlfn.XLOOKUP(B60,'[1]Proyectos (NO FILTRAR)'!$F:$F,'[1]Proyectos (NO FILTRAR)'!$B:$B,0,0,1)</f>
        <v>PE-MMG-UG-FEL2A-143-A</v>
      </c>
      <c r="B60" s="106" t="s">
        <v>306</v>
      </c>
      <c r="C60" s="5" t="str">
        <f>+_xlfn.XLOOKUP(A60,'[1]Proyectos (NO FILTRAR)'!$B:$B,'[1]Proyectos (NO FILTRAR)'!$G:$G,"error",0,1)</f>
        <v>Perú</v>
      </c>
      <c r="D60" s="5">
        <v>2025</v>
      </c>
      <c r="E60" s="5" t="s">
        <v>360</v>
      </c>
      <c r="F60" s="5" t="s">
        <v>35</v>
      </c>
      <c r="G60" s="14" t="s">
        <v>462</v>
      </c>
      <c r="H60" s="14"/>
      <c r="I60" s="6">
        <f>+_xlfn.XLOOKUP(B60,'[1]Proyectos (NO FILTRAR)'!$F:$F,'[1]Proyectos (NO FILTRAR)'!$O:$O,"!",0,1)</f>
        <v>1061121</v>
      </c>
      <c r="J60" s="51">
        <f t="shared" si="8"/>
        <v>998209.59000000008</v>
      </c>
      <c r="K60" s="47">
        <f t="shared" si="9"/>
        <v>0.94071231273342071</v>
      </c>
      <c r="L60" s="7">
        <f t="shared" ref="L60:L77" si="13">+I60-J60</f>
        <v>62911.409999999916</v>
      </c>
      <c r="M60" s="52">
        <f t="shared" si="10"/>
        <v>5.928768726657932E-2</v>
      </c>
      <c r="N60" s="65">
        <f t="shared" si="11"/>
        <v>998209.59000000008</v>
      </c>
      <c r="O60" s="52">
        <f t="shared" si="12"/>
        <v>0.94071231273342071</v>
      </c>
      <c r="P60" s="65"/>
      <c r="Q60" s="48"/>
      <c r="R60" s="48"/>
      <c r="S60" s="68"/>
      <c r="T60" s="71"/>
      <c r="U60" s="68"/>
      <c r="V60" s="71"/>
      <c r="W60" s="68">
        <v>50000</v>
      </c>
      <c r="X60" s="71">
        <v>58150</v>
      </c>
      <c r="Y60" s="68">
        <v>30000</v>
      </c>
      <c r="Z60" s="71"/>
      <c r="AA60" s="68">
        <v>110000</v>
      </c>
      <c r="AB60" s="110"/>
      <c r="AC60" s="68">
        <v>300000</v>
      </c>
      <c r="AD60" s="110">
        <v>453390.59</v>
      </c>
      <c r="AE60" s="68">
        <v>200000</v>
      </c>
      <c r="AF60" s="71"/>
      <c r="AG60" s="68">
        <v>150000</v>
      </c>
      <c r="AH60" s="136">
        <v>153520</v>
      </c>
      <c r="AI60" s="68">
        <v>150000</v>
      </c>
      <c r="AJ60" s="71"/>
      <c r="AK60" s="68">
        <v>81200</v>
      </c>
      <c r="AL60" s="136">
        <v>205079</v>
      </c>
      <c r="AM60" s="68"/>
      <c r="AN60" s="136">
        <v>119590</v>
      </c>
      <c r="AO60" s="67">
        <f>+_xlfn.XLOOKUP(A60,'[5]Resumen POM'!$O:$O,'[5]Resumen POM'!$J:$J,0,0,1)</f>
        <v>0</v>
      </c>
      <c r="AP60" s="136">
        <v>8480</v>
      </c>
      <c r="AR60" s="103"/>
      <c r="AS60" s="103"/>
      <c r="AT60" s="103"/>
    </row>
    <row r="61" spans="1:46" ht="14.25" customHeight="1" x14ac:dyDescent="0.2">
      <c r="A61" s="2" t="str">
        <f>+_xlfn.XLOOKUP(B61,'[1]Proyectos (NO FILTRAR)'!$F:$F,'[1]Proyectos (NO FILTRAR)'!$B:$B,0,0,1)</f>
        <v>BR-ERC-UG-FEL00-152-A</v>
      </c>
      <c r="B61" s="106" t="s">
        <v>319</v>
      </c>
      <c r="C61" s="5" t="str">
        <f>+_xlfn.XLOOKUP(A61,'[1]Proyectos (NO FILTRAR)'!$B:$B,'[1]Proyectos (NO FILTRAR)'!$G:$G,"error",0,1)</f>
        <v>Brasil</v>
      </c>
      <c r="D61" s="5">
        <v>2025</v>
      </c>
      <c r="E61" s="5" t="s">
        <v>360</v>
      </c>
      <c r="F61" s="5" t="s">
        <v>33</v>
      </c>
      <c r="G61" s="14" t="s">
        <v>463</v>
      </c>
      <c r="H61" s="14"/>
      <c r="I61" s="6">
        <f>+_xlfn.XLOOKUP(B61,'[1]Proyectos (NO FILTRAR)'!$F:$F,'[1]Proyectos (NO FILTRAR)'!$O:$O,"!",0,1)</f>
        <v>562180</v>
      </c>
      <c r="J61" s="51">
        <f t="shared" si="8"/>
        <v>373924</v>
      </c>
      <c r="K61" s="47">
        <f t="shared" si="9"/>
        <v>0.66513216407556297</v>
      </c>
      <c r="L61" s="7">
        <f t="shared" si="13"/>
        <v>188256</v>
      </c>
      <c r="M61" s="52">
        <f t="shared" si="10"/>
        <v>0.33486783592443703</v>
      </c>
      <c r="N61" s="65">
        <f t="shared" si="11"/>
        <v>423924</v>
      </c>
      <c r="O61" s="52">
        <f t="shared" si="12"/>
        <v>0.7540716496495784</v>
      </c>
      <c r="P61" s="65">
        <f>+I61-N61</f>
        <v>138256</v>
      </c>
      <c r="Q61" s="48"/>
      <c r="R61" s="48"/>
      <c r="S61" s="68"/>
      <c r="T61" s="71"/>
      <c r="U61" s="68"/>
      <c r="V61" s="71"/>
      <c r="W61" s="68"/>
      <c r="X61" s="71"/>
      <c r="Y61" s="68"/>
      <c r="Z61" s="71"/>
      <c r="AA61" s="68"/>
      <c r="AB61" s="71"/>
      <c r="AC61" s="68">
        <v>42000</v>
      </c>
      <c r="AD61" s="71">
        <v>58058</v>
      </c>
      <c r="AE61" s="68">
        <v>20000</v>
      </c>
      <c r="AF61" s="116">
        <v>22198</v>
      </c>
      <c r="AG61" s="68">
        <v>70000</v>
      </c>
      <c r="AH61" s="136">
        <v>73156</v>
      </c>
      <c r="AI61" s="68">
        <v>63649.320521143018</v>
      </c>
      <c r="AJ61" s="136">
        <v>70232</v>
      </c>
      <c r="AK61" s="68">
        <v>34500</v>
      </c>
      <c r="AL61" s="136">
        <v>38174</v>
      </c>
      <c r="AM61" s="68">
        <v>54500</v>
      </c>
      <c r="AN61" s="136">
        <v>61627</v>
      </c>
      <c r="AO61" s="67">
        <f>+_xlfn.XLOOKUP(A61,'[5]Resumen POM'!$O:$O,'[5]Resumen POM'!$J:$J,0,0,1)</f>
        <v>50000</v>
      </c>
      <c r="AP61" s="151">
        <v>50479</v>
      </c>
      <c r="AR61" s="103"/>
      <c r="AS61" s="103"/>
      <c r="AT61" s="103"/>
    </row>
    <row r="62" spans="1:46" ht="14.25" customHeight="1" x14ac:dyDescent="0.2">
      <c r="A62" s="2" t="str">
        <f>+_xlfn.XLOOKUP(B62,'[1]Proyectos (NO FILTRAR)'!$F:$F,'[1]Proyectos (NO FILTRAR)'!$B:$B,0,0,1)</f>
        <v>PE-ECR-UG-FEL00-188-A</v>
      </c>
      <c r="B62" s="106" t="s">
        <v>454</v>
      </c>
      <c r="C62" s="5" t="str">
        <f>+_xlfn.XLOOKUP(A62,'[1]Proyectos (NO FILTRAR)'!$B:$B,'[1]Proyectos (NO FILTRAR)'!$G:$G,"error",0,1)</f>
        <v>Perú</v>
      </c>
      <c r="D62" s="5">
        <v>2025</v>
      </c>
      <c r="E62" s="5" t="s">
        <v>360</v>
      </c>
      <c r="F62" s="5" t="s">
        <v>455</v>
      </c>
      <c r="G62" s="14" t="s">
        <v>462</v>
      </c>
      <c r="H62" s="14"/>
      <c r="I62" s="6">
        <f>+_xlfn.XLOOKUP(B62,'[1]Proyectos (NO FILTRAR)'!$F:$F,'[1]Proyectos (NO FILTRAR)'!$O:$O,"!",0,1)</f>
        <v>187113</v>
      </c>
      <c r="J62" s="51">
        <f t="shared" si="8"/>
        <v>0</v>
      </c>
      <c r="K62" s="47">
        <f t="shared" si="9"/>
        <v>0</v>
      </c>
      <c r="L62" s="7">
        <f t="shared" si="13"/>
        <v>187113</v>
      </c>
      <c r="M62" s="52">
        <f t="shared" si="10"/>
        <v>1</v>
      </c>
      <c r="N62" s="65">
        <f t="shared" si="11"/>
        <v>0</v>
      </c>
      <c r="O62" s="52">
        <f t="shared" si="12"/>
        <v>0</v>
      </c>
      <c r="P62" s="65">
        <f>+I62-N62</f>
        <v>187113</v>
      </c>
      <c r="Q62" s="48"/>
      <c r="R62" s="48"/>
      <c r="S62" s="68"/>
      <c r="T62" s="71"/>
      <c r="U62" s="68"/>
      <c r="V62" s="71"/>
      <c r="W62" s="68"/>
      <c r="X62" s="71"/>
      <c r="Y62" s="68"/>
      <c r="Z62" s="71"/>
      <c r="AA62" s="68"/>
      <c r="AB62" s="71"/>
      <c r="AC62" s="68"/>
      <c r="AD62" s="71"/>
      <c r="AE62" s="68"/>
      <c r="AF62" s="71"/>
      <c r="AG62" s="68"/>
      <c r="AH62" s="71"/>
      <c r="AI62" s="68"/>
      <c r="AJ62" s="70"/>
      <c r="AK62" s="68"/>
      <c r="AL62" s="71"/>
      <c r="AM62" s="68"/>
      <c r="AN62" s="101"/>
      <c r="AO62" s="67">
        <f>+_xlfn.XLOOKUP(A62,'[5]Resumen POM'!$O:$O,'[5]Resumen POM'!$J:$J,0,0,1)</f>
        <v>0</v>
      </c>
      <c r="AP62" s="71"/>
      <c r="AR62" s="103"/>
      <c r="AS62" s="103"/>
      <c r="AT62" s="103"/>
    </row>
    <row r="63" spans="1:46" ht="14.25" customHeight="1" x14ac:dyDescent="0.2">
      <c r="A63" s="2" t="str">
        <f>+_xlfn.XLOOKUP(B63,'[1]Proyectos (NO FILTRAR)'!$F:$F,'[1]Proyectos (NO FILTRAR)'!$B:$B,0,0,1)</f>
        <v>BR-EQG-UG-FEL03-172-A</v>
      </c>
      <c r="B63" s="106" t="s">
        <v>410</v>
      </c>
      <c r="C63" s="5" t="str">
        <f>+_xlfn.XLOOKUP(A63,'[1]Proyectos (NO FILTRAR)'!$B:$B,'[1]Proyectos (NO FILTRAR)'!$G:$G,"error",0,1)</f>
        <v>Brasil</v>
      </c>
      <c r="D63" s="5">
        <v>2025</v>
      </c>
      <c r="E63" s="5" t="s">
        <v>360</v>
      </c>
      <c r="F63" s="5" t="s">
        <v>33</v>
      </c>
      <c r="G63" s="14" t="s">
        <v>463</v>
      </c>
      <c r="H63" s="14"/>
      <c r="I63" s="6">
        <f>+_xlfn.XLOOKUP(B63,'[1]Proyectos (NO FILTRAR)'!$F:$F,'[1]Proyectos (NO FILTRAR)'!$O:$O,"!",0,1)</f>
        <v>353992.61</v>
      </c>
      <c r="J63" s="51">
        <f t="shared" si="8"/>
        <v>306848</v>
      </c>
      <c r="K63" s="47">
        <f t="shared" si="9"/>
        <v>0.86682035537408542</v>
      </c>
      <c r="L63" s="7">
        <f t="shared" si="13"/>
        <v>47144.609999999986</v>
      </c>
      <c r="M63" s="52">
        <f t="shared" si="10"/>
        <v>0.13317964462591461</v>
      </c>
      <c r="N63" s="65">
        <f t="shared" si="11"/>
        <v>406338.48200000002</v>
      </c>
      <c r="O63" s="52">
        <f t="shared" si="12"/>
        <v>1.1478727818640058</v>
      </c>
      <c r="P63" s="65">
        <f>+I63-N63</f>
        <v>-52345.872000000032</v>
      </c>
      <c r="Q63" s="48"/>
      <c r="R63" s="48"/>
      <c r="S63" s="68"/>
      <c r="T63" s="71"/>
      <c r="U63" s="68"/>
      <c r="V63" s="71"/>
      <c r="W63" s="68"/>
      <c r="X63" s="71"/>
      <c r="Y63" s="68"/>
      <c r="Z63" s="71"/>
      <c r="AA63" s="68"/>
      <c r="AB63" s="71"/>
      <c r="AC63" s="68"/>
      <c r="AD63" s="71"/>
      <c r="AE63" s="68"/>
      <c r="AF63" s="71"/>
      <c r="AG63" s="68"/>
      <c r="AH63" s="71"/>
      <c r="AI63" s="68"/>
      <c r="AJ63" s="150">
        <v>12415</v>
      </c>
      <c r="AK63" s="68">
        <v>50598</v>
      </c>
      <c r="AL63" s="136">
        <v>50598</v>
      </c>
      <c r="AM63" s="68">
        <v>134423</v>
      </c>
      <c r="AN63" s="136">
        <v>146624</v>
      </c>
      <c r="AO63" s="67">
        <f>+_xlfn.XLOOKUP(A63,'[5]Resumen POM'!$O:$O,'[5]Resumen POM'!$J:$J,0,0,1)</f>
        <v>99490.482000000004</v>
      </c>
      <c r="AP63" s="151">
        <v>97211</v>
      </c>
      <c r="AR63" s="103"/>
      <c r="AS63" s="103"/>
      <c r="AT63" s="103"/>
    </row>
    <row r="64" spans="1:46" ht="14.25" customHeight="1" x14ac:dyDescent="0.2">
      <c r="A64" s="2" t="str">
        <f>+_xlfn.XLOOKUP(B64,'[1]Proyectos (NO FILTRAR)'!$F:$F,'[1]Proyectos (NO FILTRAR)'!$B:$B,0,0,1)</f>
        <v>CH-COD-CS-OTR00-193-A</v>
      </c>
      <c r="B64" s="106" t="s">
        <v>460</v>
      </c>
      <c r="C64" s="5" t="str">
        <f>+_xlfn.XLOOKUP(A64,'[1]Proyectos (NO FILTRAR)'!$B:$B,'[1]Proyectos (NO FILTRAR)'!$G:$G,"error",0,1)</f>
        <v>Chile</v>
      </c>
      <c r="D64" s="5">
        <v>2025</v>
      </c>
      <c r="E64" s="5" t="s">
        <v>360</v>
      </c>
      <c r="F64" s="5"/>
      <c r="G64" s="14" t="s">
        <v>463</v>
      </c>
      <c r="H64" s="14"/>
      <c r="I64" s="6">
        <f>+_xlfn.XLOOKUP(B64,'[1]Proyectos (NO FILTRAR)'!$F:$F,'[1]Proyectos (NO FILTRAR)'!$O:$O,"!",0,1)</f>
        <v>257988</v>
      </c>
      <c r="J64" s="51">
        <f t="shared" si="8"/>
        <v>0</v>
      </c>
      <c r="K64" s="47">
        <f t="shared" si="9"/>
        <v>0</v>
      </c>
      <c r="L64" s="7">
        <f t="shared" si="13"/>
        <v>257988</v>
      </c>
      <c r="M64" s="52">
        <f t="shared" si="10"/>
        <v>1</v>
      </c>
      <c r="N64" s="65">
        <f t="shared" si="11"/>
        <v>0</v>
      </c>
      <c r="O64" s="52">
        <f t="shared" si="12"/>
        <v>0</v>
      </c>
      <c r="P64" s="65"/>
      <c r="Q64" s="48"/>
      <c r="R64" s="48"/>
      <c r="S64" s="68"/>
      <c r="T64" s="71"/>
      <c r="U64" s="68"/>
      <c r="V64" s="71"/>
      <c r="W64" s="68"/>
      <c r="X64" s="71"/>
      <c r="Y64" s="68"/>
      <c r="Z64" s="71"/>
      <c r="AA64" s="68"/>
      <c r="AB64" s="71"/>
      <c r="AC64" s="68"/>
      <c r="AD64" s="71"/>
      <c r="AE64" s="68"/>
      <c r="AF64" s="71"/>
      <c r="AG64" s="68"/>
      <c r="AH64" s="71"/>
      <c r="AI64" s="68"/>
      <c r="AJ64" s="136"/>
      <c r="AK64" s="68"/>
      <c r="AL64" s="71"/>
      <c r="AM64" s="68"/>
      <c r="AN64" s="101"/>
      <c r="AO64" s="67"/>
      <c r="AP64" s="71"/>
      <c r="AR64" s="103"/>
      <c r="AS64" s="103"/>
      <c r="AT64" s="103"/>
    </row>
    <row r="65" spans="1:46" ht="14.25" customHeight="1" x14ac:dyDescent="0.2">
      <c r="A65" s="2" t="str">
        <f>+_xlfn.XLOOKUP(B65,'[1]Proyectos (NO FILTRAR)'!$F:$F,'[1]Proyectos (NO FILTRAR)'!$B:$B,0,0,1)</f>
        <v>BR-AUM-UG-FEL2A-181-A</v>
      </c>
      <c r="B65" s="106" t="s">
        <v>448</v>
      </c>
      <c r="C65" s="5" t="str">
        <f>+_xlfn.XLOOKUP(A65,'[1]Proyectos (NO FILTRAR)'!$B:$B,'[1]Proyectos (NO FILTRAR)'!$G:$G,"error",0,1)</f>
        <v>Brasil</v>
      </c>
      <c r="D65" s="5">
        <v>2025</v>
      </c>
      <c r="E65" s="5" t="s">
        <v>360</v>
      </c>
      <c r="F65" s="5" t="s">
        <v>33</v>
      </c>
      <c r="G65" s="14" t="s">
        <v>463</v>
      </c>
      <c r="H65" s="14"/>
      <c r="I65" s="6">
        <f>+_xlfn.XLOOKUP(B65,'[1]Proyectos (NO FILTRAR)'!$F:$F,'[1]Proyectos (NO FILTRAR)'!$O:$O,"!",0,1)</f>
        <v>192082.19</v>
      </c>
      <c r="J65" s="51">
        <f t="shared" si="8"/>
        <v>32524</v>
      </c>
      <c r="K65" s="47">
        <f t="shared" si="9"/>
        <v>0.1693233505927853</v>
      </c>
      <c r="L65" s="7">
        <f t="shared" si="13"/>
        <v>159558.19</v>
      </c>
      <c r="M65" s="52">
        <f t="shared" si="10"/>
        <v>0.83067664940721464</v>
      </c>
      <c r="N65" s="65">
        <f t="shared" si="11"/>
        <v>62524</v>
      </c>
      <c r="O65" s="52">
        <f t="shared" si="12"/>
        <v>0.32550649281955812</v>
      </c>
      <c r="P65" s="65">
        <f>+I65-N65</f>
        <v>129558.19</v>
      </c>
      <c r="Q65" s="48"/>
      <c r="R65" s="48"/>
      <c r="S65" s="68"/>
      <c r="T65" s="71"/>
      <c r="U65" s="68"/>
      <c r="V65" s="71"/>
      <c r="W65" s="68"/>
      <c r="X65" s="71"/>
      <c r="Y65" s="68"/>
      <c r="Z65" s="71"/>
      <c r="AA65" s="68"/>
      <c r="AB65" s="71"/>
      <c r="AC65" s="68"/>
      <c r="AD65" s="71"/>
      <c r="AE65" s="68"/>
      <c r="AF65" s="71"/>
      <c r="AG65" s="68"/>
      <c r="AH65" s="71"/>
      <c r="AI65" s="68"/>
      <c r="AJ65" s="70"/>
      <c r="AK65" s="68"/>
      <c r="AL65" s="71"/>
      <c r="AM65" s="68">
        <v>10000</v>
      </c>
      <c r="AN65" s="136">
        <v>8652</v>
      </c>
      <c r="AO65" s="67">
        <f>+_xlfn.XLOOKUP(A65,'[5]Resumen POM'!$O:$O,'[5]Resumen POM'!$J:$J,0,0,1)</f>
        <v>30000</v>
      </c>
      <c r="AP65" s="151">
        <v>23872</v>
      </c>
      <c r="AR65" s="103"/>
      <c r="AS65" s="103"/>
      <c r="AT65" s="103"/>
    </row>
    <row r="66" spans="1:46" ht="14.25" customHeight="1" x14ac:dyDescent="0.2">
      <c r="A66" s="2" t="str">
        <f>+_xlfn.XLOOKUP(B66,'[1]Proyectos (NO FILTRAR)'!$F:$F,'[1]Proyectos (NO FILTRAR)'!$B:$B,0,0,1)</f>
        <v>PE-ALP-GM-FEL00-156-A</v>
      </c>
      <c r="B66" s="106" t="s">
        <v>323</v>
      </c>
      <c r="C66" s="5" t="str">
        <f>+_xlfn.XLOOKUP(A66,'[1]Proyectos (NO FILTRAR)'!$B:$B,'[1]Proyectos (NO FILTRAR)'!$G:$G,"error",0,1)</f>
        <v>Perú</v>
      </c>
      <c r="D66" s="5">
        <v>2025</v>
      </c>
      <c r="E66" s="5" t="s">
        <v>360</v>
      </c>
      <c r="F66" s="5" t="s">
        <v>162</v>
      </c>
      <c r="G66" s="14" t="s">
        <v>464</v>
      </c>
      <c r="H66" s="14"/>
      <c r="I66" s="6">
        <f>+_xlfn.XLOOKUP(B66,'[1]Proyectos (NO FILTRAR)'!$F:$F,'[1]Proyectos (NO FILTRAR)'!$O:$O,"!",0,1)</f>
        <v>187619</v>
      </c>
      <c r="J66" s="51">
        <f t="shared" si="8"/>
        <v>131313</v>
      </c>
      <c r="K66" s="47">
        <f t="shared" si="9"/>
        <v>0.69989180200299539</v>
      </c>
      <c r="L66" s="7">
        <f t="shared" si="13"/>
        <v>56306</v>
      </c>
      <c r="M66" s="52">
        <f t="shared" si="10"/>
        <v>0.30010819799700456</v>
      </c>
      <c r="N66" s="65">
        <f t="shared" si="11"/>
        <v>171313</v>
      </c>
      <c r="O66" s="52">
        <f t="shared" si="12"/>
        <v>0.91308982565731611</v>
      </c>
      <c r="P66" s="65">
        <f>+I66-N66</f>
        <v>16306</v>
      </c>
      <c r="Q66" s="48"/>
      <c r="R66" s="48"/>
      <c r="S66" s="68"/>
      <c r="T66" s="71"/>
      <c r="U66" s="68"/>
      <c r="V66" s="71"/>
      <c r="W66" s="68"/>
      <c r="X66" s="71"/>
      <c r="Y66" s="68"/>
      <c r="Z66" s="71"/>
      <c r="AA66" s="68"/>
      <c r="AB66" s="71"/>
      <c r="AC66" s="68"/>
      <c r="AD66" s="71"/>
      <c r="AE66" s="68">
        <v>15000</v>
      </c>
      <c r="AF66" s="116">
        <v>14455</v>
      </c>
      <c r="AG66" s="68">
        <v>31000</v>
      </c>
      <c r="AH66" s="136">
        <v>13779</v>
      </c>
      <c r="AI66" s="68">
        <v>24120</v>
      </c>
      <c r="AJ66" s="150">
        <v>15554</v>
      </c>
      <c r="AK66" s="68">
        <v>15500</v>
      </c>
      <c r="AL66" s="136">
        <v>20205</v>
      </c>
      <c r="AM66" s="68">
        <v>30000</v>
      </c>
      <c r="AN66" s="136">
        <v>34300</v>
      </c>
      <c r="AO66" s="67">
        <f>+_xlfn.XLOOKUP(A66,'[5]Resumen POM'!$O:$O,'[5]Resumen POM'!$J:$J,0,0,1)</f>
        <v>40000</v>
      </c>
      <c r="AP66" s="151">
        <v>33020</v>
      </c>
      <c r="AR66" s="103"/>
      <c r="AS66" s="103"/>
      <c r="AT66" s="103"/>
    </row>
    <row r="67" spans="1:46" ht="14.25" customHeight="1" x14ac:dyDescent="0.2">
      <c r="A67" s="2" t="str">
        <f>+_xlfn.XLOOKUP(B67,'[1]Proyectos (NO FILTRAR)'!$F:$F,'[1]Proyectos (NO FILTRAR)'!$B:$B,0,0,1)</f>
        <v>OT-RES-CS-OTR00-178-A</v>
      </c>
      <c r="B67" s="106" t="s">
        <v>437</v>
      </c>
      <c r="C67" s="5" t="str">
        <f>+_xlfn.XLOOKUP(A67,'[1]Proyectos (NO FILTRAR)'!$B:$B,'[1]Proyectos (NO FILTRAR)'!$G:$G,"error",0,1)</f>
        <v>Otros</v>
      </c>
      <c r="D67" s="5">
        <v>2025</v>
      </c>
      <c r="E67" s="5" t="s">
        <v>360</v>
      </c>
      <c r="F67" s="5" t="s">
        <v>315</v>
      </c>
      <c r="G67" s="14" t="s">
        <v>463</v>
      </c>
      <c r="H67" s="14"/>
      <c r="I67" s="6">
        <f>+_xlfn.XLOOKUP(B67,'[1]Proyectos (NO FILTRAR)'!$F:$F,'[1]Proyectos (NO FILTRAR)'!$O:$O,"!",0,1)</f>
        <v>217777</v>
      </c>
      <c r="J67" s="51">
        <f t="shared" ref="J67:J77" si="14">+Q67+T67+V67+X67+Z67+AB67+AD67+AF67+AH67+AJ67+AL67+AN67+AP67</f>
        <v>154621</v>
      </c>
      <c r="K67" s="47">
        <f t="shared" ref="K67:K77" si="15">+IFERROR(J67/I67,0)</f>
        <v>0.70999692345840015</v>
      </c>
      <c r="L67" s="7">
        <f t="shared" si="13"/>
        <v>63156</v>
      </c>
      <c r="M67" s="52">
        <f t="shared" ref="M67:M77" si="16">+IFERROR(L67/I67,0)</f>
        <v>0.2900030765415999</v>
      </c>
      <c r="N67" s="65">
        <f t="shared" ref="N67:N77" si="17">+J67+AO67</f>
        <v>192621</v>
      </c>
      <c r="O67" s="52">
        <f t="shared" ref="O67:O77" si="18">IFERROR(N67/I67,0)</f>
        <v>0.8844873425568357</v>
      </c>
      <c r="P67" s="65">
        <f>+I67-N67</f>
        <v>25156</v>
      </c>
      <c r="Q67" s="48"/>
      <c r="R67" s="48"/>
      <c r="S67" s="68"/>
      <c r="T67" s="71"/>
      <c r="U67" s="68"/>
      <c r="V67" s="71"/>
      <c r="W67" s="68"/>
      <c r="X67" s="71"/>
      <c r="Y67" s="68"/>
      <c r="Z67" s="71"/>
      <c r="AA67" s="68"/>
      <c r="AB67" s="71"/>
      <c r="AC67" s="68"/>
      <c r="AD67" s="71"/>
      <c r="AE67" s="68"/>
      <c r="AF67" s="71"/>
      <c r="AG67" s="68"/>
      <c r="AH67" s="71"/>
      <c r="AI67" s="68"/>
      <c r="AJ67" s="71"/>
      <c r="AK67" s="68">
        <v>45000</v>
      </c>
      <c r="AL67" s="71"/>
      <c r="AM67" s="68">
        <v>60000</v>
      </c>
      <c r="AN67" s="136">
        <f>74044+52266</f>
        <v>126310</v>
      </c>
      <c r="AO67" s="67">
        <f>+_xlfn.XLOOKUP(A67,'[5]Resumen POM'!$O:$O,'[5]Resumen POM'!$J:$J,0,0,1)</f>
        <v>38000</v>
      </c>
      <c r="AP67" s="151">
        <v>28311</v>
      </c>
      <c r="AR67" s="103"/>
      <c r="AS67" s="103"/>
      <c r="AT67" s="103"/>
    </row>
    <row r="68" spans="1:46" ht="14.25" customHeight="1" x14ac:dyDescent="0.2">
      <c r="A68" s="2" t="str">
        <f>+_xlfn.XLOOKUP(B68,'[1]Proyectos (NO FILTRAR)'!$F:$F,'[1]Proyectos (NO FILTRAR)'!$B:$B,0,0,1)</f>
        <v>PE-BRO-GM-FEL00-191-A</v>
      </c>
      <c r="B68" s="106" t="s">
        <v>457</v>
      </c>
      <c r="C68" s="5" t="str">
        <f>+_xlfn.XLOOKUP(A68,'[1]Proyectos (NO FILTRAR)'!$B:$B,'[1]Proyectos (NO FILTRAR)'!$G:$G,"error",0,1)</f>
        <v>Perú</v>
      </c>
      <c r="D68" s="5">
        <v>2025</v>
      </c>
      <c r="E68" s="5" t="s">
        <v>360</v>
      </c>
      <c r="F68" s="5"/>
      <c r="G68" s="14" t="s">
        <v>464</v>
      </c>
      <c r="H68" s="14"/>
      <c r="I68" s="6">
        <f>+_xlfn.XLOOKUP(B68,'[1]Proyectos (NO FILTRAR)'!$F:$F,'[1]Proyectos (NO FILTRAR)'!$O:$O,"!",0,1)</f>
        <v>214363</v>
      </c>
      <c r="J68" s="51">
        <f t="shared" si="14"/>
        <v>0</v>
      </c>
      <c r="K68" s="47">
        <f t="shared" si="15"/>
        <v>0</v>
      </c>
      <c r="L68" s="7">
        <f t="shared" si="13"/>
        <v>214363</v>
      </c>
      <c r="M68" s="52">
        <f t="shared" si="16"/>
        <v>1</v>
      </c>
      <c r="N68" s="65">
        <f t="shared" si="17"/>
        <v>0</v>
      </c>
      <c r="O68" s="52">
        <f t="shared" si="18"/>
        <v>0</v>
      </c>
      <c r="P68" s="65"/>
      <c r="Q68" s="48"/>
      <c r="R68" s="48"/>
      <c r="S68" s="68"/>
      <c r="T68" s="71"/>
      <c r="U68" s="68"/>
      <c r="V68" s="71"/>
      <c r="W68" s="68"/>
      <c r="X68" s="71"/>
      <c r="Y68" s="68"/>
      <c r="Z68" s="71"/>
      <c r="AA68" s="68"/>
      <c r="AB68" s="71"/>
      <c r="AC68" s="68"/>
      <c r="AD68" s="71"/>
      <c r="AE68" s="68"/>
      <c r="AF68" s="71"/>
      <c r="AG68" s="68"/>
      <c r="AH68" s="71"/>
      <c r="AI68" s="68"/>
      <c r="AJ68" s="71"/>
      <c r="AK68" s="68"/>
      <c r="AL68" s="71"/>
      <c r="AM68" s="68"/>
      <c r="AN68" s="101"/>
      <c r="AO68" s="67"/>
      <c r="AP68" s="71"/>
      <c r="AR68" s="103"/>
      <c r="AS68" s="103"/>
      <c r="AT68" s="103"/>
    </row>
    <row r="69" spans="1:46" ht="14.25" customHeight="1" x14ac:dyDescent="0.2">
      <c r="A69" s="2" t="str">
        <f>+_xlfn.XLOOKUP(B69,'[1]Proyectos (NO FILTRAR)'!$F:$F,'[1]Proyectos (NO FILTRAR)'!$B:$B,0,0,1)</f>
        <v>CH-ERG-GM-FEL00-186-A</v>
      </c>
      <c r="B69" s="106" t="s">
        <v>452</v>
      </c>
      <c r="C69" s="5" t="str">
        <f>+_xlfn.XLOOKUP(A69,'[1]Proyectos (NO FILTRAR)'!$B:$B,'[1]Proyectos (NO FILTRAR)'!$G:$G,"error",0,1)</f>
        <v>Chile</v>
      </c>
      <c r="D69" s="5">
        <v>2025</v>
      </c>
      <c r="E69" s="5" t="s">
        <v>360</v>
      </c>
      <c r="F69" s="5" t="s">
        <v>453</v>
      </c>
      <c r="G69" s="14" t="s">
        <v>464</v>
      </c>
      <c r="H69" s="14"/>
      <c r="I69" s="6">
        <f>+_xlfn.XLOOKUP(B69,'[1]Proyectos (NO FILTRAR)'!$F:$F,'[1]Proyectos (NO FILTRAR)'!$O:$O,"!",0,1)</f>
        <v>229330</v>
      </c>
      <c r="J69" s="51">
        <f t="shared" si="14"/>
        <v>0</v>
      </c>
      <c r="K69" s="47">
        <f t="shared" si="15"/>
        <v>0</v>
      </c>
      <c r="L69" s="7">
        <f t="shared" si="13"/>
        <v>229330</v>
      </c>
      <c r="M69" s="52">
        <f t="shared" si="16"/>
        <v>1</v>
      </c>
      <c r="N69" s="65">
        <f t="shared" si="17"/>
        <v>0</v>
      </c>
      <c r="O69" s="52">
        <f t="shared" si="18"/>
        <v>0</v>
      </c>
      <c r="P69" s="65">
        <f>+I69-N69</f>
        <v>229330</v>
      </c>
      <c r="Q69" s="48"/>
      <c r="R69" s="48"/>
      <c r="S69" s="68"/>
      <c r="T69" s="71"/>
      <c r="U69" s="68"/>
      <c r="V69" s="71"/>
      <c r="W69" s="68"/>
      <c r="X69" s="71"/>
      <c r="Y69" s="68"/>
      <c r="Z69" s="71"/>
      <c r="AA69" s="68"/>
      <c r="AB69" s="71"/>
      <c r="AC69" s="68"/>
      <c r="AD69" s="71"/>
      <c r="AE69" s="68"/>
      <c r="AF69" s="71"/>
      <c r="AG69" s="68"/>
      <c r="AH69" s="71"/>
      <c r="AI69" s="68"/>
      <c r="AJ69" s="71"/>
      <c r="AK69" s="68"/>
      <c r="AL69" s="71"/>
      <c r="AM69" s="68"/>
      <c r="AN69" s="101"/>
      <c r="AO69" s="67">
        <f>+_xlfn.XLOOKUP(A69,'[5]Resumen POM'!$O:$O,'[5]Resumen POM'!$J:$J,0,0,1)</f>
        <v>0</v>
      </c>
      <c r="AP69" s="71"/>
      <c r="AR69" s="103"/>
      <c r="AS69" s="103"/>
      <c r="AT69" s="103"/>
    </row>
    <row r="70" spans="1:46" ht="14.25" customHeight="1" x14ac:dyDescent="0.2">
      <c r="A70" s="2" t="str">
        <f>+_xlfn.XLOOKUP(B70,'[1]Proyectos (NO FILTRAR)'!$F:$F,'[1]Proyectos (NO FILTRAR)'!$B:$B,0,0,1)</f>
        <v>PE-MMA-OP-FEL00-182-A</v>
      </c>
      <c r="B70" s="106" t="s">
        <v>446</v>
      </c>
      <c r="C70" s="5" t="str">
        <f>+_xlfn.XLOOKUP(A70,'[1]Proyectos (NO FILTRAR)'!$B:$B,'[1]Proyectos (NO FILTRAR)'!$G:$G,"error",0,1)</f>
        <v>Perú</v>
      </c>
      <c r="D70" s="5">
        <v>2025</v>
      </c>
      <c r="E70" s="5" t="s">
        <v>360</v>
      </c>
      <c r="F70" s="5" t="s">
        <v>254</v>
      </c>
      <c r="G70" s="14" t="s">
        <v>463</v>
      </c>
      <c r="H70" s="14"/>
      <c r="I70" s="6">
        <f>+_xlfn.XLOOKUP(B70,'[1]Proyectos (NO FILTRAR)'!$F:$F,'[1]Proyectos (NO FILTRAR)'!$O:$O,"!",0,1)</f>
        <v>141747</v>
      </c>
      <c r="J70" s="51">
        <f t="shared" si="14"/>
        <v>44033</v>
      </c>
      <c r="K70" s="47">
        <f t="shared" si="15"/>
        <v>0.31064502246961134</v>
      </c>
      <c r="L70" s="7">
        <f t="shared" si="13"/>
        <v>97714</v>
      </c>
      <c r="M70" s="52">
        <f t="shared" si="16"/>
        <v>0.68935497753038866</v>
      </c>
      <c r="N70" s="65">
        <f t="shared" si="17"/>
        <v>76153</v>
      </c>
      <c r="O70" s="52">
        <f t="shared" si="18"/>
        <v>0.53724593818564059</v>
      </c>
      <c r="P70" s="65">
        <f>+I70-N70</f>
        <v>65594</v>
      </c>
      <c r="Q70" s="48"/>
      <c r="R70" s="48"/>
      <c r="S70" s="68"/>
      <c r="T70" s="71"/>
      <c r="U70" s="68"/>
      <c r="V70" s="71"/>
      <c r="W70" s="68"/>
      <c r="X70" s="71"/>
      <c r="Y70" s="68"/>
      <c r="Z70" s="71"/>
      <c r="AA70" s="68"/>
      <c r="AB70" s="71"/>
      <c r="AC70" s="68"/>
      <c r="AD70" s="71"/>
      <c r="AE70" s="68"/>
      <c r="AF70" s="71"/>
      <c r="AG70" s="68"/>
      <c r="AH70" s="71"/>
      <c r="AI70" s="68"/>
      <c r="AJ70" s="71"/>
      <c r="AK70" s="68"/>
      <c r="AL70" s="71"/>
      <c r="AM70" s="68">
        <v>20400</v>
      </c>
      <c r="AN70" s="136">
        <v>20102</v>
      </c>
      <c r="AO70" s="67">
        <f>+_xlfn.XLOOKUP(A70,'[5]Resumen POM'!$O:$O,'[5]Resumen POM'!$J:$J,0,0,1)</f>
        <v>32120</v>
      </c>
      <c r="AP70" s="151">
        <v>23931</v>
      </c>
      <c r="AR70" s="103"/>
      <c r="AS70" s="103"/>
      <c r="AT70" s="103"/>
    </row>
    <row r="71" spans="1:46" ht="14.25" customHeight="1" x14ac:dyDescent="0.2">
      <c r="A71" s="2" t="str">
        <f>+_xlfn.XLOOKUP(B71,'[1]Proyectos (NO FILTRAR)'!$F:$F,'[1]Proyectos (NO FILTRAR)'!$B:$B,0,0,1)</f>
        <v>CH-AMS-OP-FEL00-171-A</v>
      </c>
      <c r="B71" s="106" t="s">
        <v>409</v>
      </c>
      <c r="C71" s="5" t="str">
        <f>+_xlfn.XLOOKUP(A71,'[1]Proyectos (NO FILTRAR)'!$B:$B,'[1]Proyectos (NO FILTRAR)'!$G:$G,"error",0,1)</f>
        <v>Chile</v>
      </c>
      <c r="D71" s="5">
        <v>2025</v>
      </c>
      <c r="E71" s="5" t="s">
        <v>360</v>
      </c>
      <c r="F71" s="5" t="s">
        <v>32</v>
      </c>
      <c r="G71" s="14" t="s">
        <v>462</v>
      </c>
      <c r="H71" s="14"/>
      <c r="I71" s="6">
        <f>+_xlfn.XLOOKUP(B71,'[1]Proyectos (NO FILTRAR)'!$F:$F,'[1]Proyectos (NO FILTRAR)'!$O:$O,"!",0,1)</f>
        <v>153605.26</v>
      </c>
      <c r="J71" s="51">
        <f t="shared" si="14"/>
        <v>129692</v>
      </c>
      <c r="K71" s="47">
        <f t="shared" si="15"/>
        <v>0.84432004476930012</v>
      </c>
      <c r="L71" s="7">
        <f t="shared" si="13"/>
        <v>23913.260000000009</v>
      </c>
      <c r="M71" s="52">
        <f t="shared" si="16"/>
        <v>0.15567995523069983</v>
      </c>
      <c r="N71" s="65">
        <f t="shared" si="17"/>
        <v>129692</v>
      </c>
      <c r="O71" s="52">
        <f t="shared" si="18"/>
        <v>0.84432004476930012</v>
      </c>
      <c r="P71" s="65">
        <f>+I71-N71</f>
        <v>23913.260000000009</v>
      </c>
      <c r="Q71" s="48"/>
      <c r="R71" s="48"/>
      <c r="S71" s="68"/>
      <c r="T71" s="71"/>
      <c r="U71" s="68"/>
      <c r="V71" s="71"/>
      <c r="W71" s="68"/>
      <c r="X71" s="71"/>
      <c r="Y71" s="68"/>
      <c r="Z71" s="71"/>
      <c r="AA71" s="68"/>
      <c r="AB71" s="71"/>
      <c r="AC71" s="68"/>
      <c r="AD71" s="71"/>
      <c r="AE71" s="68"/>
      <c r="AF71" s="71"/>
      <c r="AG71" s="68"/>
      <c r="AH71" s="71"/>
      <c r="AI71" s="68">
        <v>45000</v>
      </c>
      <c r="AJ71" s="71"/>
      <c r="AK71" s="68"/>
      <c r="AL71" s="71"/>
      <c r="AM71" s="68">
        <v>50000</v>
      </c>
      <c r="AN71" s="101"/>
      <c r="AO71" s="67">
        <f>+_xlfn.XLOOKUP(A71,'[5]Resumen POM'!$O:$O,'[5]Resumen POM'!$J:$J,0,0,1)</f>
        <v>0</v>
      </c>
      <c r="AP71" s="151">
        <v>129692</v>
      </c>
      <c r="AR71" s="103"/>
      <c r="AS71" s="103"/>
      <c r="AT71" s="103"/>
    </row>
    <row r="72" spans="1:46" ht="14.25" customHeight="1" x14ac:dyDescent="0.2">
      <c r="A72" s="2" t="str">
        <f>+_xlfn.XLOOKUP(B72,'[1]Proyectos (NO FILTRAR)'!$F:$F,'[1]Proyectos (NO FILTRAR)'!$B:$B,0,0,1)</f>
        <v>PE-SPM-UG-FEL03-160-A</v>
      </c>
      <c r="B72" s="106" t="s">
        <v>327</v>
      </c>
      <c r="C72" s="5" t="str">
        <f>+_xlfn.XLOOKUP(A72,'[1]Proyectos (NO FILTRAR)'!$B:$B,'[1]Proyectos (NO FILTRAR)'!$G:$G,"error",0,1)</f>
        <v>Perú</v>
      </c>
      <c r="D72" s="5">
        <v>2025</v>
      </c>
      <c r="E72" s="5" t="s">
        <v>360</v>
      </c>
      <c r="F72" s="5" t="s">
        <v>37</v>
      </c>
      <c r="G72" s="14" t="s">
        <v>463</v>
      </c>
      <c r="H72" s="14"/>
      <c r="I72" s="6">
        <f>+_xlfn.XLOOKUP(B72,'[1]Proyectos (NO FILTRAR)'!$F:$F,'[1]Proyectos (NO FILTRAR)'!$O:$O,"!",0,1)</f>
        <v>122239</v>
      </c>
      <c r="J72" s="51">
        <f t="shared" si="14"/>
        <v>94210</v>
      </c>
      <c r="K72" s="47">
        <f t="shared" si="15"/>
        <v>0.77070329436595519</v>
      </c>
      <c r="L72" s="7">
        <f t="shared" si="13"/>
        <v>28029</v>
      </c>
      <c r="M72" s="52">
        <f t="shared" si="16"/>
        <v>0.22929670563404478</v>
      </c>
      <c r="N72" s="65">
        <f t="shared" si="17"/>
        <v>94210</v>
      </c>
      <c r="O72" s="52">
        <f t="shared" si="18"/>
        <v>0.77070329436595519</v>
      </c>
      <c r="P72" s="65">
        <f>+I72-N72</f>
        <v>28029</v>
      </c>
      <c r="Q72" s="48"/>
      <c r="R72" s="48"/>
      <c r="S72" s="68"/>
      <c r="T72" s="71"/>
      <c r="U72" s="68"/>
      <c r="V72" s="71"/>
      <c r="W72" s="68"/>
      <c r="X72" s="71"/>
      <c r="Y72" s="68"/>
      <c r="Z72" s="71"/>
      <c r="AA72" s="68"/>
      <c r="AB72" s="71"/>
      <c r="AC72" s="68"/>
      <c r="AD72" s="71"/>
      <c r="AE72" s="68">
        <v>30000</v>
      </c>
      <c r="AF72" s="71"/>
      <c r="AG72" s="68">
        <v>30000</v>
      </c>
      <c r="AH72" s="71"/>
      <c r="AI72" s="68">
        <v>30000</v>
      </c>
      <c r="AJ72" s="71"/>
      <c r="AK72" s="68"/>
      <c r="AL72" s="136">
        <v>20803</v>
      </c>
      <c r="AM72" s="68">
        <v>48068.098390163213</v>
      </c>
      <c r="AN72" s="136">
        <v>39809</v>
      </c>
      <c r="AO72" s="67">
        <f>+_xlfn.XLOOKUP(A72,'[5]Resumen POM'!$O:$O,'[5]Resumen POM'!$J:$J,0,0,1)</f>
        <v>0</v>
      </c>
      <c r="AP72" s="151">
        <v>33598</v>
      </c>
      <c r="AR72" s="103"/>
      <c r="AS72" s="103"/>
      <c r="AT72" s="103"/>
    </row>
    <row r="73" spans="1:46" ht="14.25" customHeight="1" x14ac:dyDescent="0.2">
      <c r="A73" s="2" t="str">
        <f>+_xlfn.XLOOKUP(B73,'[1]Proyectos (NO FILTRAR)'!$F:$F,'[1]Proyectos (NO FILTRAR)'!$B:$B,0,0,1)</f>
        <v>PE-HCS-UG-FEL00-190-A</v>
      </c>
      <c r="B73" s="106" t="s">
        <v>458</v>
      </c>
      <c r="C73" s="5" t="str">
        <f>+_xlfn.XLOOKUP(A73,'[1]Proyectos (NO FILTRAR)'!$B:$B,'[1]Proyectos (NO FILTRAR)'!$G:$G,"error",0,1)</f>
        <v>Perú</v>
      </c>
      <c r="D73" s="5">
        <v>2025</v>
      </c>
      <c r="E73" s="5" t="s">
        <v>360</v>
      </c>
      <c r="F73" s="5"/>
      <c r="G73" s="14" t="s">
        <v>464</v>
      </c>
      <c r="H73" s="14"/>
      <c r="I73" s="6">
        <f>+_xlfn.XLOOKUP(B73,'[1]Proyectos (NO FILTRAR)'!$F:$F,'[1]Proyectos (NO FILTRAR)'!$O:$O,"!",0,1)</f>
        <v>92800</v>
      </c>
      <c r="J73" s="51">
        <f t="shared" si="14"/>
        <v>0</v>
      </c>
      <c r="K73" s="47">
        <f t="shared" si="15"/>
        <v>0</v>
      </c>
      <c r="L73" s="7">
        <f t="shared" si="13"/>
        <v>92800</v>
      </c>
      <c r="M73" s="52">
        <f t="shared" si="16"/>
        <v>1</v>
      </c>
      <c r="N73" s="65">
        <f t="shared" si="17"/>
        <v>0</v>
      </c>
      <c r="O73" s="52">
        <f t="shared" si="18"/>
        <v>0</v>
      </c>
      <c r="P73" s="65"/>
      <c r="Q73" s="48"/>
      <c r="R73" s="48"/>
      <c r="S73" s="68"/>
      <c r="T73" s="71"/>
      <c r="U73" s="68"/>
      <c r="V73" s="71"/>
      <c r="W73" s="68"/>
      <c r="X73" s="71"/>
      <c r="Y73" s="68"/>
      <c r="Z73" s="71"/>
      <c r="AA73" s="68"/>
      <c r="AB73" s="71"/>
      <c r="AC73" s="68"/>
      <c r="AD73" s="71"/>
      <c r="AE73" s="68"/>
      <c r="AF73" s="71"/>
      <c r="AG73" s="68"/>
      <c r="AH73" s="71"/>
      <c r="AI73" s="68"/>
      <c r="AJ73" s="136"/>
      <c r="AK73" s="68"/>
      <c r="AL73" s="71"/>
      <c r="AM73" s="68"/>
      <c r="AN73" s="101"/>
      <c r="AO73" s="67"/>
      <c r="AP73" s="71"/>
      <c r="AR73" s="103"/>
      <c r="AS73" s="103"/>
      <c r="AT73" s="103"/>
    </row>
    <row r="74" spans="1:46" ht="14.25" customHeight="1" x14ac:dyDescent="0.2">
      <c r="A74" s="2" t="str">
        <f>+_xlfn.XLOOKUP(B74,'[1]Proyectos (NO FILTRAR)'!$F:$F,'[1]Proyectos (NO FILTRAR)'!$B:$B,0,0,1)</f>
        <v>CH-COD-UG-FEL00-174-A</v>
      </c>
      <c r="B74" s="106" t="s">
        <v>412</v>
      </c>
      <c r="C74" s="5" t="str">
        <f>+_xlfn.XLOOKUP(A74,'[1]Proyectos (NO FILTRAR)'!$B:$B,'[1]Proyectos (NO FILTRAR)'!$G:$G,"error",0,1)</f>
        <v>Chile</v>
      </c>
      <c r="D74" s="5">
        <v>2025</v>
      </c>
      <c r="E74" s="5" t="s">
        <v>360</v>
      </c>
      <c r="F74" s="5" t="s">
        <v>35</v>
      </c>
      <c r="G74" s="14" t="s">
        <v>463</v>
      </c>
      <c r="H74" s="14"/>
      <c r="I74" s="6">
        <f>+_xlfn.XLOOKUP(B74,'[1]Proyectos (NO FILTRAR)'!$F:$F,'[1]Proyectos (NO FILTRAR)'!$O:$O,"!",0,1)</f>
        <v>85371</v>
      </c>
      <c r="J74" s="51">
        <f t="shared" si="14"/>
        <v>68314.751999999993</v>
      </c>
      <c r="K74" s="47">
        <f t="shared" si="15"/>
        <v>0.80021028218013135</v>
      </c>
      <c r="L74" s="7">
        <f t="shared" si="13"/>
        <v>17056.248000000007</v>
      </c>
      <c r="M74" s="52">
        <f t="shared" si="16"/>
        <v>0.19978971781986865</v>
      </c>
      <c r="N74" s="65">
        <f t="shared" si="17"/>
        <v>72282.751999999993</v>
      </c>
      <c r="O74" s="52">
        <f t="shared" si="18"/>
        <v>0.84668976584554467</v>
      </c>
      <c r="P74" s="65"/>
      <c r="Q74" s="48"/>
      <c r="R74" s="48"/>
      <c r="S74" s="68"/>
      <c r="T74" s="71"/>
      <c r="U74" s="68"/>
      <c r="V74" s="71"/>
      <c r="W74" s="68"/>
      <c r="X74" s="71"/>
      <c r="Y74" s="68"/>
      <c r="Z74" s="71"/>
      <c r="AA74" s="68"/>
      <c r="AB74" s="71"/>
      <c r="AC74" s="68"/>
      <c r="AD74" s="71"/>
      <c r="AE74" s="68"/>
      <c r="AF74" s="71"/>
      <c r="AG74" s="68"/>
      <c r="AH74" s="71"/>
      <c r="AI74" s="68">
        <v>26000</v>
      </c>
      <c r="AJ74" s="136">
        <f>23507*0.8985</f>
        <v>21121.039499999999</v>
      </c>
      <c r="AK74" s="68">
        <v>26000</v>
      </c>
      <c r="AL74" s="136">
        <f>26258*0.8985</f>
        <v>23592.812999999998</v>
      </c>
      <c r="AM74" s="68">
        <v>28235</v>
      </c>
      <c r="AN74" s="136">
        <f>26267*0.8985</f>
        <v>23600.8995</v>
      </c>
      <c r="AO74" s="67">
        <f>+_xlfn.XLOOKUP(A74,'[5]Resumen POM'!$O:$O,'[5]Resumen POM'!$J:$J,0,0,1)</f>
        <v>3968</v>
      </c>
      <c r="AP74" s="71">
        <v>0</v>
      </c>
      <c r="AR74" s="103"/>
      <c r="AS74" s="103"/>
      <c r="AT74" s="103"/>
    </row>
    <row r="75" spans="1:46" ht="14.25" customHeight="1" x14ac:dyDescent="0.2">
      <c r="A75" s="2" t="str">
        <f>+_xlfn.XLOOKUP(B75,'[1]Proyectos (NO FILTRAR)'!$F:$F,'[1]Proyectos (NO FILTRAR)'!$B:$B,0,0,1)</f>
        <v>CH-ERG-GM-FEL00-189-A</v>
      </c>
      <c r="B75" s="106" t="s">
        <v>456</v>
      </c>
      <c r="C75" s="5" t="str">
        <f>+_xlfn.XLOOKUP(A75,'[1]Proyectos (NO FILTRAR)'!$B:$B,'[1]Proyectos (NO FILTRAR)'!$G:$G,"error",0,1)</f>
        <v>Chile</v>
      </c>
      <c r="D75" s="5">
        <v>2025</v>
      </c>
      <c r="E75" s="5" t="s">
        <v>360</v>
      </c>
      <c r="F75" s="5" t="s">
        <v>453</v>
      </c>
      <c r="G75" s="14" t="s">
        <v>464</v>
      </c>
      <c r="H75" s="14"/>
      <c r="I75" s="6">
        <f>+_xlfn.XLOOKUP(B75,'[1]Proyectos (NO FILTRAR)'!$F:$F,'[1]Proyectos (NO FILTRAR)'!$O:$O,"!",0,1)</f>
        <v>0</v>
      </c>
      <c r="J75" s="51">
        <f t="shared" si="14"/>
        <v>0</v>
      </c>
      <c r="K75" s="47">
        <f t="shared" si="15"/>
        <v>0</v>
      </c>
      <c r="L75" s="7">
        <f t="shared" si="13"/>
        <v>0</v>
      </c>
      <c r="M75" s="52">
        <f t="shared" si="16"/>
        <v>0</v>
      </c>
      <c r="N75" s="65">
        <f t="shared" si="17"/>
        <v>0</v>
      </c>
      <c r="O75" s="52">
        <f t="shared" si="18"/>
        <v>0</v>
      </c>
      <c r="P75" s="65">
        <f>+I75-N75</f>
        <v>0</v>
      </c>
      <c r="Q75" s="48"/>
      <c r="R75" s="48"/>
      <c r="S75" s="68"/>
      <c r="T75" s="71"/>
      <c r="U75" s="68"/>
      <c r="V75" s="71"/>
      <c r="W75" s="68"/>
      <c r="X75" s="71"/>
      <c r="Y75" s="68"/>
      <c r="Z75" s="71"/>
      <c r="AA75" s="68"/>
      <c r="AB75" s="71"/>
      <c r="AC75" s="68"/>
      <c r="AD75" s="71"/>
      <c r="AE75" s="68"/>
      <c r="AF75" s="71"/>
      <c r="AG75" s="68"/>
      <c r="AH75" s="71"/>
      <c r="AI75" s="68"/>
      <c r="AJ75" s="71"/>
      <c r="AK75" s="68"/>
      <c r="AL75" s="71"/>
      <c r="AM75" s="68"/>
      <c r="AN75" s="101"/>
      <c r="AO75" s="67">
        <f>+_xlfn.XLOOKUP(A75,'[5]Resumen POM'!$O:$O,'[5]Resumen POM'!$J:$J,0,0,1)</f>
        <v>0</v>
      </c>
      <c r="AP75" s="71"/>
      <c r="AR75" s="103"/>
      <c r="AS75" s="103"/>
      <c r="AT75" s="103"/>
    </row>
    <row r="76" spans="1:46" ht="14.25" customHeight="1" x14ac:dyDescent="0.2">
      <c r="A76" s="2" t="str">
        <f>+_xlfn.XLOOKUP(B76,'[1]Proyectos (NO FILTRAR)'!$F:$F,'[1]Proyectos (NO FILTRAR)'!$B:$B,0,0,1)</f>
        <v>PE-CSC-CS-OTR00-192-A</v>
      </c>
      <c r="B76" s="106" t="s">
        <v>459</v>
      </c>
      <c r="C76" s="5" t="str">
        <f>+_xlfn.XLOOKUP(A76,'[1]Proyectos (NO FILTRAR)'!$B:$B,'[1]Proyectos (NO FILTRAR)'!$G:$G,"error",0,1)</f>
        <v>Perú</v>
      </c>
      <c r="D76" s="5">
        <v>2025</v>
      </c>
      <c r="E76" s="5" t="s">
        <v>360</v>
      </c>
      <c r="F76" s="5" t="s">
        <v>33</v>
      </c>
      <c r="G76" s="14" t="s">
        <v>463</v>
      </c>
      <c r="H76" s="14"/>
      <c r="I76" s="6">
        <f>+_xlfn.XLOOKUP(B76,'[1]Proyectos (NO FILTRAR)'!$F:$F,'[1]Proyectos (NO FILTRAR)'!$O:$O,"!",0,1)</f>
        <v>61505</v>
      </c>
      <c r="J76" s="51">
        <f t="shared" si="14"/>
        <v>0</v>
      </c>
      <c r="K76" s="47">
        <f t="shared" si="15"/>
        <v>0</v>
      </c>
      <c r="L76" s="7">
        <f t="shared" si="13"/>
        <v>61505</v>
      </c>
      <c r="M76" s="52">
        <f t="shared" si="16"/>
        <v>1</v>
      </c>
      <c r="N76" s="65">
        <f t="shared" si="17"/>
        <v>0</v>
      </c>
      <c r="O76" s="52">
        <f t="shared" si="18"/>
        <v>0</v>
      </c>
      <c r="P76" s="65"/>
      <c r="Q76" s="48"/>
      <c r="R76" s="48"/>
      <c r="S76" s="68"/>
      <c r="T76" s="71"/>
      <c r="U76" s="68"/>
      <c r="V76" s="71"/>
      <c r="W76" s="68"/>
      <c r="X76" s="71"/>
      <c r="Y76" s="68"/>
      <c r="Z76" s="71"/>
      <c r="AA76" s="68"/>
      <c r="AB76" s="71"/>
      <c r="AC76" s="68"/>
      <c r="AD76" s="71"/>
      <c r="AE76" s="68"/>
      <c r="AF76" s="71"/>
      <c r="AG76" s="68"/>
      <c r="AH76" s="71"/>
      <c r="AI76" s="68"/>
      <c r="AJ76" s="152"/>
      <c r="AK76" s="68"/>
      <c r="AL76" s="71"/>
      <c r="AM76" s="68"/>
      <c r="AN76" s="101"/>
      <c r="AO76" s="67"/>
      <c r="AP76" s="71"/>
      <c r="AR76" s="103"/>
      <c r="AS76" s="103"/>
      <c r="AT76" s="103"/>
    </row>
    <row r="77" spans="1:46" ht="14.25" customHeight="1" x14ac:dyDescent="0.2">
      <c r="A77" s="2" t="str">
        <f>+_xlfn.XLOOKUP(B77,'[1]Proyectos (NO FILTRAR)'!$F:$F,'[1]Proyectos (NO FILTRAR)'!$B:$B,0,0,1)</f>
        <v>CH-COL-CS-OTR00-185-A</v>
      </c>
      <c r="B77" s="106" t="s">
        <v>451</v>
      </c>
      <c r="C77" s="5" t="str">
        <f>+_xlfn.XLOOKUP(A77,'[1]Proyectos (NO FILTRAR)'!$B:$B,'[1]Proyectos (NO FILTRAR)'!$G:$G,"error",0,1)</f>
        <v>Chile</v>
      </c>
      <c r="D77" s="5">
        <v>2025</v>
      </c>
      <c r="E77" s="5" t="s">
        <v>360</v>
      </c>
      <c r="F77" s="5" t="s">
        <v>254</v>
      </c>
      <c r="G77" s="14" t="s">
        <v>462</v>
      </c>
      <c r="H77" s="14"/>
      <c r="I77" s="6">
        <f>+_xlfn.XLOOKUP(B77,'[1]Proyectos (NO FILTRAR)'!$F:$F,'[1]Proyectos (NO FILTRAR)'!$O:$O,"!",0,1)</f>
        <v>40120</v>
      </c>
      <c r="J77" s="51">
        <f t="shared" si="14"/>
        <v>0</v>
      </c>
      <c r="K77" s="47">
        <f t="shared" si="15"/>
        <v>0</v>
      </c>
      <c r="L77" s="7">
        <f t="shared" si="13"/>
        <v>40120</v>
      </c>
      <c r="M77" s="52">
        <f t="shared" si="16"/>
        <v>1</v>
      </c>
      <c r="N77" s="65">
        <f t="shared" si="17"/>
        <v>0</v>
      </c>
      <c r="O77" s="52">
        <f t="shared" si="18"/>
        <v>0</v>
      </c>
      <c r="P77" s="65">
        <f>+I77-N77</f>
        <v>40120</v>
      </c>
      <c r="Q77" s="48"/>
      <c r="R77" s="48"/>
      <c r="S77" s="68"/>
      <c r="T77" s="71"/>
      <c r="U77" s="68"/>
      <c r="V77" s="71"/>
      <c r="W77" s="68"/>
      <c r="X77" s="71"/>
      <c r="Y77" s="68"/>
      <c r="Z77" s="71"/>
      <c r="AA77" s="68"/>
      <c r="AB77" s="71"/>
      <c r="AC77" s="68"/>
      <c r="AD77" s="71"/>
      <c r="AE77" s="68"/>
      <c r="AF77" s="71"/>
      <c r="AG77" s="68"/>
      <c r="AH77" s="71"/>
      <c r="AI77" s="68"/>
      <c r="AJ77" s="71"/>
      <c r="AK77" s="68"/>
      <c r="AL77" s="71"/>
      <c r="AM77" s="68"/>
      <c r="AN77" s="101"/>
      <c r="AO77" s="67">
        <f>+_xlfn.XLOOKUP(A77,'[5]Resumen POM'!$O:$O,'[5]Resumen POM'!$J:$J,0,0,1)</f>
        <v>0</v>
      </c>
      <c r="AP77" s="71"/>
      <c r="AR77" s="103"/>
      <c r="AS77" s="103"/>
      <c r="AT77" s="103"/>
    </row>
    <row r="78" spans="1:46" ht="14.25" customHeight="1" x14ac:dyDescent="0.2">
      <c r="A78" s="2" t="str">
        <f>+_xlfn.XLOOKUP(B78,'[1]Proyectos (NO FILTRAR)'!$F:$F,'[1]Proyectos (NO FILTRAR)'!$B:$B,0,0,1)</f>
        <v>RU-POL-OP-FEL00-149-A</v>
      </c>
      <c r="B78" s="106" t="s">
        <v>382</v>
      </c>
      <c r="C78" s="5" t="str">
        <f>+_xlfn.XLOOKUP(A78,'[1]Proyectos (NO FILTRAR)'!$B:$B,'[1]Proyectos (NO FILTRAR)'!$G:$G,"error",0,1)</f>
        <v>Rusia</v>
      </c>
      <c r="D78" s="5">
        <v>2025</v>
      </c>
      <c r="E78" s="5" t="s">
        <v>360</v>
      </c>
      <c r="F78" s="5"/>
      <c r="G78" s="14" t="s">
        <v>464</v>
      </c>
      <c r="H78" s="14"/>
      <c r="I78" s="6">
        <f>+_xlfn.XLOOKUP(B78,'[1]Proyectos (NO FILTRAR)'!$F:$F,'[1]Proyectos (NO FILTRAR)'!$O:$O,"!",0,1)</f>
        <v>153748</v>
      </c>
      <c r="J78" s="51">
        <f t="shared" ref="J78:J79" si="19">+Q78+T78+V78+X78+Z78+AB78+AD78+AF78+AH78+AJ78+AL78+AN78+AP78</f>
        <v>0</v>
      </c>
      <c r="K78" s="47">
        <f t="shared" ref="K78:K81" si="20">+IFERROR(J78/I78,0)</f>
        <v>0</v>
      </c>
      <c r="L78" s="7">
        <f t="shared" ref="L78:L81" si="21">+I78-J78</f>
        <v>153748</v>
      </c>
      <c r="M78" s="52">
        <f t="shared" ref="M78:M81" si="22">+IFERROR(L78/I78,0)</f>
        <v>1</v>
      </c>
      <c r="N78" s="65">
        <f t="shared" ref="N78:N81" si="23">+J78+AO78</f>
        <v>0</v>
      </c>
      <c r="O78" s="52">
        <f t="shared" ref="O78:O81" si="24">IFERROR(N78/I78,0)</f>
        <v>0</v>
      </c>
      <c r="P78" s="65">
        <f t="shared" ref="P78:P81" si="25">+I78-N78</f>
        <v>153748</v>
      </c>
      <c r="Q78" s="48"/>
      <c r="R78" s="48"/>
      <c r="S78" s="68"/>
      <c r="T78" s="71"/>
      <c r="U78" s="68"/>
      <c r="V78" s="71"/>
      <c r="W78" s="68"/>
      <c r="X78" s="71"/>
      <c r="Y78" s="68"/>
      <c r="Z78" s="71"/>
      <c r="AA78" s="68"/>
      <c r="AB78" s="71"/>
      <c r="AC78" s="68"/>
      <c r="AD78" s="71"/>
      <c r="AE78" s="68"/>
      <c r="AF78" s="71"/>
      <c r="AG78" s="68"/>
      <c r="AH78" s="71"/>
      <c r="AI78" s="68"/>
      <c r="AJ78" s="71"/>
      <c r="AK78" s="68"/>
      <c r="AL78" s="71"/>
      <c r="AM78" s="68"/>
      <c r="AN78" s="101"/>
      <c r="AO78" s="67"/>
      <c r="AP78" s="71"/>
      <c r="AR78" s="103"/>
      <c r="AS78" s="103"/>
      <c r="AT78" s="103"/>
    </row>
    <row r="79" spans="1:46" ht="14.25" customHeight="1" x14ac:dyDescent="0.2">
      <c r="A79" s="2" t="str">
        <f>+_xlfn.XLOOKUP(B79,'[1]Proyectos (NO FILTRAR)'!$F:$F,'[1]Proyectos (NO FILTRAR)'!$B:$B,0,0,1)</f>
        <v>RU-POL-OP-FEL00-173-A</v>
      </c>
      <c r="B79" s="106" t="s">
        <v>411</v>
      </c>
      <c r="C79" s="5" t="str">
        <f>+_xlfn.XLOOKUP(A79,'[1]Proyectos (NO FILTRAR)'!$B:$B,'[1]Proyectos (NO FILTRAR)'!$G:$G,"error",0,1)</f>
        <v>Rusia</v>
      </c>
      <c r="D79" s="5">
        <v>2025</v>
      </c>
      <c r="E79" s="5" t="s">
        <v>360</v>
      </c>
      <c r="F79" s="5"/>
      <c r="G79" s="14" t="s">
        <v>464</v>
      </c>
      <c r="H79" s="14"/>
      <c r="I79" s="6">
        <f>+_xlfn.XLOOKUP(B79,'[1]Proyectos (NO FILTRAR)'!$F:$F,'[1]Proyectos (NO FILTRAR)'!$O:$O,"!",0,1)</f>
        <v>178686</v>
      </c>
      <c r="J79" s="51">
        <f t="shared" si="19"/>
        <v>0</v>
      </c>
      <c r="K79" s="47">
        <f t="shared" si="20"/>
        <v>0</v>
      </c>
      <c r="L79" s="7">
        <f t="shared" si="21"/>
        <v>178686</v>
      </c>
      <c r="M79" s="52">
        <f t="shared" si="22"/>
        <v>1</v>
      </c>
      <c r="N79" s="65">
        <f t="shared" si="23"/>
        <v>0</v>
      </c>
      <c r="O79" s="52">
        <f t="shared" si="24"/>
        <v>0</v>
      </c>
      <c r="P79" s="65">
        <f t="shared" si="25"/>
        <v>178686</v>
      </c>
      <c r="Q79" s="48"/>
      <c r="R79" s="48"/>
      <c r="S79" s="68"/>
      <c r="T79" s="71"/>
      <c r="U79" s="68"/>
      <c r="V79" s="71"/>
      <c r="W79" s="68"/>
      <c r="X79" s="71"/>
      <c r="Y79" s="68"/>
      <c r="Z79" s="71"/>
      <c r="AA79" s="68"/>
      <c r="AB79" s="71"/>
      <c r="AC79" s="68"/>
      <c r="AD79" s="71"/>
      <c r="AE79" s="68"/>
      <c r="AF79" s="71"/>
      <c r="AG79" s="68"/>
      <c r="AH79" s="71"/>
      <c r="AI79" s="68"/>
      <c r="AJ79" s="71"/>
      <c r="AK79" s="68"/>
      <c r="AL79" s="71"/>
      <c r="AM79" s="68"/>
      <c r="AN79" s="101"/>
      <c r="AO79" s="67"/>
      <c r="AP79" s="71"/>
      <c r="AR79" s="103"/>
      <c r="AS79" s="103"/>
      <c r="AT79" s="103"/>
    </row>
    <row r="80" spans="1:46" ht="14.25" customHeight="1" x14ac:dyDescent="0.2">
      <c r="A80" s="2" t="str">
        <f>+_xlfn.XLOOKUP(B80,'[1]Proyectos (NO FILTRAR)'!$F:$F,'[1]Proyectos (NO FILTRAR)'!$B:$B,0,0,1)</f>
        <v>RU-SEL-UG-FEL2A-072-A</v>
      </c>
      <c r="B80" s="106" t="s">
        <v>106</v>
      </c>
      <c r="C80" s="5" t="str">
        <f>+_xlfn.XLOOKUP(A80,'[1]Proyectos (NO FILTRAR)'!$B:$B,'[1]Proyectos (NO FILTRAR)'!$G:$G,"error",0,1)</f>
        <v>Rusia</v>
      </c>
      <c r="D80" s="5">
        <v>2024</v>
      </c>
      <c r="E80" s="5" t="s">
        <v>360</v>
      </c>
      <c r="F80" s="5"/>
      <c r="G80" s="14" t="s">
        <v>462</v>
      </c>
      <c r="H80" s="14"/>
      <c r="I80" s="6">
        <f>+_xlfn.XLOOKUP(B80,'[1]Proyectos (NO FILTRAR)'!$F:$F,'[1]Proyectos (NO FILTRAR)'!$O:$O,"!",0,1)</f>
        <v>4339988</v>
      </c>
      <c r="J80" s="51">
        <f>+Q80+T80+V80+X80+Z80+AB80+AD80+AF80+AH80+AJ80+AL80+AN80+AP80</f>
        <v>2996109</v>
      </c>
      <c r="K80" s="47">
        <f t="shared" si="20"/>
        <v>0.69034960465328477</v>
      </c>
      <c r="L80" s="7">
        <f t="shared" si="21"/>
        <v>1343879</v>
      </c>
      <c r="M80" s="52">
        <f t="shared" si="22"/>
        <v>0.30965039534671523</v>
      </c>
      <c r="N80" s="65">
        <f t="shared" si="23"/>
        <v>2996109</v>
      </c>
      <c r="O80" s="52">
        <f t="shared" si="24"/>
        <v>0.69034960465328477</v>
      </c>
      <c r="P80" s="65">
        <f t="shared" si="25"/>
        <v>1343879</v>
      </c>
      <c r="Q80" s="48">
        <f>636560.8+982379+434531.9</f>
        <v>2053471.7000000002</v>
      </c>
      <c r="R80" s="48">
        <f>+I80-Q80</f>
        <v>2286516.2999999998</v>
      </c>
      <c r="S80" s="68"/>
      <c r="T80" s="71"/>
      <c r="U80" s="68"/>
      <c r="V80" s="71"/>
      <c r="W80" s="68"/>
      <c r="X80" s="71"/>
      <c r="Y80" s="68"/>
      <c r="Z80" s="71"/>
      <c r="AA80" s="68"/>
      <c r="AB80" s="71"/>
      <c r="AC80" s="68"/>
      <c r="AD80" s="71"/>
      <c r="AE80" s="68"/>
      <c r="AF80" s="71"/>
      <c r="AG80" s="68"/>
      <c r="AH80" s="71"/>
      <c r="AI80" s="68"/>
      <c r="AJ80" s="71"/>
      <c r="AK80" s="68"/>
      <c r="AL80" s="71"/>
      <c r="AM80" s="68"/>
      <c r="AN80" s="101"/>
      <c r="AO80" s="67"/>
      <c r="AP80" s="71">
        <v>942637.3</v>
      </c>
      <c r="AR80" s="103"/>
      <c r="AS80" s="103"/>
      <c r="AT80" s="103"/>
    </row>
    <row r="81" spans="1:46" ht="14.25" customHeight="1" x14ac:dyDescent="0.2">
      <c r="A81" s="2" t="str">
        <f>+_xlfn.XLOOKUP(B81,'[1]Proyectos (NO FILTRAR)'!$F:$F,'[1]Proyectos (NO FILTRAR)'!$B:$B,0,0,1)</f>
        <v>RU-ATL-OP-FEL00-148-A</v>
      </c>
      <c r="B81" s="106" t="s">
        <v>381</v>
      </c>
      <c r="C81" s="5" t="str">
        <f>+_xlfn.XLOOKUP(A81,'[1]Proyectos (NO FILTRAR)'!$B:$B,'[1]Proyectos (NO FILTRAR)'!$G:$G,"error",0,1)</f>
        <v>Rusia</v>
      </c>
      <c r="D81" s="5">
        <v>2025</v>
      </c>
      <c r="E81" s="5" t="s">
        <v>360</v>
      </c>
      <c r="F81" s="5"/>
      <c r="G81" s="14" t="s">
        <v>462</v>
      </c>
      <c r="H81" s="14"/>
      <c r="I81" s="6">
        <f>+_xlfn.XLOOKUP(B81,'[1]Proyectos (NO FILTRAR)'!$F:$F,'[1]Proyectos (NO FILTRAR)'!$O:$O,"!",0,1)</f>
        <v>225000</v>
      </c>
      <c r="J81" s="51">
        <f>+Q81+T81+V81+X81+Z81+AB81+AD81+AF81+AH81+AJ81+AL81+AN81+AP81</f>
        <v>215000</v>
      </c>
      <c r="K81" s="47">
        <f t="shared" si="20"/>
        <v>0.9555555555555556</v>
      </c>
      <c r="L81" s="7">
        <f t="shared" si="21"/>
        <v>10000</v>
      </c>
      <c r="M81" s="52">
        <f t="shared" si="22"/>
        <v>4.4444444444444446E-2</v>
      </c>
      <c r="N81" s="65">
        <f t="shared" si="23"/>
        <v>215000</v>
      </c>
      <c r="O81" s="52">
        <f t="shared" si="24"/>
        <v>0.9555555555555556</v>
      </c>
      <c r="P81" s="65">
        <f t="shared" si="25"/>
        <v>10000</v>
      </c>
      <c r="Q81" s="48"/>
      <c r="R81" s="48"/>
      <c r="S81" s="68"/>
      <c r="T81" s="71"/>
      <c r="U81" s="68"/>
      <c r="V81" s="71"/>
      <c r="W81" s="68"/>
      <c r="X81" s="71"/>
      <c r="Y81" s="68"/>
      <c r="Z81" s="71"/>
      <c r="AA81" s="68"/>
      <c r="AB81" s="71"/>
      <c r="AC81" s="68"/>
      <c r="AD81" s="71"/>
      <c r="AE81" s="68"/>
      <c r="AF81" s="71"/>
      <c r="AG81" s="68"/>
      <c r="AH81" s="71"/>
      <c r="AI81" s="68"/>
      <c r="AJ81" s="71"/>
      <c r="AK81" s="68"/>
      <c r="AL81" s="71"/>
      <c r="AM81" s="68"/>
      <c r="AN81" s="101"/>
      <c r="AO81" s="67"/>
      <c r="AP81" s="71">
        <f>25000+190000</f>
        <v>215000</v>
      </c>
      <c r="AR81" s="103"/>
      <c r="AS81" s="103"/>
      <c r="AT81" s="103"/>
    </row>
    <row r="82" spans="1:46" ht="15" x14ac:dyDescent="0.2">
      <c r="B82" s="24" t="s">
        <v>47</v>
      </c>
      <c r="C82" s="24"/>
      <c r="D82" s="24"/>
      <c r="E82" s="24"/>
      <c r="F82" s="24"/>
      <c r="G82" s="24"/>
      <c r="H82" s="24"/>
      <c r="I82" s="21">
        <f>SUBTOTAL(9,I3:I81)</f>
        <v>18555476.019999996</v>
      </c>
      <c r="J82" s="21">
        <f>SUBTOTAL(9,J3:J81)</f>
        <v>14740101.319476239</v>
      </c>
      <c r="K82" s="46">
        <f t="shared" ref="K82" si="26">+IFERROR(J82/I82,0)</f>
        <v>0.79438012280518377</v>
      </c>
      <c r="L82" s="21">
        <f>SUBTOTAL(9,L3:L81)</f>
        <v>3513576.7179999999</v>
      </c>
      <c r="M82" s="46">
        <f>+L82/I82</f>
        <v>0.18935524554653815</v>
      </c>
      <c r="N82" s="25">
        <f>SUBTOTAL(9,N3:N81)</f>
        <v>15164903.80147624</v>
      </c>
      <c r="O82" s="46">
        <f t="shared" ref="O82" si="27">IFERROR(N82/I82,0)</f>
        <v>0.8172737678694294</v>
      </c>
      <c r="P82" s="21">
        <f>SUBTOTAL(9,P3:P81)</f>
        <v>2525738.5779999997</v>
      </c>
      <c r="Q82" s="21">
        <f>SUBTOTAL(9,Q3:Q81)</f>
        <v>4205472.9800000004</v>
      </c>
      <c r="R82" s="21">
        <f>SUBTOTAL(9,R3:R72)</f>
        <v>3573419.08</v>
      </c>
      <c r="S82" s="21">
        <f t="shared" ref="S82:AO82" si="28">SUBTOTAL(9,S3:S74)</f>
        <v>718296</v>
      </c>
      <c r="T82" s="21">
        <f t="shared" si="28"/>
        <v>669095.93000000005</v>
      </c>
      <c r="U82" s="21">
        <f t="shared" si="28"/>
        <v>872909.3630397236</v>
      </c>
      <c r="V82" s="21">
        <f t="shared" si="28"/>
        <v>891789.82000000007</v>
      </c>
      <c r="W82" s="21">
        <f t="shared" si="28"/>
        <v>811650.03356248175</v>
      </c>
      <c r="X82" s="21">
        <f t="shared" si="28"/>
        <v>693813.16</v>
      </c>
      <c r="Y82" s="21">
        <f t="shared" si="28"/>
        <v>611307.48936170212</v>
      </c>
      <c r="Z82" s="21">
        <f t="shared" si="28"/>
        <v>704049.33000000007</v>
      </c>
      <c r="AA82" s="21">
        <f t="shared" si="28"/>
        <v>834236.35166938324</v>
      </c>
      <c r="AB82" s="21">
        <f t="shared" si="28"/>
        <v>730256.79</v>
      </c>
      <c r="AC82" s="21">
        <f t="shared" si="28"/>
        <v>910134</v>
      </c>
      <c r="AD82" s="21">
        <f t="shared" si="28"/>
        <v>1177546.76</v>
      </c>
      <c r="AE82" s="21">
        <f t="shared" si="28"/>
        <v>787334.59000000008</v>
      </c>
      <c r="AF82" s="21">
        <f t="shared" si="28"/>
        <v>742493.85747624072</v>
      </c>
      <c r="AG82" s="21">
        <f t="shared" si="28"/>
        <v>922440.69</v>
      </c>
      <c r="AH82" s="21">
        <f t="shared" si="28"/>
        <v>784662.64</v>
      </c>
      <c r="AI82" s="21">
        <f t="shared" si="28"/>
        <v>974916.83119119168</v>
      </c>
      <c r="AJ82" s="21">
        <f t="shared" si="28"/>
        <v>698647.03949999996</v>
      </c>
      <c r="AK82" s="21">
        <f t="shared" si="28"/>
        <v>705251.49</v>
      </c>
      <c r="AL82" s="21">
        <f t="shared" si="28"/>
        <v>870120.81299999997</v>
      </c>
      <c r="AM82" s="21">
        <f t="shared" si="28"/>
        <v>647778.09839016316</v>
      </c>
      <c r="AN82" s="21">
        <f t="shared" si="28"/>
        <v>803242.89950000006</v>
      </c>
      <c r="AO82" s="21">
        <f t="shared" si="28"/>
        <v>424802.48200000002</v>
      </c>
      <c r="AP82" s="21">
        <f t="shared" ref="AP82" si="29">SUBTOTAL(9,AP3:AP74)</f>
        <v>611272</v>
      </c>
      <c r="AR82" s="3"/>
      <c r="AS82" s="3"/>
      <c r="AT82" s="3"/>
    </row>
    <row r="83" spans="1:46" x14ac:dyDescent="0.2">
      <c r="I83" s="13"/>
    </row>
    <row r="84" spans="1:46" x14ac:dyDescent="0.2">
      <c r="B84" s="2" t="s">
        <v>354</v>
      </c>
      <c r="I84" s="13"/>
      <c r="R84" s="4"/>
      <c r="T84" s="103">
        <f>+T82/S82</f>
        <v>0.93150446334101822</v>
      </c>
      <c r="V84" s="103">
        <f>+V82/U82</f>
        <v>1.0216293440759179</v>
      </c>
      <c r="X84" s="103">
        <f>+X82/W82</f>
        <v>0.8548181251896535</v>
      </c>
      <c r="Z84" s="103">
        <f>+Z82/Y82</f>
        <v>1.1517106239531509</v>
      </c>
      <c r="AB84" s="103">
        <f>+AB82/AA82</f>
        <v>0.8753595890884992</v>
      </c>
      <c r="AD84" s="103">
        <f>+AD82/AC82</f>
        <v>1.2938169104769188</v>
      </c>
      <c r="AF84" s="103">
        <f>+AF82/AE82</f>
        <v>0.94304742469937797</v>
      </c>
      <c r="AG84" s="4"/>
      <c r="AH84" s="103">
        <f>+AH82/AG82</f>
        <v>0.85063749735497907</v>
      </c>
      <c r="AJ84" s="103">
        <f>+AJ82/AI82</f>
        <v>0.716622194989049</v>
      </c>
      <c r="AL84" s="103">
        <f>+AL82/AK82</f>
        <v>1.2337738031577927</v>
      </c>
      <c r="AN84" s="103">
        <f>+AN82/AM82</f>
        <v>1.2399970012820638</v>
      </c>
      <c r="AP84" s="103">
        <f>+AP82/AO82</f>
        <v>1.4389558109973566</v>
      </c>
    </row>
    <row r="85" spans="1:46" x14ac:dyDescent="0.2">
      <c r="I85" s="13"/>
      <c r="J85" s="30"/>
      <c r="AD85" s="4"/>
      <c r="AO85" s="4"/>
      <c r="AP85" s="4"/>
    </row>
    <row r="86" spans="1:46" x14ac:dyDescent="0.2">
      <c r="I86" s="13"/>
      <c r="L86" s="4"/>
      <c r="AT86" s="112"/>
    </row>
    <row r="87" spans="1:46" x14ac:dyDescent="0.2">
      <c r="I87" s="13"/>
      <c r="AD87" s="4"/>
      <c r="AF87" s="4"/>
      <c r="AL87" s="4"/>
      <c r="AT87" s="112"/>
    </row>
    <row r="88" spans="1:46" x14ac:dyDescent="0.2">
      <c r="I88" s="13"/>
      <c r="AL88" s="4"/>
      <c r="AT88" s="112"/>
    </row>
    <row r="89" spans="1:46" x14ac:dyDescent="0.2">
      <c r="I89" s="13"/>
      <c r="L89" s="4"/>
      <c r="AD89" s="115"/>
      <c r="AH89" s="4"/>
    </row>
    <row r="90" spans="1:46" x14ac:dyDescent="0.2">
      <c r="I90" s="13"/>
      <c r="AD90" s="115"/>
    </row>
    <row r="91" spans="1:46" x14ac:dyDescent="0.2">
      <c r="I91" s="13"/>
      <c r="AD91" s="115"/>
      <c r="AF91" s="4"/>
    </row>
    <row r="92" spans="1:46" x14ac:dyDescent="0.2">
      <c r="C92" s="30"/>
      <c r="I92" s="13"/>
    </row>
    <row r="93" spans="1:46" x14ac:dyDescent="0.2">
      <c r="C93" s="30"/>
      <c r="I93" s="13"/>
    </row>
    <row r="94" spans="1:46" x14ac:dyDescent="0.2">
      <c r="C94" s="30"/>
      <c r="I94" s="13"/>
    </row>
    <row r="95" spans="1:46" x14ac:dyDescent="0.2">
      <c r="C95" s="30"/>
    </row>
    <row r="96" spans="1:46" x14ac:dyDescent="0.2">
      <c r="C96" s="30"/>
      <c r="J96" s="34"/>
      <c r="K96" s="34"/>
      <c r="L96" s="4"/>
      <c r="R96" s="4"/>
    </row>
    <row r="97" spans="3:28" x14ac:dyDescent="0.2">
      <c r="C97" s="30"/>
    </row>
    <row r="98" spans="3:28" x14ac:dyDescent="0.2">
      <c r="C98" s="30"/>
    </row>
    <row r="99" spans="3:28" x14ac:dyDescent="0.2">
      <c r="C99" s="30"/>
    </row>
    <row r="100" spans="3:28" x14ac:dyDescent="0.2">
      <c r="C100" s="30"/>
    </row>
    <row r="106" spans="3:28" x14ac:dyDescent="0.2">
      <c r="U106" s="30"/>
      <c r="V106" s="30"/>
      <c r="W106" s="30"/>
      <c r="X106" s="30"/>
      <c r="Y106" s="30"/>
      <c r="Z106" s="30"/>
      <c r="AA106" s="30"/>
      <c r="AB106" s="30"/>
    </row>
    <row r="107" spans="3:28" x14ac:dyDescent="0.2">
      <c r="T107" s="30"/>
      <c r="U107" s="4"/>
      <c r="V107" s="4"/>
      <c r="W107" s="4"/>
      <c r="X107" s="4"/>
      <c r="Y107" s="4"/>
      <c r="Z107" s="4"/>
      <c r="AA107" s="4"/>
      <c r="AB107" s="4"/>
    </row>
    <row r="108" spans="3:28" x14ac:dyDescent="0.2">
      <c r="T108" s="4"/>
    </row>
  </sheetData>
  <autoFilter ref="A2:AP81" xr:uid="{0D7C8600-0D6D-4A1D-B5E9-616FEB336547}">
    <sortState xmlns:xlrd2="http://schemas.microsoft.com/office/spreadsheetml/2017/richdata2" ref="A3:AP77">
      <sortCondition descending="1" ref="E2:E77"/>
    </sortState>
  </autoFilter>
  <conditionalFormatting sqref="E1:E1048576">
    <cfRule type="containsText" dxfId="53" priority="1" operator="containsText" text="Finalizado">
      <formula>NOT(ISERROR(SEARCH("Finalizado",E1)))</formula>
    </cfRule>
  </conditionalFormatting>
  <conditionalFormatting sqref="K3:K81">
    <cfRule type="dataBar" priority="330">
      <dataBar>
        <cfvo type="min"/>
        <cfvo type="max"/>
        <color rgb="FFFF555A"/>
      </dataBar>
      <extLst>
        <ext xmlns:x14="http://schemas.microsoft.com/office/spreadsheetml/2009/9/main" uri="{B025F937-C7B1-47D3-B67F-A62EFF666E3E}">
          <x14:id>{12A93600-86C1-475A-8A62-04410744DE96}</x14:id>
        </ext>
      </extLst>
    </cfRule>
  </conditionalFormatting>
  <conditionalFormatting sqref="M3:M81 O3:O81">
    <cfRule type="dataBar" priority="331">
      <dataBar>
        <cfvo type="min"/>
        <cfvo type="max"/>
        <color rgb="FF63C384"/>
      </dataBar>
      <extLst>
        <ext xmlns:x14="http://schemas.microsoft.com/office/spreadsheetml/2009/9/main" uri="{B025F937-C7B1-47D3-B67F-A62EFF666E3E}">
          <x14:id>{77E8C545-128D-4F67-B070-C78B894274DD}</x14:id>
        </ext>
      </extLst>
    </cfRule>
  </conditionalFormatting>
  <conditionalFormatting sqref="O3:O81">
    <cfRule type="dataBar" priority="333">
      <dataBar>
        <cfvo type="min"/>
        <cfvo type="max"/>
        <color rgb="FFFFB628"/>
      </dataBar>
      <extLst>
        <ext xmlns:x14="http://schemas.microsoft.com/office/spreadsheetml/2009/9/main" uri="{B025F937-C7B1-47D3-B67F-A62EFF666E3E}">
          <x14:id>{80D84955-4FA6-4D47-8453-2C15062B6973}</x14:id>
        </ext>
      </extLst>
    </cfRule>
  </conditionalFormatting>
  <conditionalFormatting sqref="AQ3:AQ81">
    <cfRule type="containsText" dxfId="52" priority="2" operator="containsText" text="!">
      <formula>NOT(ISERROR(SEARCH("!",AQ3)))</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12A93600-86C1-475A-8A62-04410744DE96}">
            <x14:dataBar minLength="0" maxLength="100" gradient="0">
              <x14:cfvo type="autoMin"/>
              <x14:cfvo type="autoMax"/>
              <x14:negativeFillColor rgb="FFFF0000"/>
              <x14:axisColor rgb="FF000000"/>
            </x14:dataBar>
          </x14:cfRule>
          <xm:sqref>K3:K81</xm:sqref>
        </x14:conditionalFormatting>
        <x14:conditionalFormatting xmlns:xm="http://schemas.microsoft.com/office/excel/2006/main">
          <x14:cfRule type="dataBar" id="{77E8C545-128D-4F67-B070-C78B894274DD}">
            <x14:dataBar minLength="0" maxLength="100" gradient="0">
              <x14:cfvo type="autoMin"/>
              <x14:cfvo type="autoMax"/>
              <x14:negativeFillColor rgb="FFFF0000"/>
              <x14:axisColor rgb="FF000000"/>
            </x14:dataBar>
          </x14:cfRule>
          <xm:sqref>M3:M81 O3:O81</xm:sqref>
        </x14:conditionalFormatting>
        <x14:conditionalFormatting xmlns:xm="http://schemas.microsoft.com/office/excel/2006/main">
          <x14:cfRule type="dataBar" id="{80D84955-4FA6-4D47-8453-2C15062B6973}">
            <x14:dataBar minLength="0" maxLength="100" gradient="0">
              <x14:cfvo type="autoMin"/>
              <x14:cfvo type="autoMax"/>
              <x14:negativeFillColor rgb="FFFF0000"/>
              <x14:axisColor rgb="FF000000"/>
            </x14:dataBar>
          </x14:cfRule>
          <xm:sqref>O3:O81</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DF113-5659-4188-8BA1-ED876483D433}">
  <sheetPr>
    <tabColor rgb="FF112D86"/>
  </sheetPr>
  <dimension ref="A1:CG125"/>
  <sheetViews>
    <sheetView showGridLines="0" tabSelected="1" zoomScale="80" zoomScaleNormal="80" workbookViewId="0">
      <pane xSplit="2" ySplit="15" topLeftCell="C100" activePane="bottomRight" state="frozen"/>
      <selection pane="topRight" activeCell="C1" sqref="C1"/>
      <selection pane="bottomLeft" activeCell="A3" sqref="A3"/>
      <selection pane="bottomRight" activeCell="D11" sqref="D11"/>
    </sheetView>
  </sheetViews>
  <sheetFormatPr baseColWidth="10" defaultColWidth="11.5" defaultRowHeight="14" outlineLevelCol="2" x14ac:dyDescent="0.2"/>
  <cols>
    <col min="1" max="1" width="24.6640625" style="153" bestFit="1" customWidth="1"/>
    <col min="2" max="2" width="51.5" style="153" customWidth="1"/>
    <col min="3" max="3" width="8.33203125" style="153" bestFit="1" customWidth="1"/>
    <col min="4" max="4" width="14.5" style="153" bestFit="1" customWidth="1"/>
    <col min="5" max="5" width="17" style="153" customWidth="1"/>
    <col min="6" max="6" width="17.5" style="153" bestFit="1" customWidth="1"/>
    <col min="7" max="7" width="8" style="153" bestFit="1" customWidth="1"/>
    <col min="8" max="8" width="18.5" style="153" bestFit="1" customWidth="1"/>
    <col min="9" max="9" width="12.6640625" style="153" customWidth="1" collapsed="1"/>
    <col min="10" max="10" width="16.5" style="153" customWidth="1"/>
    <col min="11" max="11" width="15.5" style="153" customWidth="1"/>
    <col min="12" max="12" width="15.33203125" style="153" customWidth="1"/>
    <col min="13" max="13" width="12.33203125" style="153" customWidth="1"/>
    <col min="14" max="14" width="14.5" style="153" customWidth="1"/>
    <col min="15" max="15" width="12.33203125" style="153" customWidth="1"/>
    <col min="16" max="16" width="14.5" style="153" customWidth="1"/>
    <col min="17" max="17" width="14.5" style="153" hidden="1" customWidth="1" outlineLevel="1"/>
    <col min="18" max="18" width="14.33203125" style="153" hidden="1" customWidth="1" outlineLevel="1"/>
    <col min="19" max="19" width="16.5" style="153" customWidth="1" collapsed="1"/>
    <col min="20" max="29" width="10.5" style="153" hidden="1" customWidth="1" outlineLevel="1"/>
    <col min="30" max="30" width="11.5" style="153" hidden="1" customWidth="1" outlineLevel="1"/>
    <col min="31" max="31" width="14.6640625" style="153" hidden="1" customWidth="1" outlineLevel="1"/>
    <col min="32" max="37" width="11.5" style="153" hidden="1" customWidth="1" outlineLevel="1"/>
    <col min="38" max="38" width="11.33203125" style="153" hidden="1" customWidth="1" outlineLevel="1"/>
    <col min="39" max="39" width="11.5" style="153" hidden="1" customWidth="1" outlineLevel="1"/>
    <col min="40" max="41" width="12.6640625" style="153" hidden="1" customWidth="1" outlineLevel="1"/>
    <col min="42" max="43" width="12" style="153" hidden="1" customWidth="1" outlineLevel="1"/>
    <col min="44" max="44" width="16" style="153" hidden="1" customWidth="1" outlineLevel="1"/>
    <col min="45" max="45" width="15.6640625" style="153" hidden="1" customWidth="1" outlineLevel="1"/>
    <col min="46" max="46" width="4.33203125" style="153" customWidth="1" collapsed="1"/>
    <col min="47" max="58" width="11.5" style="153" customWidth="1" outlineLevel="2"/>
    <col min="59" max="64" width="11.5" style="153" customWidth="1" outlineLevel="1"/>
    <col min="65" max="75" width="11.5" style="153" hidden="1" customWidth="1" outlineLevel="1"/>
    <col min="76" max="76" width="12" style="153" customWidth="1" outlineLevel="1"/>
    <col min="77" max="78" width="11.5" style="153" customWidth="1" outlineLevel="1"/>
    <col min="79" max="79" width="11.5" style="153" customWidth="1"/>
    <col min="80" max="16384" width="11.5" style="153"/>
  </cols>
  <sheetData>
    <row r="1" spans="1:85" ht="14" customHeight="1" x14ac:dyDescent="0.2"/>
    <row r="2" spans="1:85" ht="30" x14ac:dyDescent="0.2">
      <c r="H2" s="162" t="s">
        <v>169</v>
      </c>
      <c r="I2" s="162" t="s">
        <v>471</v>
      </c>
      <c r="J2" s="162" t="s">
        <v>311</v>
      </c>
      <c r="K2" s="162" t="s">
        <v>310</v>
      </c>
      <c r="L2" s="162" t="s">
        <v>313</v>
      </c>
      <c r="S2" s="162" t="s">
        <v>169</v>
      </c>
      <c r="T2" s="162" t="s">
        <v>75</v>
      </c>
      <c r="U2" s="163" t="s">
        <v>73</v>
      </c>
      <c r="V2" s="162" t="s">
        <v>141</v>
      </c>
      <c r="W2" s="163" t="s">
        <v>92</v>
      </c>
      <c r="X2" s="162" t="s">
        <v>139</v>
      </c>
      <c r="Y2" s="163" t="s">
        <v>102</v>
      </c>
      <c r="Z2" s="162" t="s">
        <v>138</v>
      </c>
      <c r="AA2" s="163" t="s">
        <v>115</v>
      </c>
      <c r="AB2" s="162" t="s">
        <v>135</v>
      </c>
      <c r="AC2" s="163" t="s">
        <v>136</v>
      </c>
      <c r="AD2" s="162" t="s">
        <v>202</v>
      </c>
      <c r="AE2" s="163" t="s">
        <v>203</v>
      </c>
      <c r="AF2" s="162" t="s">
        <v>214</v>
      </c>
      <c r="AG2" s="163" t="s">
        <v>215</v>
      </c>
      <c r="AH2" s="162" t="s">
        <v>249</v>
      </c>
      <c r="AI2" s="163" t="s">
        <v>250</v>
      </c>
      <c r="AJ2" s="162" t="s">
        <v>267</v>
      </c>
      <c r="AK2" s="163" t="s">
        <v>268</v>
      </c>
      <c r="AL2" s="162" t="s">
        <v>269</v>
      </c>
      <c r="AM2" s="163" t="s">
        <v>132</v>
      </c>
      <c r="AN2" s="162" t="s">
        <v>275</v>
      </c>
      <c r="AO2" s="163" t="s">
        <v>131</v>
      </c>
      <c r="AP2" s="162" t="s">
        <v>144</v>
      </c>
      <c r="AQ2" s="163" t="s">
        <v>71</v>
      </c>
      <c r="AR2" s="164" t="s">
        <v>468</v>
      </c>
      <c r="AS2" s="165" t="s">
        <v>467</v>
      </c>
      <c r="AT2" s="195"/>
      <c r="AU2" s="162" t="s">
        <v>75</v>
      </c>
      <c r="AV2" s="286" t="s">
        <v>472</v>
      </c>
      <c r="AW2" s="163" t="s">
        <v>73</v>
      </c>
      <c r="AX2" s="210" t="s">
        <v>141</v>
      </c>
      <c r="AY2" s="286" t="s">
        <v>502</v>
      </c>
      <c r="AZ2" s="211" t="s">
        <v>92</v>
      </c>
      <c r="BA2" s="210" t="s">
        <v>139</v>
      </c>
      <c r="BB2" s="286" t="s">
        <v>526</v>
      </c>
      <c r="BC2" s="211" t="s">
        <v>102</v>
      </c>
      <c r="BD2" s="210" t="s">
        <v>138</v>
      </c>
      <c r="BE2" s="286" t="s">
        <v>535</v>
      </c>
      <c r="BF2" s="211" t="s">
        <v>115</v>
      </c>
      <c r="BG2" s="210" t="s">
        <v>135</v>
      </c>
      <c r="BH2" s="286" t="s">
        <v>539</v>
      </c>
      <c r="BI2" s="211" t="s">
        <v>136</v>
      </c>
      <c r="BJ2" s="210" t="s">
        <v>202</v>
      </c>
      <c r="BK2" s="286" t="s">
        <v>553</v>
      </c>
      <c r="BL2" s="211" t="s">
        <v>203</v>
      </c>
    </row>
    <row r="3" spans="1:85" ht="14" customHeight="1" x14ac:dyDescent="0.2">
      <c r="H3" s="153" t="s">
        <v>216</v>
      </c>
      <c r="I3" s="212">
        <f t="shared" ref="I3:J8" si="0">+SUMIF($C$16:$C$100003,$S3,I$16:I$100003)</f>
        <v>6607198.8799999999</v>
      </c>
      <c r="J3" s="212">
        <f t="shared" si="0"/>
        <v>6057604.293111111</v>
      </c>
      <c r="K3" s="178">
        <f t="shared" ref="K3:K9" si="1">+IFERROR(J3/I3,0)</f>
        <v>0.91681882188342889</v>
      </c>
      <c r="L3" s="212">
        <f t="shared" ref="L3:L8" si="2">+SUMIF($C$16:$C$100003,$S3,L$16:L$100003)</f>
        <v>469229.57888888888</v>
      </c>
      <c r="S3" s="153" t="s">
        <v>216</v>
      </c>
      <c r="T3" s="166">
        <f t="shared" ref="T3:AC7" si="3">+SUMIF($C$16:$C$100003,$S3,T$16:T$100003)</f>
        <v>340856</v>
      </c>
      <c r="U3" s="166">
        <f t="shared" si="3"/>
        <v>255716.69</v>
      </c>
      <c r="V3" s="166">
        <f t="shared" si="3"/>
        <v>448388.6</v>
      </c>
      <c r="W3" s="166">
        <f t="shared" si="3"/>
        <v>511615.36</v>
      </c>
      <c r="X3" s="166">
        <f t="shared" si="3"/>
        <v>325412.26041433372</v>
      </c>
      <c r="Y3" s="166">
        <f t="shared" si="3"/>
        <v>323398.16000000003</v>
      </c>
      <c r="Z3" s="166">
        <f t="shared" si="3"/>
        <v>384756.48936170212</v>
      </c>
      <c r="AA3" s="166">
        <f t="shared" si="3"/>
        <v>275526.33</v>
      </c>
      <c r="AB3" s="166">
        <f t="shared" si="3"/>
        <v>284227.20000000001</v>
      </c>
      <c r="AC3" s="166">
        <f t="shared" si="3"/>
        <v>349973.79</v>
      </c>
      <c r="AD3" s="166">
        <f t="shared" ref="AD3:AQ7" si="4">+SUMIF($C$16:$C$100003,$S3,AD$16:AD$100003)</f>
        <v>233000</v>
      </c>
      <c r="AE3" s="166">
        <f t="shared" si="4"/>
        <v>255281.17</v>
      </c>
      <c r="AF3" s="166">
        <f t="shared" si="4"/>
        <v>274389.59000000003</v>
      </c>
      <c r="AG3" s="166">
        <f t="shared" si="4"/>
        <v>412209.94</v>
      </c>
      <c r="AH3" s="166">
        <f t="shared" si="4"/>
        <v>226089.69</v>
      </c>
      <c r="AI3" s="166">
        <f t="shared" si="4"/>
        <v>129501</v>
      </c>
      <c r="AJ3" s="166">
        <f t="shared" si="4"/>
        <v>314408.88</v>
      </c>
      <c r="AK3" s="166">
        <f t="shared" si="4"/>
        <v>238876.03950000001</v>
      </c>
      <c r="AL3" s="166">
        <f t="shared" si="4"/>
        <v>244000</v>
      </c>
      <c r="AM3" s="166">
        <f t="shared" si="4"/>
        <v>264271.81300000002</v>
      </c>
      <c r="AN3" s="166">
        <f t="shared" si="4"/>
        <v>240211</v>
      </c>
      <c r="AO3" s="166">
        <f t="shared" si="4"/>
        <v>165947.8995</v>
      </c>
      <c r="AP3" s="166">
        <f t="shared" si="4"/>
        <v>118468</v>
      </c>
      <c r="AQ3" s="166">
        <f t="shared" si="4"/>
        <v>295647</v>
      </c>
      <c r="AR3" s="166">
        <f>+SUM(T3,V3,X3,Z3,AB3,AD3,AF3,AH3,AJ3,AL3,AN3,AP3)</f>
        <v>3434207.7097760355</v>
      </c>
      <c r="AS3" s="166">
        <f t="shared" ref="AS3:AS7" si="5">+SUM(U3,W3,Y3,AA3,AC3,AE3,AG3,AI3,AK3,AM3,AO3,AQ3)</f>
        <v>3477965.1919999998</v>
      </c>
      <c r="AT3" s="166"/>
      <c r="AU3" s="166">
        <f t="shared" ref="AU3:BJ6" si="6">+SUMIF($C$16:$C$100003,$S3,AU$16:AU$100003)</f>
        <v>49020</v>
      </c>
      <c r="AV3" s="166">
        <f t="shared" si="6"/>
        <v>51020</v>
      </c>
      <c r="AW3" s="166">
        <f t="shared" si="6"/>
        <v>0</v>
      </c>
      <c r="AX3" s="166">
        <f t="shared" si="6"/>
        <v>181987.31975370913</v>
      </c>
      <c r="AY3" s="166">
        <f t="shared" si="6"/>
        <v>270830.24800000002</v>
      </c>
      <c r="AZ3" s="166">
        <f t="shared" si="6"/>
        <v>238700</v>
      </c>
      <c r="BA3" s="166">
        <f t="shared" si="6"/>
        <v>302764</v>
      </c>
      <c r="BB3" s="166">
        <f t="shared" si="6"/>
        <v>0</v>
      </c>
      <c r="BC3" s="166">
        <f t="shared" si="6"/>
        <v>246879.99111111113</v>
      </c>
      <c r="BD3" s="166">
        <f t="shared" si="6"/>
        <v>222877</v>
      </c>
      <c r="BE3" s="166">
        <f t="shared" si="6"/>
        <v>255577</v>
      </c>
      <c r="BF3" s="166">
        <f t="shared" si="6"/>
        <v>249762</v>
      </c>
      <c r="BG3" s="166">
        <f t="shared" si="6"/>
        <v>248583</v>
      </c>
      <c r="BH3" s="166">
        <f t="shared" si="6"/>
        <v>255946</v>
      </c>
      <c r="BI3" s="166">
        <f t="shared" si="6"/>
        <v>233108.43</v>
      </c>
      <c r="BJ3" s="166">
        <f t="shared" si="6"/>
        <v>153639</v>
      </c>
      <c r="BK3" s="166">
        <f t="shared" ref="BJ3:BL6" si="7">+SUMIF($C$16:$C$100003,$S3,BK$16:BK$100003)</f>
        <v>0</v>
      </c>
      <c r="BL3" s="166">
        <f t="shared" si="7"/>
        <v>0</v>
      </c>
    </row>
    <row r="4" spans="1:85" ht="14" customHeight="1" x14ac:dyDescent="0.2">
      <c r="H4" s="153" t="s">
        <v>309</v>
      </c>
      <c r="I4" s="212">
        <f t="shared" si="0"/>
        <v>4030611</v>
      </c>
      <c r="J4" s="212">
        <f t="shared" si="0"/>
        <v>3374037.897476241</v>
      </c>
      <c r="K4" s="178">
        <f t="shared" si="1"/>
        <v>0.83710333184627372</v>
      </c>
      <c r="L4" s="212">
        <f t="shared" si="2"/>
        <v>530757</v>
      </c>
      <c r="S4" s="153" t="s">
        <v>309</v>
      </c>
      <c r="T4" s="166">
        <f t="shared" si="3"/>
        <v>103740</v>
      </c>
      <c r="U4" s="166">
        <f t="shared" si="3"/>
        <v>103850</v>
      </c>
      <c r="V4" s="166">
        <f t="shared" si="3"/>
        <v>117384</v>
      </c>
      <c r="W4" s="166">
        <f t="shared" si="3"/>
        <v>100351</v>
      </c>
      <c r="X4" s="166">
        <f t="shared" si="3"/>
        <v>263870</v>
      </c>
      <c r="Y4" s="166">
        <f t="shared" si="3"/>
        <v>213819</v>
      </c>
      <c r="Z4" s="166">
        <f t="shared" si="3"/>
        <v>137526</v>
      </c>
      <c r="AA4" s="166">
        <f t="shared" si="3"/>
        <v>176841</v>
      </c>
      <c r="AB4" s="166">
        <f t="shared" si="3"/>
        <v>326891.3361521418</v>
      </c>
      <c r="AC4" s="166">
        <f t="shared" si="3"/>
        <v>149014</v>
      </c>
      <c r="AD4" s="166">
        <f t="shared" si="4"/>
        <v>447034</v>
      </c>
      <c r="AE4" s="166">
        <f t="shared" si="4"/>
        <v>631658.59000000008</v>
      </c>
      <c r="AF4" s="166">
        <f t="shared" si="4"/>
        <v>335019</v>
      </c>
      <c r="AG4" s="166">
        <f t="shared" si="4"/>
        <v>80424.917476240778</v>
      </c>
      <c r="AH4" s="166">
        <f t="shared" si="4"/>
        <v>331877</v>
      </c>
      <c r="AI4" s="166">
        <f t="shared" si="4"/>
        <v>230006.1</v>
      </c>
      <c r="AJ4" s="166">
        <f t="shared" si="4"/>
        <v>315706</v>
      </c>
      <c r="AK4" s="166">
        <f t="shared" si="4"/>
        <v>48558</v>
      </c>
      <c r="AL4" s="166">
        <f t="shared" si="4"/>
        <v>175236.9</v>
      </c>
      <c r="AM4" s="166">
        <f t="shared" si="4"/>
        <v>358178</v>
      </c>
      <c r="AN4" s="166">
        <f t="shared" si="4"/>
        <v>136864.09839016321</v>
      </c>
      <c r="AO4" s="166">
        <f t="shared" si="4"/>
        <v>256601</v>
      </c>
      <c r="AP4" s="166">
        <f t="shared" si="4"/>
        <v>88844</v>
      </c>
      <c r="AQ4" s="166">
        <f t="shared" si="4"/>
        <v>115752</v>
      </c>
      <c r="AR4" s="166">
        <f t="shared" ref="AR4:AR7" si="8">+SUM(T4,V4,X4,Z4,AB4,AD4,AF4,AH4,AJ4,AL4,AN4,AP4)</f>
        <v>2779992.3345423052</v>
      </c>
      <c r="AS4" s="166">
        <f t="shared" si="5"/>
        <v>2465053.607476241</v>
      </c>
      <c r="AT4" s="166"/>
      <c r="AU4" s="166">
        <f t="shared" si="6"/>
        <v>216318</v>
      </c>
      <c r="AV4" s="166">
        <f t="shared" si="6"/>
        <v>199639</v>
      </c>
      <c r="AW4" s="166">
        <f t="shared" si="6"/>
        <v>163867</v>
      </c>
      <c r="AX4" s="166">
        <f t="shared" si="6"/>
        <v>179161.57081566149</v>
      </c>
      <c r="AY4" s="166">
        <f t="shared" si="6"/>
        <v>245128</v>
      </c>
      <c r="AZ4" s="166">
        <f t="shared" si="6"/>
        <v>220895</v>
      </c>
      <c r="BA4" s="166">
        <f t="shared" si="6"/>
        <v>184549</v>
      </c>
      <c r="BB4" s="166">
        <f t="shared" si="6"/>
        <v>0</v>
      </c>
      <c r="BC4" s="166">
        <f t="shared" si="6"/>
        <v>150769</v>
      </c>
      <c r="BD4" s="166">
        <f t="shared" si="6"/>
        <v>206526</v>
      </c>
      <c r="BE4" s="166">
        <f t="shared" si="6"/>
        <v>191526</v>
      </c>
      <c r="BF4" s="166">
        <f t="shared" si="6"/>
        <v>197304.29</v>
      </c>
      <c r="BG4" s="166">
        <f t="shared" si="6"/>
        <v>191209.95199999999</v>
      </c>
      <c r="BH4" s="166">
        <f t="shared" si="6"/>
        <v>191209.95199999999</v>
      </c>
      <c r="BI4" s="166">
        <f t="shared" si="6"/>
        <v>102316</v>
      </c>
      <c r="BJ4" s="166">
        <f t="shared" si="7"/>
        <v>259367.94</v>
      </c>
      <c r="BK4" s="166">
        <f t="shared" si="7"/>
        <v>0</v>
      </c>
      <c r="BL4" s="166">
        <f t="shared" si="7"/>
        <v>0</v>
      </c>
    </row>
    <row r="5" spans="1:85" ht="14" customHeight="1" x14ac:dyDescent="0.2">
      <c r="H5" s="153" t="s">
        <v>308</v>
      </c>
      <c r="I5" s="212">
        <f t="shared" si="0"/>
        <v>3389345.14</v>
      </c>
      <c r="J5" s="212">
        <f t="shared" si="0"/>
        <v>2655222.1366765499</v>
      </c>
      <c r="K5" s="178">
        <f t="shared" si="1"/>
        <v>0.78340270081687513</v>
      </c>
      <c r="L5" s="212">
        <f t="shared" si="2"/>
        <v>634587</v>
      </c>
      <c r="S5" s="153" t="s">
        <v>308</v>
      </c>
      <c r="T5" s="166">
        <f t="shared" si="3"/>
        <v>76700</v>
      </c>
      <c r="U5" s="166">
        <f t="shared" si="3"/>
        <v>98907.839999999997</v>
      </c>
      <c r="V5" s="166">
        <f t="shared" si="3"/>
        <v>79136.763039723664</v>
      </c>
      <c r="W5" s="166">
        <f t="shared" si="3"/>
        <v>81867.459999999992</v>
      </c>
      <c r="X5" s="166">
        <f t="shared" si="3"/>
        <v>73353.773148148102</v>
      </c>
      <c r="Y5" s="166">
        <f t="shared" si="3"/>
        <v>33746</v>
      </c>
      <c r="Z5" s="166">
        <f t="shared" si="3"/>
        <v>15000</v>
      </c>
      <c r="AA5" s="166">
        <f t="shared" si="3"/>
        <v>90067</v>
      </c>
      <c r="AB5" s="166">
        <f t="shared" si="3"/>
        <v>107863.81551724138</v>
      </c>
      <c r="AC5" s="166">
        <f t="shared" si="3"/>
        <v>95366</v>
      </c>
      <c r="AD5" s="166">
        <f t="shared" si="4"/>
        <v>130100</v>
      </c>
      <c r="AE5" s="166">
        <f t="shared" si="4"/>
        <v>189828.59547169809</v>
      </c>
      <c r="AF5" s="166">
        <f t="shared" si="4"/>
        <v>127926</v>
      </c>
      <c r="AG5" s="166">
        <f t="shared" si="4"/>
        <v>137434.15594339621</v>
      </c>
      <c r="AH5" s="166">
        <f t="shared" si="4"/>
        <v>314474</v>
      </c>
      <c r="AI5" s="166">
        <f t="shared" si="4"/>
        <v>276155.54122641508</v>
      </c>
      <c r="AJ5" s="166">
        <f t="shared" si="4"/>
        <v>192401.95119119162</v>
      </c>
      <c r="AK5" s="166">
        <f t="shared" si="4"/>
        <v>231474.16235849058</v>
      </c>
      <c r="AL5" s="166">
        <f t="shared" si="4"/>
        <v>188939.58999999997</v>
      </c>
      <c r="AM5" s="166">
        <f t="shared" si="4"/>
        <v>196627.77377358492</v>
      </c>
      <c r="AN5" s="166">
        <f t="shared" si="4"/>
        <v>210703</v>
      </c>
      <c r="AO5" s="166">
        <f t="shared" si="4"/>
        <v>228936.71386792453</v>
      </c>
      <c r="AP5" s="166">
        <f t="shared" si="4"/>
        <v>179490.48200000002</v>
      </c>
      <c r="AQ5" s="166">
        <f t="shared" si="4"/>
        <v>173402.19632075471</v>
      </c>
      <c r="AR5" s="166">
        <f t="shared" si="8"/>
        <v>1696089.3748963049</v>
      </c>
      <c r="AS5" s="166">
        <f t="shared" si="5"/>
        <v>1833813.4389622642</v>
      </c>
      <c r="AT5" s="166"/>
      <c r="AU5" s="166">
        <f t="shared" si="6"/>
        <v>110167.6862</v>
      </c>
      <c r="AV5" s="166">
        <f t="shared" si="6"/>
        <v>117945.6862</v>
      </c>
      <c r="AW5" s="166">
        <f t="shared" si="6"/>
        <v>116646.7099047619</v>
      </c>
      <c r="AX5" s="166">
        <f t="shared" si="6"/>
        <v>134997.32798257645</v>
      </c>
      <c r="AY5" s="166">
        <f t="shared" si="6"/>
        <v>130500</v>
      </c>
      <c r="AZ5" s="166">
        <f t="shared" si="6"/>
        <v>140165.78780952381</v>
      </c>
      <c r="BA5" s="166">
        <f t="shared" si="6"/>
        <v>110484.64</v>
      </c>
      <c r="BB5" s="166">
        <f t="shared" si="6"/>
        <v>0</v>
      </c>
      <c r="BC5" s="166">
        <f t="shared" si="6"/>
        <v>106579.2</v>
      </c>
      <c r="BD5" s="166">
        <f t="shared" si="6"/>
        <v>82559.489999999991</v>
      </c>
      <c r="BE5" s="166">
        <f t="shared" si="6"/>
        <v>70509</v>
      </c>
      <c r="BF5" s="166">
        <f t="shared" si="6"/>
        <v>47282</v>
      </c>
      <c r="BG5" s="166">
        <f t="shared" si="6"/>
        <v>78000</v>
      </c>
      <c r="BH5" s="166">
        <f t="shared" si="6"/>
        <v>78000</v>
      </c>
      <c r="BI5" s="166">
        <f t="shared" si="6"/>
        <v>56496</v>
      </c>
      <c r="BJ5" s="166">
        <f t="shared" si="7"/>
        <v>214382.03795999131</v>
      </c>
      <c r="BK5" s="166">
        <f t="shared" si="7"/>
        <v>0</v>
      </c>
      <c r="BL5" s="166">
        <f t="shared" si="7"/>
        <v>0</v>
      </c>
    </row>
    <row r="6" spans="1:85" ht="14" customHeight="1" x14ac:dyDescent="0.2">
      <c r="H6" s="153" t="s">
        <v>69</v>
      </c>
      <c r="I6" s="212">
        <f t="shared" si="0"/>
        <v>3359798</v>
      </c>
      <c r="J6" s="212">
        <f t="shared" si="0"/>
        <v>2234610.41</v>
      </c>
      <c r="K6" s="178">
        <f t="shared" si="1"/>
        <v>0.66510260735913296</v>
      </c>
      <c r="L6" s="212">
        <f t="shared" si="2"/>
        <v>1108886.5899999999</v>
      </c>
      <c r="S6" s="153" t="s">
        <v>69</v>
      </c>
      <c r="T6" s="166">
        <f t="shared" si="3"/>
        <v>197000</v>
      </c>
      <c r="U6" s="166">
        <f t="shared" si="3"/>
        <v>210621.4</v>
      </c>
      <c r="V6" s="166">
        <f t="shared" si="3"/>
        <v>228000</v>
      </c>
      <c r="W6" s="166">
        <f t="shared" si="3"/>
        <v>197956</v>
      </c>
      <c r="X6" s="166">
        <f t="shared" si="3"/>
        <v>149014</v>
      </c>
      <c r="Y6" s="166">
        <f t="shared" si="3"/>
        <v>122850</v>
      </c>
      <c r="Z6" s="166">
        <f t="shared" si="3"/>
        <v>74025</v>
      </c>
      <c r="AA6" s="166">
        <f t="shared" si="3"/>
        <v>161615</v>
      </c>
      <c r="AB6" s="166">
        <f t="shared" si="3"/>
        <v>115254</v>
      </c>
      <c r="AC6" s="166">
        <f t="shared" si="3"/>
        <v>135903</v>
      </c>
      <c r="AD6" s="166">
        <f t="shared" si="4"/>
        <v>100000</v>
      </c>
      <c r="AE6" s="166">
        <f t="shared" si="4"/>
        <v>129000</v>
      </c>
      <c r="AF6" s="166">
        <f t="shared" si="4"/>
        <v>50000</v>
      </c>
      <c r="AG6" s="166">
        <f t="shared" si="4"/>
        <v>114100</v>
      </c>
      <c r="AH6" s="166">
        <f t="shared" si="4"/>
        <v>50000</v>
      </c>
      <c r="AI6" s="166">
        <f t="shared" si="4"/>
        <v>150000</v>
      </c>
      <c r="AJ6" s="166">
        <f t="shared" si="4"/>
        <v>152400</v>
      </c>
      <c r="AK6" s="166">
        <f t="shared" si="4"/>
        <v>178500</v>
      </c>
      <c r="AL6" s="166">
        <f t="shared" si="4"/>
        <v>97075</v>
      </c>
      <c r="AM6" s="166">
        <f t="shared" si="4"/>
        <v>52075</v>
      </c>
      <c r="AN6" s="166">
        <f t="shared" si="4"/>
        <v>60000</v>
      </c>
      <c r="AO6" s="166">
        <f t="shared" si="4"/>
        <v>126310</v>
      </c>
      <c r="AP6" s="166">
        <f t="shared" si="4"/>
        <v>38000</v>
      </c>
      <c r="AQ6" s="166">
        <f t="shared" si="4"/>
        <v>28311</v>
      </c>
      <c r="AR6" s="166">
        <f t="shared" si="8"/>
        <v>1310768</v>
      </c>
      <c r="AS6" s="166">
        <f t="shared" si="5"/>
        <v>1607241.4</v>
      </c>
      <c r="AT6" s="166"/>
      <c r="AU6" s="166">
        <f t="shared" si="6"/>
        <v>20000</v>
      </c>
      <c r="AV6" s="166">
        <f t="shared" si="6"/>
        <v>30994</v>
      </c>
      <c r="AW6" s="166">
        <f t="shared" si="6"/>
        <v>38737</v>
      </c>
      <c r="AX6" s="166">
        <f t="shared" si="6"/>
        <v>129145.28405320522</v>
      </c>
      <c r="AY6" s="166">
        <f t="shared" si="6"/>
        <v>85000</v>
      </c>
      <c r="AZ6" s="166">
        <f t="shared" si="6"/>
        <v>6418</v>
      </c>
      <c r="BA6" s="166">
        <f t="shared" si="6"/>
        <v>146825</v>
      </c>
      <c r="BB6" s="166">
        <f t="shared" si="6"/>
        <v>0</v>
      </c>
      <c r="BC6" s="166">
        <f t="shared" si="6"/>
        <v>235226</v>
      </c>
      <c r="BD6" s="166">
        <f t="shared" si="6"/>
        <v>134751</v>
      </c>
      <c r="BE6" s="166">
        <f t="shared" si="6"/>
        <v>142751</v>
      </c>
      <c r="BF6" s="166">
        <f t="shared" si="6"/>
        <v>124360</v>
      </c>
      <c r="BG6" s="166">
        <f t="shared" si="6"/>
        <v>153000</v>
      </c>
      <c r="BH6" s="166">
        <f t="shared" si="6"/>
        <v>153000</v>
      </c>
      <c r="BI6" s="166">
        <f t="shared" si="6"/>
        <v>109887.41</v>
      </c>
      <c r="BJ6" s="166">
        <f t="shared" si="7"/>
        <v>130000</v>
      </c>
      <c r="BK6" s="166">
        <f t="shared" si="7"/>
        <v>0</v>
      </c>
      <c r="BL6" s="166">
        <f t="shared" si="7"/>
        <v>0</v>
      </c>
    </row>
    <row r="7" spans="1:85" ht="14" customHeight="1" x14ac:dyDescent="0.2">
      <c r="H7" s="153" t="s">
        <v>383</v>
      </c>
      <c r="I7" s="212">
        <f t="shared" si="0"/>
        <v>4897422</v>
      </c>
      <c r="J7" s="212">
        <f t="shared" si="0"/>
        <v>3744783.7</v>
      </c>
      <c r="K7" s="178">
        <f t="shared" si="1"/>
        <v>0.76464386773286031</v>
      </c>
      <c r="L7" s="212">
        <f t="shared" si="2"/>
        <v>0</v>
      </c>
      <c r="S7" s="153" t="s">
        <v>383</v>
      </c>
      <c r="T7" s="166">
        <f t="shared" si="3"/>
        <v>0</v>
      </c>
      <c r="U7" s="166">
        <f t="shared" si="3"/>
        <v>0</v>
      </c>
      <c r="V7" s="166">
        <f t="shared" si="3"/>
        <v>0</v>
      </c>
      <c r="W7" s="166">
        <f t="shared" si="3"/>
        <v>0</v>
      </c>
      <c r="X7" s="166">
        <f t="shared" si="3"/>
        <v>0</v>
      </c>
      <c r="Y7" s="166">
        <f t="shared" si="3"/>
        <v>0</v>
      </c>
      <c r="Z7" s="166">
        <f t="shared" si="3"/>
        <v>0</v>
      </c>
      <c r="AA7" s="166">
        <f t="shared" si="3"/>
        <v>0</v>
      </c>
      <c r="AB7" s="166">
        <f t="shared" si="3"/>
        <v>0</v>
      </c>
      <c r="AC7" s="166">
        <f t="shared" si="3"/>
        <v>0</v>
      </c>
      <c r="AD7" s="166">
        <f t="shared" si="4"/>
        <v>0</v>
      </c>
      <c r="AE7" s="166">
        <f t="shared" si="4"/>
        <v>0</v>
      </c>
      <c r="AF7" s="166">
        <f t="shared" si="4"/>
        <v>0</v>
      </c>
      <c r="AG7" s="166">
        <f t="shared" si="4"/>
        <v>0</v>
      </c>
      <c r="AH7" s="166">
        <f t="shared" si="4"/>
        <v>0</v>
      </c>
      <c r="AI7" s="166">
        <f t="shared" si="4"/>
        <v>0</v>
      </c>
      <c r="AJ7" s="166">
        <f t="shared" si="4"/>
        <v>0</v>
      </c>
      <c r="AK7" s="166">
        <f t="shared" si="4"/>
        <v>0</v>
      </c>
      <c r="AL7" s="166">
        <f t="shared" si="4"/>
        <v>0</v>
      </c>
      <c r="AM7" s="166">
        <f t="shared" si="4"/>
        <v>0</v>
      </c>
      <c r="AN7" s="166">
        <f t="shared" si="4"/>
        <v>0</v>
      </c>
      <c r="AO7" s="166">
        <f t="shared" si="4"/>
        <v>0</v>
      </c>
      <c r="AP7" s="166">
        <f t="shared" si="4"/>
        <v>0</v>
      </c>
      <c r="AQ7" s="166">
        <f t="shared" si="4"/>
        <v>0</v>
      </c>
      <c r="AR7" s="166">
        <f t="shared" si="8"/>
        <v>0</v>
      </c>
      <c r="AS7" s="166">
        <f t="shared" si="5"/>
        <v>0</v>
      </c>
      <c r="AT7" s="166"/>
      <c r="AU7" s="166">
        <f t="shared" ref="AU7:BB8" si="9">+SUMIF($C$16:$C$100003,$S7,AU$16:AU$100003)</f>
        <v>1390110</v>
      </c>
      <c r="AV7" s="166">
        <f t="shared" si="9"/>
        <v>1339110</v>
      </c>
      <c r="AW7" s="166">
        <f t="shared" si="9"/>
        <v>0</v>
      </c>
      <c r="AX7" s="166">
        <f t="shared" si="9"/>
        <v>153078.71246956993</v>
      </c>
      <c r="AY7" s="166">
        <f t="shared" si="9"/>
        <v>1376640</v>
      </c>
      <c r="AZ7" s="166">
        <f t="shared" si="9"/>
        <v>0</v>
      </c>
      <c r="BA7" s="166">
        <f t="shared" si="9"/>
        <v>70000</v>
      </c>
      <c r="BB7" s="166">
        <f t="shared" si="9"/>
        <v>0</v>
      </c>
      <c r="BC7" s="362">
        <f>+SUMIF($C$16:$C$100003,$S7,BC$16:BC$100003)-1343878+400000</f>
        <v>666414</v>
      </c>
      <c r="BD7" s="166">
        <f t="shared" ref="BD7:BL8" si="10">+SUMIF($C$16:$C$100003,$S7,BD$16:BD$100003)</f>
        <v>81020</v>
      </c>
      <c r="BE7" s="166">
        <f t="shared" si="10"/>
        <v>81020</v>
      </c>
      <c r="BF7" s="166">
        <f t="shared" si="10"/>
        <v>81020</v>
      </c>
      <c r="BG7" s="166">
        <f t="shared" si="10"/>
        <v>0</v>
      </c>
      <c r="BH7" s="166">
        <f t="shared" si="10"/>
        <v>0</v>
      </c>
      <c r="BI7" s="166">
        <f t="shared" si="10"/>
        <v>0</v>
      </c>
      <c r="BJ7" s="166">
        <f t="shared" si="10"/>
        <v>0</v>
      </c>
      <c r="BK7" s="166">
        <f t="shared" si="10"/>
        <v>0</v>
      </c>
      <c r="BL7" s="166">
        <f t="shared" si="10"/>
        <v>0</v>
      </c>
    </row>
    <row r="8" spans="1:85" ht="14" customHeight="1" x14ac:dyDescent="0.2">
      <c r="H8" s="153" t="s">
        <v>548</v>
      </c>
      <c r="I8" s="212">
        <f t="shared" si="0"/>
        <v>133713</v>
      </c>
      <c r="J8" s="212">
        <f t="shared" si="0"/>
        <v>47121</v>
      </c>
      <c r="K8" s="178">
        <f t="shared" ref="K8" si="11">+IFERROR(J8/I8,0)</f>
        <v>0.35240402952592492</v>
      </c>
      <c r="L8" s="212">
        <f t="shared" si="2"/>
        <v>86592</v>
      </c>
      <c r="S8" s="153" t="s">
        <v>548</v>
      </c>
      <c r="T8" s="166"/>
      <c r="U8" s="166"/>
      <c r="V8" s="166"/>
      <c r="W8" s="166"/>
      <c r="X8" s="166"/>
      <c r="Y8" s="166"/>
      <c r="Z8" s="166"/>
      <c r="AA8" s="166"/>
      <c r="AB8" s="166"/>
      <c r="AC8" s="166"/>
      <c r="AD8" s="166"/>
      <c r="AE8" s="166"/>
      <c r="AF8" s="166"/>
      <c r="AG8" s="166"/>
      <c r="AH8" s="166"/>
      <c r="AI8" s="166"/>
      <c r="AJ8" s="166"/>
      <c r="AK8" s="166"/>
      <c r="AL8" s="166"/>
      <c r="AM8" s="166"/>
      <c r="AN8" s="166"/>
      <c r="AO8" s="166"/>
      <c r="AP8" s="166"/>
      <c r="AQ8" s="166"/>
      <c r="AR8" s="166"/>
      <c r="AS8" s="166"/>
      <c r="AT8" s="166"/>
      <c r="AU8" s="166">
        <f t="shared" si="9"/>
        <v>0</v>
      </c>
      <c r="AV8" s="166">
        <f t="shared" si="9"/>
        <v>0</v>
      </c>
      <c r="AW8" s="166">
        <f t="shared" si="9"/>
        <v>0</v>
      </c>
      <c r="AX8" s="166">
        <f t="shared" si="9"/>
        <v>0</v>
      </c>
      <c r="AY8" s="166">
        <f t="shared" si="9"/>
        <v>0</v>
      </c>
      <c r="AZ8" s="166">
        <f t="shared" si="9"/>
        <v>0</v>
      </c>
      <c r="BA8" s="166">
        <f t="shared" si="9"/>
        <v>0</v>
      </c>
      <c r="BB8" s="166">
        <f t="shared" si="9"/>
        <v>0</v>
      </c>
      <c r="BC8" s="166">
        <f>+SUMIF($C$16:$C$100003,$S8,BC$16:BC$100003)</f>
        <v>0</v>
      </c>
      <c r="BD8" s="166">
        <f t="shared" si="10"/>
        <v>0</v>
      </c>
      <c r="BE8" s="166">
        <f t="shared" si="10"/>
        <v>0</v>
      </c>
      <c r="BF8" s="166">
        <f t="shared" si="10"/>
        <v>0</v>
      </c>
      <c r="BG8" s="166">
        <f t="shared" si="10"/>
        <v>30727</v>
      </c>
      <c r="BH8" s="166">
        <f t="shared" si="10"/>
        <v>35000</v>
      </c>
      <c r="BI8" s="166">
        <f t="shared" si="10"/>
        <v>47121</v>
      </c>
      <c r="BJ8" s="166">
        <f t="shared" si="10"/>
        <v>86592</v>
      </c>
      <c r="BK8" s="166">
        <f t="shared" si="10"/>
        <v>0</v>
      </c>
      <c r="BL8" s="166">
        <f t="shared" si="10"/>
        <v>0</v>
      </c>
    </row>
    <row r="9" spans="1:85" ht="14" customHeight="1" x14ac:dyDescent="0.2">
      <c r="H9" s="193" t="s">
        <v>466</v>
      </c>
      <c r="I9" s="194">
        <f>SUM(I3:I8)</f>
        <v>22418088.02</v>
      </c>
      <c r="J9" s="194">
        <f>SUM(J3:J8)</f>
        <v>18113379.437263902</v>
      </c>
      <c r="K9" s="213">
        <f t="shared" si="1"/>
        <v>0.8079805655640343</v>
      </c>
      <c r="L9" s="194">
        <f>SUM(L3:L8)</f>
        <v>2830052.1688888888</v>
      </c>
      <c r="S9" s="193" t="s">
        <v>466</v>
      </c>
      <c r="T9" s="194">
        <f>SUM(T3:T7)</f>
        <v>718296</v>
      </c>
      <c r="U9" s="194">
        <f t="shared" ref="U9:AS9" si="12">SUM(U3:U7)</f>
        <v>669095.93000000005</v>
      </c>
      <c r="V9" s="194">
        <f t="shared" si="12"/>
        <v>872909.3630397236</v>
      </c>
      <c r="W9" s="194">
        <f t="shared" si="12"/>
        <v>891789.82</v>
      </c>
      <c r="X9" s="194">
        <f t="shared" si="12"/>
        <v>811650.03356248187</v>
      </c>
      <c r="Y9" s="194">
        <f t="shared" si="12"/>
        <v>693813.16</v>
      </c>
      <c r="Z9" s="194">
        <f t="shared" si="12"/>
        <v>611307.48936170212</v>
      </c>
      <c r="AA9" s="194">
        <f t="shared" si="12"/>
        <v>704049.33000000007</v>
      </c>
      <c r="AB9" s="194">
        <f t="shared" si="12"/>
        <v>834236.35166938324</v>
      </c>
      <c r="AC9" s="194">
        <f t="shared" si="12"/>
        <v>730256.79</v>
      </c>
      <c r="AD9" s="194">
        <f t="shared" si="12"/>
        <v>910134</v>
      </c>
      <c r="AE9" s="194">
        <f t="shared" si="12"/>
        <v>1205768.3554716981</v>
      </c>
      <c r="AF9" s="194">
        <f t="shared" si="12"/>
        <v>787334.59000000008</v>
      </c>
      <c r="AG9" s="194">
        <f t="shared" si="12"/>
        <v>744169.01341963699</v>
      </c>
      <c r="AH9" s="194">
        <f t="shared" si="12"/>
        <v>922440.69</v>
      </c>
      <c r="AI9" s="194">
        <f t="shared" si="12"/>
        <v>785662.64122641506</v>
      </c>
      <c r="AJ9" s="194">
        <f t="shared" si="12"/>
        <v>974916.83119119168</v>
      </c>
      <c r="AK9" s="194">
        <f t="shared" si="12"/>
        <v>697408.20185849059</v>
      </c>
      <c r="AL9" s="194">
        <f t="shared" si="12"/>
        <v>705251.49</v>
      </c>
      <c r="AM9" s="194">
        <f t="shared" si="12"/>
        <v>871152.58677358506</v>
      </c>
      <c r="AN9" s="194">
        <f t="shared" si="12"/>
        <v>647778.09839016316</v>
      </c>
      <c r="AO9" s="194">
        <f t="shared" si="12"/>
        <v>777795.61336792447</v>
      </c>
      <c r="AP9" s="194">
        <f t="shared" si="12"/>
        <v>424802.48200000002</v>
      </c>
      <c r="AQ9" s="194">
        <f t="shared" si="12"/>
        <v>613112.19632075471</v>
      </c>
      <c r="AR9" s="194">
        <f t="shared" si="12"/>
        <v>9221057.4192146454</v>
      </c>
      <c r="AS9" s="194">
        <f t="shared" si="12"/>
        <v>9384073.6384385042</v>
      </c>
      <c r="AT9" s="196"/>
      <c r="AU9" s="194">
        <f>SUM(AU3:AU8)</f>
        <v>1785615.6861999999</v>
      </c>
      <c r="AV9" s="194">
        <f t="shared" ref="AV9:BI9" si="13">SUM(AV3:AV8)</f>
        <v>1738708.6861999999</v>
      </c>
      <c r="AW9" s="194">
        <f t="shared" si="13"/>
        <v>319250.70990476187</v>
      </c>
      <c r="AX9" s="194">
        <f t="shared" si="13"/>
        <v>778370.21507472219</v>
      </c>
      <c r="AY9" s="194">
        <f t="shared" si="13"/>
        <v>2108098.2480000001</v>
      </c>
      <c r="AZ9" s="194">
        <f t="shared" si="13"/>
        <v>606178.78780952375</v>
      </c>
      <c r="BA9" s="194">
        <f t="shared" si="13"/>
        <v>814622.64</v>
      </c>
      <c r="BB9" s="194">
        <f t="shared" si="13"/>
        <v>0</v>
      </c>
      <c r="BC9" s="194">
        <f t="shared" si="13"/>
        <v>1405868.1911111111</v>
      </c>
      <c r="BD9" s="194">
        <f t="shared" si="13"/>
        <v>727733.49</v>
      </c>
      <c r="BE9" s="194">
        <f t="shared" si="13"/>
        <v>741383</v>
      </c>
      <c r="BF9" s="194">
        <f t="shared" si="13"/>
        <v>699728.29</v>
      </c>
      <c r="BG9" s="194">
        <f t="shared" si="13"/>
        <v>701519.95200000005</v>
      </c>
      <c r="BH9" s="194">
        <f t="shared" si="13"/>
        <v>713155.95200000005</v>
      </c>
      <c r="BI9" s="194">
        <f t="shared" si="13"/>
        <v>548928.84</v>
      </c>
      <c r="BJ9" s="194">
        <f t="shared" ref="BJ9:BL9" si="14">SUM(BJ3:BJ8)</f>
        <v>843980.97795999132</v>
      </c>
      <c r="BK9" s="194">
        <f t="shared" si="14"/>
        <v>0</v>
      </c>
      <c r="BL9" s="194">
        <f t="shared" si="14"/>
        <v>0</v>
      </c>
      <c r="BZ9" s="178">
        <f>+BI9/BG9</f>
        <v>0.78248500051214498</v>
      </c>
      <c r="CA9" s="166"/>
      <c r="CB9" s="166"/>
      <c r="CD9" s="166"/>
    </row>
    <row r="10" spans="1:85" ht="14" customHeight="1" x14ac:dyDescent="0.2">
      <c r="J10" s="166"/>
      <c r="L10" s="191">
        <v>11920</v>
      </c>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c r="AP10" s="166"/>
      <c r="AQ10" s="166"/>
      <c r="AR10" s="166"/>
    </row>
    <row r="11" spans="1:85" x14ac:dyDescent="0.2">
      <c r="L11" s="166">
        <f>+L9+L10</f>
        <v>2841972.1688888888</v>
      </c>
      <c r="S11" s="153" t="s">
        <v>469</v>
      </c>
      <c r="T11" s="153">
        <f t="shared" ref="T11:AQ11" si="15">+COUNTIF(T16:T100007,"&gt;0")</f>
        <v>21</v>
      </c>
      <c r="U11" s="153">
        <f t="shared" si="15"/>
        <v>19</v>
      </c>
      <c r="V11" s="153">
        <f t="shared" si="15"/>
        <v>21</v>
      </c>
      <c r="W11" s="153">
        <f t="shared" si="15"/>
        <v>20</v>
      </c>
      <c r="X11" s="153">
        <f t="shared" si="15"/>
        <v>22</v>
      </c>
      <c r="Y11" s="153">
        <f t="shared" si="15"/>
        <v>17</v>
      </c>
      <c r="Z11" s="153">
        <f t="shared" si="15"/>
        <v>13</v>
      </c>
      <c r="AA11" s="153">
        <f t="shared" si="15"/>
        <v>15</v>
      </c>
      <c r="AB11" s="153">
        <f t="shared" si="15"/>
        <v>17</v>
      </c>
      <c r="AC11" s="153">
        <f t="shared" si="15"/>
        <v>16</v>
      </c>
      <c r="AD11" s="153">
        <f t="shared" si="15"/>
        <v>14</v>
      </c>
      <c r="AE11" s="153">
        <f t="shared" si="15"/>
        <v>14</v>
      </c>
      <c r="AF11" s="153">
        <f t="shared" si="15"/>
        <v>18</v>
      </c>
      <c r="AG11" s="153">
        <f t="shared" si="15"/>
        <v>15</v>
      </c>
      <c r="AH11" s="153">
        <f t="shared" si="15"/>
        <v>22</v>
      </c>
      <c r="AI11" s="153">
        <f t="shared" si="15"/>
        <v>17</v>
      </c>
      <c r="AJ11" s="153">
        <f t="shared" si="15"/>
        <v>26</v>
      </c>
      <c r="AK11" s="153">
        <f t="shared" si="15"/>
        <v>19</v>
      </c>
      <c r="AL11" s="153">
        <f t="shared" si="15"/>
        <v>21</v>
      </c>
      <c r="AM11" s="153">
        <f t="shared" si="15"/>
        <v>22</v>
      </c>
      <c r="AN11" s="153">
        <f t="shared" si="15"/>
        <v>18</v>
      </c>
      <c r="AO11" s="153">
        <f t="shared" si="15"/>
        <v>16</v>
      </c>
      <c r="AP11" s="153">
        <f t="shared" si="15"/>
        <v>11</v>
      </c>
      <c r="AQ11" s="153">
        <f t="shared" si="15"/>
        <v>13</v>
      </c>
      <c r="AR11" s="153">
        <f t="shared" ref="AR11:AS11" si="16">+SUM(T11,V11,X11,Z11,AB11,AD11,AF11,AH11,AJ11,AL11,AN11,AP11)</f>
        <v>224</v>
      </c>
      <c r="AS11" s="153">
        <f t="shared" si="16"/>
        <v>203</v>
      </c>
      <c r="AU11" s="153">
        <f>+COUNTIF(AU16:AU100007,"&gt;0")</f>
        <v>17</v>
      </c>
      <c r="AV11" s="153">
        <f>+COUNTIF(AV16:AV100007,"&gt;0")</f>
        <v>19</v>
      </c>
      <c r="AW11" s="153">
        <f>+COUNTIF(AW16:AW100007,"&gt;0")</f>
        <v>10</v>
      </c>
      <c r="AX11" s="153">
        <f t="shared" ref="AX11:AZ11" si="17">+COUNTIF(AX16:AX100007,"&gt;0")</f>
        <v>15</v>
      </c>
      <c r="AY11" s="153">
        <f t="shared" si="17"/>
        <v>23</v>
      </c>
      <c r="AZ11" s="153">
        <f t="shared" si="17"/>
        <v>17</v>
      </c>
      <c r="BA11" s="153">
        <f t="shared" ref="BA11:BB11" si="18">+COUNTIF(BA16:BA100007,"&gt;0")</f>
        <v>19</v>
      </c>
      <c r="BB11" s="153">
        <f t="shared" si="18"/>
        <v>0</v>
      </c>
      <c r="BC11" s="153">
        <f>+COUNTIF(BC16:BC100007,"&gt;0")</f>
        <v>20</v>
      </c>
      <c r="BD11" s="153">
        <f t="shared" ref="BD11:BI11" si="19">+COUNTIF(BD16:BD100007,"&gt;0")</f>
        <v>26</v>
      </c>
      <c r="BE11" s="153">
        <f t="shared" si="19"/>
        <v>25</v>
      </c>
      <c r="BF11" s="153">
        <f t="shared" si="19"/>
        <v>22</v>
      </c>
      <c r="BG11" s="153">
        <f t="shared" si="19"/>
        <v>20</v>
      </c>
      <c r="BH11" s="153">
        <f t="shared" si="19"/>
        <v>20</v>
      </c>
      <c r="BI11" s="153">
        <f t="shared" si="19"/>
        <v>18</v>
      </c>
    </row>
    <row r="12" spans="1:85" x14ac:dyDescent="0.2">
      <c r="S12" s="153" t="s">
        <v>470</v>
      </c>
      <c r="AR12" s="166">
        <f>+AR9/AR11</f>
        <v>41165.43490720824</v>
      </c>
      <c r="AS12" s="166">
        <f>+AS9/AS11</f>
        <v>46226.963736150268</v>
      </c>
      <c r="AU12" s="166">
        <f>+IFERROR(AU9/AU11,0)</f>
        <v>105036.21683529411</v>
      </c>
      <c r="AV12" s="166">
        <f t="shared" ref="AV12:BC12" si="20">+IFERROR(AV9/AV11,0)</f>
        <v>91510.983484210519</v>
      </c>
      <c r="AW12" s="166">
        <f t="shared" si="20"/>
        <v>31925.070990476186</v>
      </c>
      <c r="AX12" s="166">
        <f t="shared" si="20"/>
        <v>51891.347671648145</v>
      </c>
      <c r="AY12" s="166">
        <f t="shared" si="20"/>
        <v>91656.445565217393</v>
      </c>
      <c r="AZ12" s="166">
        <f t="shared" si="20"/>
        <v>35657.575753501398</v>
      </c>
      <c r="BA12" s="166">
        <f t="shared" si="20"/>
        <v>42874.875789473685</v>
      </c>
      <c r="BB12" s="166">
        <f t="shared" si="20"/>
        <v>0</v>
      </c>
      <c r="BC12" s="166">
        <f t="shared" si="20"/>
        <v>70293.409555555554</v>
      </c>
      <c r="BD12" s="166">
        <f t="shared" ref="BD12:BI12" si="21">+IFERROR(BD9/BD11,0)</f>
        <v>27989.749615384615</v>
      </c>
      <c r="BE12" s="166">
        <f t="shared" si="21"/>
        <v>29655.32</v>
      </c>
      <c r="BF12" s="166">
        <f t="shared" si="21"/>
        <v>31805.831363636364</v>
      </c>
      <c r="BG12" s="166">
        <f t="shared" si="21"/>
        <v>35075.997600000002</v>
      </c>
      <c r="BH12" s="166">
        <f t="shared" si="21"/>
        <v>35657.797600000005</v>
      </c>
      <c r="BI12" s="166">
        <f t="shared" si="21"/>
        <v>30496.046666666665</v>
      </c>
    </row>
    <row r="14" spans="1:85" ht="14.75" customHeight="1" x14ac:dyDescent="0.2">
      <c r="A14" s="153">
        <v>1</v>
      </c>
      <c r="B14" s="153">
        <v>2</v>
      </c>
      <c r="C14" s="153">
        <v>3</v>
      </c>
      <c r="D14" s="153">
        <v>4</v>
      </c>
      <c r="E14" s="153">
        <v>5</v>
      </c>
      <c r="F14" s="153">
        <v>6</v>
      </c>
      <c r="G14" s="153">
        <v>7</v>
      </c>
      <c r="H14" s="153">
        <v>8</v>
      </c>
      <c r="I14" s="153">
        <v>9</v>
      </c>
      <c r="J14" s="153">
        <v>10</v>
      </c>
      <c r="T14" s="364">
        <v>2025</v>
      </c>
      <c r="U14" s="364"/>
      <c r="V14" s="364"/>
      <c r="W14" s="364"/>
      <c r="X14" s="364"/>
      <c r="Y14" s="364"/>
      <c r="Z14" s="364"/>
      <c r="AA14" s="364"/>
      <c r="AB14" s="364"/>
      <c r="AC14" s="364"/>
      <c r="AD14" s="364"/>
      <c r="AE14" s="364"/>
      <c r="AF14" s="364"/>
      <c r="AG14" s="364"/>
      <c r="AH14" s="364"/>
      <c r="AI14" s="364"/>
      <c r="AJ14" s="364"/>
      <c r="AK14" s="364"/>
      <c r="AL14" s="364"/>
      <c r="AM14" s="364"/>
      <c r="AN14" s="364"/>
      <c r="AO14" s="364"/>
      <c r="AP14" s="364"/>
      <c r="AQ14" s="364"/>
      <c r="AR14" s="365">
        <v>2025</v>
      </c>
      <c r="AS14" s="366"/>
      <c r="AT14" s="197"/>
      <c r="AU14" s="364">
        <v>2026</v>
      </c>
      <c r="AV14" s="364"/>
      <c r="AW14" s="364"/>
      <c r="AX14" s="364"/>
      <c r="AY14" s="364"/>
      <c r="AZ14" s="364"/>
      <c r="BA14" s="364"/>
      <c r="BB14" s="364"/>
      <c r="BC14" s="364"/>
      <c r="BD14" s="364"/>
      <c r="BE14" s="364"/>
      <c r="BF14" s="364"/>
      <c r="BG14" s="364"/>
      <c r="BH14" s="364"/>
      <c r="BI14" s="364"/>
      <c r="BJ14" s="364"/>
      <c r="BK14" s="364"/>
      <c r="BL14" s="364"/>
      <c r="BM14" s="364"/>
      <c r="BN14" s="364"/>
      <c r="BO14" s="364"/>
      <c r="BP14" s="364"/>
      <c r="BQ14" s="364"/>
      <c r="BR14" s="364"/>
      <c r="BS14" s="364"/>
      <c r="BT14" s="364"/>
      <c r="BU14" s="364"/>
      <c r="BV14" s="364"/>
      <c r="BW14" s="364"/>
      <c r="BX14" s="364"/>
      <c r="BY14" s="365">
        <v>2026</v>
      </c>
      <c r="BZ14" s="367"/>
      <c r="CA14" s="366"/>
    </row>
    <row r="15" spans="1:85" ht="27.75" customHeight="1" x14ac:dyDescent="0.2">
      <c r="A15" s="205" t="s">
        <v>125</v>
      </c>
      <c r="B15" s="205" t="s">
        <v>127</v>
      </c>
      <c r="C15" s="205" t="s">
        <v>169</v>
      </c>
      <c r="D15" s="206" t="s">
        <v>297</v>
      </c>
      <c r="E15" s="206" t="s">
        <v>128</v>
      </c>
      <c r="F15" s="206" t="s">
        <v>465</v>
      </c>
      <c r="G15" s="206" t="s">
        <v>461</v>
      </c>
      <c r="H15" s="206" t="s">
        <v>111</v>
      </c>
      <c r="I15" s="206" t="s">
        <v>471</v>
      </c>
      <c r="J15" s="206" t="s">
        <v>311</v>
      </c>
      <c r="K15" s="206" t="s">
        <v>310</v>
      </c>
      <c r="L15" s="206" t="s">
        <v>313</v>
      </c>
      <c r="M15" s="206" t="s">
        <v>427</v>
      </c>
      <c r="N15" s="206" t="s">
        <v>149</v>
      </c>
      <c r="O15" s="206" t="s">
        <v>150</v>
      </c>
      <c r="P15" s="206" t="s">
        <v>151</v>
      </c>
      <c r="Q15" s="206" t="s">
        <v>296</v>
      </c>
      <c r="R15" s="206" t="s">
        <v>123</v>
      </c>
      <c r="S15" s="203"/>
      <c r="T15" s="200" t="s">
        <v>75</v>
      </c>
      <c r="U15" s="163" t="s">
        <v>73</v>
      </c>
      <c r="V15" s="162" t="s">
        <v>141</v>
      </c>
      <c r="W15" s="163" t="s">
        <v>92</v>
      </c>
      <c r="X15" s="162" t="s">
        <v>139</v>
      </c>
      <c r="Y15" s="163" t="s">
        <v>102</v>
      </c>
      <c r="Z15" s="162" t="s">
        <v>138</v>
      </c>
      <c r="AA15" s="163" t="s">
        <v>115</v>
      </c>
      <c r="AB15" s="162" t="s">
        <v>135</v>
      </c>
      <c r="AC15" s="163" t="s">
        <v>136</v>
      </c>
      <c r="AD15" s="162" t="s">
        <v>202</v>
      </c>
      <c r="AE15" s="163" t="s">
        <v>203</v>
      </c>
      <c r="AF15" s="162" t="s">
        <v>214</v>
      </c>
      <c r="AG15" s="163" t="s">
        <v>215</v>
      </c>
      <c r="AH15" s="162" t="s">
        <v>249</v>
      </c>
      <c r="AI15" s="163" t="s">
        <v>250</v>
      </c>
      <c r="AJ15" s="162" t="s">
        <v>267</v>
      </c>
      <c r="AK15" s="163" t="s">
        <v>268</v>
      </c>
      <c r="AL15" s="162" t="s">
        <v>269</v>
      </c>
      <c r="AM15" s="163" t="s">
        <v>132</v>
      </c>
      <c r="AN15" s="162" t="s">
        <v>275</v>
      </c>
      <c r="AO15" s="163" t="s">
        <v>131</v>
      </c>
      <c r="AP15" s="162" t="s">
        <v>144</v>
      </c>
      <c r="AQ15" s="163" t="s">
        <v>71</v>
      </c>
      <c r="AR15" s="208" t="s">
        <v>468</v>
      </c>
      <c r="AS15" s="209" t="s">
        <v>467</v>
      </c>
      <c r="AT15" s="198"/>
      <c r="AU15" s="210" t="s">
        <v>75</v>
      </c>
      <c r="AV15" s="286" t="s">
        <v>472</v>
      </c>
      <c r="AW15" s="211" t="s">
        <v>73</v>
      </c>
      <c r="AX15" s="210" t="s">
        <v>141</v>
      </c>
      <c r="AY15" s="286" t="s">
        <v>502</v>
      </c>
      <c r="AZ15" s="211" t="s">
        <v>92</v>
      </c>
      <c r="BA15" s="210" t="s">
        <v>139</v>
      </c>
      <c r="BB15" s="286" t="s">
        <v>526</v>
      </c>
      <c r="BC15" s="211" t="s">
        <v>102</v>
      </c>
      <c r="BD15" s="210" t="s">
        <v>138</v>
      </c>
      <c r="BE15" s="286" t="s">
        <v>535</v>
      </c>
      <c r="BF15" s="211" t="s">
        <v>115</v>
      </c>
      <c r="BG15" s="210" t="s">
        <v>135</v>
      </c>
      <c r="BH15" s="286" t="s">
        <v>539</v>
      </c>
      <c r="BI15" s="211" t="s">
        <v>136</v>
      </c>
      <c r="BJ15" s="210" t="s">
        <v>202</v>
      </c>
      <c r="BK15" s="286" t="s">
        <v>553</v>
      </c>
      <c r="BL15" s="211" t="s">
        <v>203</v>
      </c>
      <c r="BM15" s="210" t="s">
        <v>214</v>
      </c>
      <c r="BN15" s="211" t="s">
        <v>215</v>
      </c>
      <c r="BO15" s="210" t="s">
        <v>249</v>
      </c>
      <c r="BP15" s="211" t="s">
        <v>250</v>
      </c>
      <c r="BQ15" s="210" t="s">
        <v>267</v>
      </c>
      <c r="BR15" s="211" t="s">
        <v>268</v>
      </c>
      <c r="BS15" s="210" t="s">
        <v>269</v>
      </c>
      <c r="BT15" s="211" t="s">
        <v>132</v>
      </c>
      <c r="BU15" s="210" t="s">
        <v>275</v>
      </c>
      <c r="BV15" s="211" t="s">
        <v>131</v>
      </c>
      <c r="BW15" s="210" t="s">
        <v>144</v>
      </c>
      <c r="BX15" s="211" t="s">
        <v>71</v>
      </c>
      <c r="BY15" s="208" t="s">
        <v>468</v>
      </c>
      <c r="BZ15" s="286" t="s">
        <v>503</v>
      </c>
      <c r="CA15" s="209" t="s">
        <v>467</v>
      </c>
      <c r="CC15" s="357">
        <v>46023</v>
      </c>
      <c r="CD15" s="357">
        <v>46054</v>
      </c>
      <c r="CE15" s="357">
        <v>46082</v>
      </c>
      <c r="CF15" s="153" t="s">
        <v>538</v>
      </c>
      <c r="CG15" s="153" t="s">
        <v>552</v>
      </c>
    </row>
    <row r="16" spans="1:85" ht="14.25" customHeight="1" x14ac:dyDescent="0.2">
      <c r="A16" s="361" t="s">
        <v>293</v>
      </c>
      <c r="B16" s="167" t="s">
        <v>291</v>
      </c>
      <c r="C16" s="155" t="str">
        <f>+_xlfn.XLOOKUP(A16,'[1]Proyectos (NO FILTRAR)'!$B:$B,'[1]Proyectos (NO FILTRAR)'!$G:$G,"error",0,1)</f>
        <v>Chile</v>
      </c>
      <c r="D16" s="155">
        <v>2024</v>
      </c>
      <c r="E16" s="155" t="s">
        <v>358</v>
      </c>
      <c r="F16" s="155" t="s">
        <v>30</v>
      </c>
      <c r="G16" s="207"/>
      <c r="H16" s="207" t="s">
        <v>109</v>
      </c>
      <c r="I16" s="285">
        <f>+_xlfn.XLOOKUP(B16,'[1]Proyectos (NO FILTRAR)'!$F:$F,'[1]Proyectos (NO FILTRAR)'!$O:$O,"!",0,1)</f>
        <v>904853</v>
      </c>
      <c r="J16" s="156">
        <f>+Q16+U16+W16+Y16+AA16+AC16+AE16+AG16+AI16+AK16+AM16+AO16+AQ16+AW16+AZ16+BC16+BF16+BI16</f>
        <v>904853</v>
      </c>
      <c r="K16" s="168">
        <f t="shared" ref="K16:K47" si="22">+IFERROR(J16/I16,0)</f>
        <v>1</v>
      </c>
      <c r="L16" s="158"/>
      <c r="M16" s="169">
        <f t="shared" ref="M16:M47" si="23">+IFERROR(L16/I16,0)</f>
        <v>0</v>
      </c>
      <c r="N16" s="160">
        <f>+J16+BJ16</f>
        <v>904853</v>
      </c>
      <c r="O16" s="169">
        <f t="shared" ref="O16:O47" si="24">IFERROR(N16/I16,0)</f>
        <v>1</v>
      </c>
      <c r="P16" s="170"/>
      <c r="Q16" s="171"/>
      <c r="R16" s="199">
        <f>+I16-Q16</f>
        <v>904853</v>
      </c>
      <c r="S16" s="204"/>
      <c r="T16" s="201">
        <v>70000</v>
      </c>
      <c r="U16" s="173">
        <v>81369</v>
      </c>
      <c r="V16" s="172">
        <f>_xlfn.XLOOKUP(B16,'[4]Resumen EDP POM'!$B:$B,'[4]Resumen EDP POM'!$E:$E,"!",0,1)</f>
        <v>65000</v>
      </c>
      <c r="W16" s="174">
        <v>127260.39</v>
      </c>
      <c r="X16" s="172">
        <v>60000</v>
      </c>
      <c r="Y16" s="173">
        <v>87736</v>
      </c>
      <c r="Z16" s="172">
        <v>124000</v>
      </c>
      <c r="AA16" s="173">
        <v>70761</v>
      </c>
      <c r="AB16" s="172">
        <v>110000</v>
      </c>
      <c r="AC16" s="173">
        <v>196358</v>
      </c>
      <c r="AD16" s="172">
        <v>100000</v>
      </c>
      <c r="AE16" s="173">
        <v>137233.17000000001</v>
      </c>
      <c r="AF16" s="172">
        <v>120000</v>
      </c>
      <c r="AG16" s="175">
        <v>159375.44</v>
      </c>
      <c r="AH16" s="172">
        <v>47515</v>
      </c>
      <c r="AI16" s="176">
        <v>4640</v>
      </c>
      <c r="AJ16" s="172">
        <v>20000</v>
      </c>
      <c r="AK16" s="176">
        <v>40120</v>
      </c>
      <c r="AL16" s="172"/>
      <c r="AM16" s="173"/>
      <c r="AN16" s="172"/>
      <c r="AO16" s="173"/>
      <c r="AP16" s="172"/>
      <c r="AQ16" s="173"/>
      <c r="AR16" s="190">
        <f t="shared" ref="AR16:AR47" si="25">+SUM(T16,V16,X16,Z16,AB16,AD16,AF16,AH16,AJ16,AL16,AN16,AP16)</f>
        <v>716515</v>
      </c>
      <c r="AS16" s="214">
        <f t="shared" ref="AS16:AS47" si="26">+SUM(U16,W16,Y16,AA16,AC16,AE16,AG16,AI16,AK16,AM16,AO16,AQ16)</f>
        <v>904853</v>
      </c>
      <c r="AT16" s="177"/>
      <c r="AU16" s="161">
        <v>0</v>
      </c>
      <c r="AV16" s="161">
        <v>0</v>
      </c>
      <c r="AW16" s="218"/>
      <c r="AX16" s="218">
        <v>0</v>
      </c>
      <c r="AY16" s="218">
        <v>0</v>
      </c>
      <c r="AZ16" s="218"/>
      <c r="BA16" s="161">
        <v>0</v>
      </c>
      <c r="BB16" s="161"/>
      <c r="BC16" s="161"/>
      <c r="BD16" s="161">
        <v>0</v>
      </c>
      <c r="BE16" s="161">
        <v>0</v>
      </c>
      <c r="BF16" s="161"/>
      <c r="BG16" s="161">
        <v>0</v>
      </c>
      <c r="BH16" s="161">
        <v>0</v>
      </c>
      <c r="BI16" s="161"/>
      <c r="BJ16" s="161">
        <v>0</v>
      </c>
      <c r="BK16" s="161"/>
      <c r="BL16" s="161"/>
      <c r="BM16" s="161"/>
      <c r="BN16" s="161"/>
      <c r="BO16" s="161"/>
      <c r="BP16" s="161"/>
      <c r="BQ16" s="161"/>
      <c r="BR16" s="161"/>
      <c r="BS16" s="161"/>
      <c r="BT16" s="161"/>
      <c r="BU16" s="161"/>
      <c r="BV16" s="161"/>
      <c r="BW16" s="161"/>
      <c r="BX16" s="161"/>
      <c r="BY16" s="161">
        <f t="shared" ref="BY16:BY47" si="27">+SUM(AU16,AX16,BA16,BD16,BG16,BJ16,BM16,BO16,BQ16,BS16,BU16,BW16)</f>
        <v>0</v>
      </c>
      <c r="BZ16" s="161">
        <f t="shared" ref="BZ16:BZ47" si="28">+AV16+AY16</f>
        <v>0</v>
      </c>
      <c r="CA16" s="216">
        <f t="shared" ref="CA16:CA79" si="29">+SUM(AW16,AZ16,BC16,BF16,BI16,BL16,BN16,BP16,BR16,BT16,BV16,BX16)</f>
        <v>0</v>
      </c>
      <c r="CC16" s="178">
        <f>+IF(AND(AU16&gt;0,AW16=0),0,IF(AU16=0,0,IF(AW16&gt;=AU16,1,AW16/AU16)))</f>
        <v>0</v>
      </c>
      <c r="CD16" s="178">
        <f t="shared" ref="CD16:CD48" si="30">+IF(AND(AX16&gt;0,AZ16=0),0,IF(AX16=0,0,IF(AZ16&gt;=AX16,1,AZ16/AX16)))</f>
        <v>0</v>
      </c>
      <c r="CE16" s="178">
        <f>+IF(AND(BA16&gt;0,BC16=0),0,IF(BA16=0,0,IF(BC16&gt;=BA16,1,BC16/BA16)))</f>
        <v>0</v>
      </c>
      <c r="CF16" s="178">
        <f>+IF(AND(BD16&gt;0,BF16=0),0,IF(BD16=0,0,IF(BF16&gt;=BD16,1,BF16/BD16)))</f>
        <v>0</v>
      </c>
      <c r="CG16" s="178">
        <f>+IF(AND(BG16&gt;0,BI16=0),0,IF(BG16=0,0,IF(BI16&gt;=BG16,1,BI16/BG16)))</f>
        <v>0</v>
      </c>
    </row>
    <row r="17" spans="1:85" ht="14.25" customHeight="1" x14ac:dyDescent="0.2">
      <c r="A17" s="361" t="str">
        <f>+_xlfn.XLOOKUP(B17,'[1]Proyectos (NO FILTRAR)'!$F:$F,'[1]Proyectos (NO FILTRAR)'!$B:$B,0,0,1)</f>
        <v>CH-CMP-UG-FEL03-093-A</v>
      </c>
      <c r="B17" s="167" t="s">
        <v>196</v>
      </c>
      <c r="C17" s="155" t="str">
        <f>+_xlfn.XLOOKUP(A17,'[1]Proyectos (NO FILTRAR)'!$B:$B,'[1]Proyectos (NO FILTRAR)'!$G:$G,"error",0,1)</f>
        <v>Chile</v>
      </c>
      <c r="D17" s="155">
        <v>2024</v>
      </c>
      <c r="E17" s="155" t="s">
        <v>358</v>
      </c>
      <c r="F17" s="155" t="s">
        <v>30</v>
      </c>
      <c r="G17" s="207"/>
      <c r="H17" s="207" t="s">
        <v>50</v>
      </c>
      <c r="I17" s="285">
        <f>+_xlfn.XLOOKUP(B17,'[1]Proyectos (NO FILTRAR)'!$F:$F,'[1]Proyectos (NO FILTRAR)'!$O:$O,"!",0,1)</f>
        <v>900007.88</v>
      </c>
      <c r="J17" s="156">
        <f t="shared" ref="J17:J80" si="31">+Q17+U17+W17+Y17+AA17+AC17+AE17+AG17+AI17+AK17+AM17+AO17+AQ17+AW17+AZ17+BC17+BF17+BI17</f>
        <v>911717.88</v>
      </c>
      <c r="K17" s="157">
        <f t="shared" si="22"/>
        <v>1.0130109971926025</v>
      </c>
      <c r="L17" s="158"/>
      <c r="M17" s="159">
        <f t="shared" si="23"/>
        <v>0</v>
      </c>
      <c r="N17" s="160">
        <f t="shared" ref="N17:N80" si="32">+J17+BJ17</f>
        <v>911717.88</v>
      </c>
      <c r="O17" s="159">
        <f t="shared" si="24"/>
        <v>1.0130109971926025</v>
      </c>
      <c r="P17" s="160"/>
      <c r="Q17" s="171">
        <v>769067.03</v>
      </c>
      <c r="R17" s="199">
        <f>+I17-Q17</f>
        <v>130940.84999999998</v>
      </c>
      <c r="S17" s="204"/>
      <c r="T17" s="202">
        <v>35466</v>
      </c>
      <c r="U17" s="180">
        <v>31918</v>
      </c>
      <c r="V17" s="179">
        <f>_xlfn.XLOOKUP(B17,'[4]Resumen EDP POM'!$B:$B,'[4]Resumen EDP POM'!$E:$E,"!",0,1)</f>
        <v>40000</v>
      </c>
      <c r="W17" s="181">
        <v>41743.85</v>
      </c>
      <c r="X17" s="179">
        <v>15000</v>
      </c>
      <c r="Y17" s="180"/>
      <c r="Z17" s="179"/>
      <c r="AA17" s="180"/>
      <c r="AB17" s="179"/>
      <c r="AC17" s="181">
        <v>47495</v>
      </c>
      <c r="AD17" s="179"/>
      <c r="AE17" s="180"/>
      <c r="AF17" s="179"/>
      <c r="AG17" s="180"/>
      <c r="AH17" s="179"/>
      <c r="AI17" s="180"/>
      <c r="AJ17" s="179"/>
      <c r="AK17" s="173"/>
      <c r="AL17" s="179"/>
      <c r="AM17" s="180"/>
      <c r="AN17" s="179"/>
      <c r="AO17" s="182">
        <v>21494</v>
      </c>
      <c r="AP17" s="172"/>
      <c r="AQ17" s="180"/>
      <c r="AR17" s="190">
        <f t="shared" si="25"/>
        <v>90466</v>
      </c>
      <c r="AS17" s="215">
        <f t="shared" si="26"/>
        <v>142650.85</v>
      </c>
      <c r="AT17" s="177"/>
      <c r="AU17" s="161">
        <v>0</v>
      </c>
      <c r="AV17" s="161">
        <v>0</v>
      </c>
      <c r="AW17" s="218"/>
      <c r="AX17" s="218">
        <v>0</v>
      </c>
      <c r="AY17" s="218">
        <v>0</v>
      </c>
      <c r="AZ17" s="218"/>
      <c r="BA17" s="161">
        <v>0</v>
      </c>
      <c r="BB17" s="161"/>
      <c r="BC17" s="161"/>
      <c r="BD17" s="161">
        <v>0</v>
      </c>
      <c r="BE17" s="161">
        <v>0</v>
      </c>
      <c r="BF17" s="161"/>
      <c r="BG17" s="161">
        <v>0</v>
      </c>
      <c r="BH17" s="161">
        <v>0</v>
      </c>
      <c r="BI17" s="161"/>
      <c r="BJ17" s="161">
        <v>0</v>
      </c>
      <c r="BK17" s="161"/>
      <c r="BL17" s="161"/>
      <c r="BM17" s="161"/>
      <c r="BN17" s="161"/>
      <c r="BO17" s="161"/>
      <c r="BP17" s="161"/>
      <c r="BQ17" s="161"/>
      <c r="BR17" s="161"/>
      <c r="BS17" s="161"/>
      <c r="BT17" s="161"/>
      <c r="BU17" s="161"/>
      <c r="BV17" s="161"/>
      <c r="BW17" s="161"/>
      <c r="BX17" s="161"/>
      <c r="BY17" s="161">
        <f t="shared" si="27"/>
        <v>0</v>
      </c>
      <c r="BZ17" s="161">
        <f t="shared" si="28"/>
        <v>0</v>
      </c>
      <c r="CA17" s="216">
        <f t="shared" si="29"/>
        <v>0</v>
      </c>
      <c r="CC17" s="178">
        <f t="shared" ref="CC17:CC80" si="33">+IF(AND(AU17&gt;0,AW17=0),0,IF(AU17=0,0,IF(AW17&gt;=AU17,1,AW17/AU17)))</f>
        <v>0</v>
      </c>
      <c r="CD17" s="178">
        <f t="shared" si="30"/>
        <v>0</v>
      </c>
      <c r="CE17" s="178">
        <f t="shared" ref="CE17:CE80" si="34">+IF(AND(BA17&gt;0,BC17=0),0,IF(BA17=0,0,IF(BC17&gt;=BA17,1,BC17/BA17)))</f>
        <v>0</v>
      </c>
      <c r="CF17" s="178">
        <f t="shared" ref="CF17:CF80" si="35">+IF(AND(BD17&gt;0,BF17=0),0,IF(BD17=0,0,IF(BF17&gt;=BD17,1,BF17/BD17)))</f>
        <v>0</v>
      </c>
      <c r="CG17" s="178">
        <f t="shared" ref="CG17:CG80" si="36">+IF(AND(BG17&gt;0,BI17=0),0,IF(BG17=0,0,IF(BI17&gt;=BG17,1,BI17/BG17)))</f>
        <v>0</v>
      </c>
    </row>
    <row r="18" spans="1:85" ht="14.25" customHeight="1" x14ac:dyDescent="0.2">
      <c r="A18" s="361" t="str">
        <f>+_xlfn.XLOOKUP(B18,'[1]Proyectos (NO FILTRAR)'!$F:$F,'[1]Proyectos (NO FILTRAR)'!$B:$B,0,0,1)</f>
        <v>OT-THC-CS-OTR00-122-A</v>
      </c>
      <c r="B18" s="167" t="s">
        <v>277</v>
      </c>
      <c r="C18" s="155" t="str">
        <f>+_xlfn.XLOOKUP(A18,'[1]Proyectos (NO FILTRAR)'!$B:$B,'[1]Proyectos (NO FILTRAR)'!$G:$G,"error",0,1)</f>
        <v>Otros</v>
      </c>
      <c r="D18" s="155">
        <v>2025</v>
      </c>
      <c r="E18" s="155" t="s">
        <v>358</v>
      </c>
      <c r="F18" s="155" t="s">
        <v>28</v>
      </c>
      <c r="G18" s="207"/>
      <c r="H18" s="207"/>
      <c r="I18" s="285">
        <f>+_xlfn.XLOOKUP(B18,'[1]Proyectos (NO FILTRAR)'!$F:$F,'[1]Proyectos (NO FILTRAR)'!$O:$O,"!",0,1)</f>
        <v>645700</v>
      </c>
      <c r="J18" s="156">
        <f t="shared" si="31"/>
        <v>645700</v>
      </c>
      <c r="K18" s="157">
        <f t="shared" si="22"/>
        <v>1</v>
      </c>
      <c r="L18" s="158"/>
      <c r="M18" s="159">
        <f t="shared" si="23"/>
        <v>0</v>
      </c>
      <c r="N18" s="160">
        <f t="shared" si="32"/>
        <v>645700</v>
      </c>
      <c r="O18" s="159">
        <f t="shared" si="24"/>
        <v>1</v>
      </c>
      <c r="P18" s="160"/>
      <c r="Q18" s="171"/>
      <c r="R18" s="199"/>
      <c r="S18" s="204"/>
      <c r="T18" s="202"/>
      <c r="U18" s="180"/>
      <c r="V18" s="179"/>
      <c r="W18" s="180"/>
      <c r="X18" s="179"/>
      <c r="Y18" s="180"/>
      <c r="Z18" s="179"/>
      <c r="AA18" s="180"/>
      <c r="AB18" s="179">
        <v>50000</v>
      </c>
      <c r="AC18" s="183">
        <v>74100</v>
      </c>
      <c r="AD18" s="179">
        <v>100000</v>
      </c>
      <c r="AE18" s="183">
        <v>129000</v>
      </c>
      <c r="AF18" s="179">
        <v>50000</v>
      </c>
      <c r="AG18" s="184">
        <v>114100</v>
      </c>
      <c r="AH18" s="179">
        <v>50000</v>
      </c>
      <c r="AI18" s="180">
        <v>150000</v>
      </c>
      <c r="AJ18" s="179">
        <v>100000</v>
      </c>
      <c r="AK18" s="176">
        <v>178500</v>
      </c>
      <c r="AL18" s="179"/>
      <c r="AM18" s="180"/>
      <c r="AN18" s="179"/>
      <c r="AO18" s="185"/>
      <c r="AP18" s="172"/>
      <c r="AQ18" s="180"/>
      <c r="AR18" s="190">
        <f t="shared" si="25"/>
        <v>350000</v>
      </c>
      <c r="AS18" s="215">
        <f t="shared" si="26"/>
        <v>645700</v>
      </c>
      <c r="AT18" s="177"/>
      <c r="AU18" s="161">
        <v>0</v>
      </c>
      <c r="AV18" s="161">
        <v>0</v>
      </c>
      <c r="AW18" s="218"/>
      <c r="AX18" s="218">
        <v>0</v>
      </c>
      <c r="AY18" s="218">
        <v>0</v>
      </c>
      <c r="AZ18" s="218"/>
      <c r="BA18" s="161">
        <v>0</v>
      </c>
      <c r="BB18" s="161"/>
      <c r="BC18" s="161"/>
      <c r="BD18" s="161">
        <v>0</v>
      </c>
      <c r="BE18" s="161">
        <v>0</v>
      </c>
      <c r="BF18" s="161"/>
      <c r="BG18" s="161">
        <v>0</v>
      </c>
      <c r="BH18" s="161">
        <v>0</v>
      </c>
      <c r="BI18" s="161"/>
      <c r="BJ18" s="161">
        <v>0</v>
      </c>
      <c r="BK18" s="161"/>
      <c r="BL18" s="161"/>
      <c r="BM18" s="161"/>
      <c r="BN18" s="161"/>
      <c r="BO18" s="161"/>
      <c r="BP18" s="161"/>
      <c r="BQ18" s="161"/>
      <c r="BR18" s="161"/>
      <c r="BS18" s="161"/>
      <c r="BT18" s="161"/>
      <c r="BU18" s="161"/>
      <c r="BV18" s="161"/>
      <c r="BW18" s="161"/>
      <c r="BX18" s="161"/>
      <c r="BY18" s="161">
        <f t="shared" si="27"/>
        <v>0</v>
      </c>
      <c r="BZ18" s="161">
        <f t="shared" si="28"/>
        <v>0</v>
      </c>
      <c r="CA18" s="216">
        <f t="shared" si="29"/>
        <v>0</v>
      </c>
      <c r="CC18" s="178">
        <f t="shared" si="33"/>
        <v>0</v>
      </c>
      <c r="CD18" s="178">
        <f t="shared" si="30"/>
        <v>0</v>
      </c>
      <c r="CE18" s="178">
        <f t="shared" si="34"/>
        <v>0</v>
      </c>
      <c r="CF18" s="178">
        <f t="shared" si="35"/>
        <v>0</v>
      </c>
      <c r="CG18" s="178">
        <f t="shared" si="36"/>
        <v>0</v>
      </c>
    </row>
    <row r="19" spans="1:85" ht="14.25" customHeight="1" x14ac:dyDescent="0.2">
      <c r="A19" s="361" t="str">
        <f>+_xlfn.XLOOKUP(B19,'[1]Proyectos (NO FILTRAR)'!$F:$F,'[1]Proyectos (NO FILTRAR)'!$B:$B,0,0,1)</f>
        <v>OT-TWM-CS-FEL00-119-A</v>
      </c>
      <c r="B19" s="167" t="s">
        <v>276</v>
      </c>
      <c r="C19" s="155" t="str">
        <f>+_xlfn.XLOOKUP(A19,'[1]Proyectos (NO FILTRAR)'!$B:$B,'[1]Proyectos (NO FILTRAR)'!$G:$G,"error",0,1)</f>
        <v>Otros</v>
      </c>
      <c r="D19" s="155">
        <v>2024</v>
      </c>
      <c r="E19" s="155" t="s">
        <v>358</v>
      </c>
      <c r="F19" s="155" t="s">
        <v>49</v>
      </c>
      <c r="G19" s="207"/>
      <c r="H19" s="207" t="s">
        <v>259</v>
      </c>
      <c r="I19" s="285">
        <f>+_xlfn.XLOOKUP(B19,'[1]Proyectos (NO FILTRAR)'!$F:$F,'[1]Proyectos (NO FILTRAR)'!$O:$O,"!",0,1)</f>
        <v>481541</v>
      </c>
      <c r="J19" s="156">
        <f t="shared" si="31"/>
        <v>481541</v>
      </c>
      <c r="K19" s="157">
        <f t="shared" si="22"/>
        <v>1</v>
      </c>
      <c r="L19" s="158"/>
      <c r="M19" s="159">
        <f t="shared" si="23"/>
        <v>0</v>
      </c>
      <c r="N19" s="160">
        <f t="shared" si="32"/>
        <v>481541</v>
      </c>
      <c r="O19" s="159">
        <f t="shared" si="24"/>
        <v>1</v>
      </c>
      <c r="P19" s="160"/>
      <c r="Q19" s="171">
        <v>112740.6</v>
      </c>
      <c r="R19" s="199">
        <f>+I19-Q19</f>
        <v>368800.4</v>
      </c>
      <c r="S19" s="204"/>
      <c r="T19" s="202">
        <v>82000</v>
      </c>
      <c r="U19" s="180">
        <v>80209.399999999994</v>
      </c>
      <c r="V19" s="179">
        <f>_xlfn.XLOOKUP(B19,'[4]Resumen EDP POM'!$B:$B,'[4]Resumen EDP POM'!$E:$E,"!",0,1)</f>
        <v>133000</v>
      </c>
      <c r="W19" s="180">
        <v>112981</v>
      </c>
      <c r="X19" s="179">
        <v>62689</v>
      </c>
      <c r="Y19" s="181"/>
      <c r="Z19" s="179">
        <v>74025</v>
      </c>
      <c r="AA19" s="180">
        <f>101319+60296</f>
        <v>161615</v>
      </c>
      <c r="AB19" s="179">
        <v>15454</v>
      </c>
      <c r="AC19" s="180">
        <v>13995</v>
      </c>
      <c r="AD19" s="179"/>
      <c r="AE19" s="180"/>
      <c r="AF19" s="179"/>
      <c r="AG19" s="180"/>
      <c r="AH19" s="179"/>
      <c r="AI19" s="180"/>
      <c r="AJ19" s="179"/>
      <c r="AK19" s="180"/>
      <c r="AL19" s="179"/>
      <c r="AM19" s="180"/>
      <c r="AN19" s="179"/>
      <c r="AO19" s="185"/>
      <c r="AP19" s="172"/>
      <c r="AQ19" s="180"/>
      <c r="AR19" s="190">
        <f t="shared" si="25"/>
        <v>367168</v>
      </c>
      <c r="AS19" s="215">
        <f t="shared" si="26"/>
        <v>368800.4</v>
      </c>
      <c r="AT19" s="177"/>
      <c r="AU19" s="161">
        <v>0</v>
      </c>
      <c r="AV19" s="161">
        <v>0</v>
      </c>
      <c r="AW19" s="218"/>
      <c r="AX19" s="218">
        <v>0</v>
      </c>
      <c r="AY19" s="218">
        <v>0</v>
      </c>
      <c r="AZ19" s="218"/>
      <c r="BA19" s="161">
        <v>0</v>
      </c>
      <c r="BB19" s="161"/>
      <c r="BC19" s="161"/>
      <c r="BD19" s="161">
        <v>0</v>
      </c>
      <c r="BE19" s="161">
        <v>0</v>
      </c>
      <c r="BF19" s="161"/>
      <c r="BG19" s="161">
        <v>0</v>
      </c>
      <c r="BH19" s="161">
        <v>0</v>
      </c>
      <c r="BI19" s="161"/>
      <c r="BJ19" s="161">
        <v>0</v>
      </c>
      <c r="BK19" s="161"/>
      <c r="BL19" s="161"/>
      <c r="BM19" s="161"/>
      <c r="BN19" s="161"/>
      <c r="BO19" s="161"/>
      <c r="BP19" s="161"/>
      <c r="BQ19" s="161"/>
      <c r="BR19" s="161"/>
      <c r="BS19" s="161"/>
      <c r="BT19" s="161"/>
      <c r="BU19" s="161"/>
      <c r="BV19" s="161"/>
      <c r="BW19" s="161"/>
      <c r="BX19" s="161"/>
      <c r="BY19" s="161">
        <f t="shared" si="27"/>
        <v>0</v>
      </c>
      <c r="BZ19" s="161">
        <f t="shared" si="28"/>
        <v>0</v>
      </c>
      <c r="CA19" s="216">
        <f t="shared" si="29"/>
        <v>0</v>
      </c>
      <c r="CC19" s="178">
        <f t="shared" si="33"/>
        <v>0</v>
      </c>
      <c r="CD19" s="178">
        <f t="shared" si="30"/>
        <v>0</v>
      </c>
      <c r="CE19" s="178">
        <f t="shared" si="34"/>
        <v>0</v>
      </c>
      <c r="CF19" s="178">
        <f t="shared" si="35"/>
        <v>0</v>
      </c>
      <c r="CG19" s="178">
        <f t="shared" si="36"/>
        <v>0</v>
      </c>
    </row>
    <row r="20" spans="1:85" ht="14.25" customHeight="1" x14ac:dyDescent="0.2">
      <c r="A20" s="361" t="str">
        <f>+_xlfn.XLOOKUP(B20,'[1]Proyectos (NO FILTRAR)'!$F:$F,'[1]Proyectos (NO FILTRAR)'!$B:$B,0,0,1)</f>
        <v>BR-MOS-UG-OTR00-098-A</v>
      </c>
      <c r="B20" s="167" t="s">
        <v>282</v>
      </c>
      <c r="C20" s="155" t="str">
        <f>+_xlfn.XLOOKUP(A20,'[1]Proyectos (NO FILTRAR)'!$B:$B,'[1]Proyectos (NO FILTRAR)'!$G:$G,"error",0,1)</f>
        <v>Brasil</v>
      </c>
      <c r="D20" s="155">
        <v>2024</v>
      </c>
      <c r="E20" s="155" t="s">
        <v>358</v>
      </c>
      <c r="F20" s="155" t="s">
        <v>162</v>
      </c>
      <c r="G20" s="207"/>
      <c r="H20" s="207"/>
      <c r="I20" s="285">
        <f>+_xlfn.XLOOKUP(B20,'[1]Proyectos (NO FILTRAR)'!$F:$F,'[1]Proyectos (NO FILTRAR)'!$O:$O,"!",0,1)</f>
        <v>330410</v>
      </c>
      <c r="J20" s="156">
        <f t="shared" si="31"/>
        <v>267019.08999999997</v>
      </c>
      <c r="K20" s="157">
        <f t="shared" si="22"/>
        <v>0.80814469901032038</v>
      </c>
      <c r="L20" s="158"/>
      <c r="M20" s="159">
        <f t="shared" si="23"/>
        <v>0</v>
      </c>
      <c r="N20" s="160">
        <f t="shared" si="32"/>
        <v>267019.08999999997</v>
      </c>
      <c r="O20" s="159">
        <f t="shared" si="24"/>
        <v>0.80814469901032038</v>
      </c>
      <c r="P20" s="160"/>
      <c r="Q20" s="171">
        <v>45337</v>
      </c>
      <c r="R20" s="199">
        <f>+I20-Q20</f>
        <v>285073</v>
      </c>
      <c r="S20" s="204"/>
      <c r="T20" s="202">
        <v>14900</v>
      </c>
      <c r="U20" s="180">
        <v>22947.840000000004</v>
      </c>
      <c r="V20" s="179">
        <f>_xlfn.XLOOKUP(B20,'[4]Resumen EDP POM'!$B:$B,'[4]Resumen EDP POM'!$E:$E,"!",0,1)</f>
        <v>12081.563039723662</v>
      </c>
      <c r="W20" s="181">
        <v>10292.709999999999</v>
      </c>
      <c r="X20" s="179">
        <v>24353.773148148099</v>
      </c>
      <c r="Y20" s="180">
        <v>5393</v>
      </c>
      <c r="Z20" s="179">
        <v>15000</v>
      </c>
      <c r="AA20" s="180">
        <v>11237</v>
      </c>
      <c r="AB20" s="179">
        <v>30000</v>
      </c>
      <c r="AC20" s="180">
        <v>32693</v>
      </c>
      <c r="AD20" s="179">
        <v>30000</v>
      </c>
      <c r="AE20" s="180">
        <v>34273</v>
      </c>
      <c r="AF20" s="179">
        <v>30000</v>
      </c>
      <c r="AG20" s="184">
        <v>21033</v>
      </c>
      <c r="AH20" s="179">
        <v>37000</v>
      </c>
      <c r="AI20" s="182">
        <v>25049.54</v>
      </c>
      <c r="AJ20" s="179">
        <v>30000</v>
      </c>
      <c r="AK20" s="182">
        <v>33890</v>
      </c>
      <c r="AL20" s="179">
        <v>32000</v>
      </c>
      <c r="AM20" s="182">
        <v>24873</v>
      </c>
      <c r="AN20" s="179"/>
      <c r="AO20" s="185"/>
      <c r="AP20" s="172"/>
      <c r="AQ20" s="180"/>
      <c r="AR20" s="190">
        <f t="shared" si="25"/>
        <v>255335.33618787176</v>
      </c>
      <c r="AS20" s="215">
        <f t="shared" si="26"/>
        <v>221682.09</v>
      </c>
      <c r="AT20" s="177"/>
      <c r="AU20" s="161">
        <v>0</v>
      </c>
      <c r="AV20" s="161">
        <v>0</v>
      </c>
      <c r="AW20" s="218"/>
      <c r="AX20" s="218">
        <v>0</v>
      </c>
      <c r="AY20" s="218">
        <v>0</v>
      </c>
      <c r="AZ20" s="218"/>
      <c r="BA20" s="161">
        <v>0</v>
      </c>
      <c r="BB20" s="161"/>
      <c r="BC20" s="161"/>
      <c r="BD20" s="161">
        <v>0</v>
      </c>
      <c r="BE20" s="161">
        <v>0</v>
      </c>
      <c r="BF20" s="161"/>
      <c r="BG20" s="161">
        <v>0</v>
      </c>
      <c r="BH20" s="161">
        <v>0</v>
      </c>
      <c r="BI20" s="161"/>
      <c r="BJ20" s="161">
        <v>0</v>
      </c>
      <c r="BK20" s="161"/>
      <c r="BL20" s="161"/>
      <c r="BM20" s="161"/>
      <c r="BN20" s="161"/>
      <c r="BO20" s="161"/>
      <c r="BP20" s="161"/>
      <c r="BQ20" s="161"/>
      <c r="BR20" s="161"/>
      <c r="BS20" s="161"/>
      <c r="BT20" s="161"/>
      <c r="BU20" s="161"/>
      <c r="BV20" s="161"/>
      <c r="BW20" s="161"/>
      <c r="BX20" s="161"/>
      <c r="BY20" s="161">
        <f t="shared" si="27"/>
        <v>0</v>
      </c>
      <c r="BZ20" s="161">
        <f t="shared" si="28"/>
        <v>0</v>
      </c>
      <c r="CA20" s="216">
        <f t="shared" si="29"/>
        <v>0</v>
      </c>
      <c r="CC20" s="178">
        <f t="shared" si="33"/>
        <v>0</v>
      </c>
      <c r="CD20" s="178">
        <f t="shared" si="30"/>
        <v>0</v>
      </c>
      <c r="CE20" s="178">
        <f t="shared" si="34"/>
        <v>0</v>
      </c>
      <c r="CF20" s="178">
        <f t="shared" si="35"/>
        <v>0</v>
      </c>
      <c r="CG20" s="178">
        <f t="shared" si="36"/>
        <v>0</v>
      </c>
    </row>
    <row r="21" spans="1:85" ht="14.25" customHeight="1" x14ac:dyDescent="0.2">
      <c r="A21" s="361" t="s">
        <v>283</v>
      </c>
      <c r="B21" s="167" t="s">
        <v>284</v>
      </c>
      <c r="C21" s="155" t="str">
        <f>+_xlfn.XLOOKUP(A21,'[1]Proyectos (NO FILTRAR)'!$B:$B,'[1]Proyectos (NO FILTRAR)'!$G:$G,"error",0,1)</f>
        <v>Brasil</v>
      </c>
      <c r="D21" s="155">
        <v>2024</v>
      </c>
      <c r="E21" s="155" t="s">
        <v>358</v>
      </c>
      <c r="F21" s="155" t="s">
        <v>33</v>
      </c>
      <c r="G21" s="207"/>
      <c r="H21" s="207" t="s">
        <v>50</v>
      </c>
      <c r="I21" s="285">
        <f>+_xlfn.XLOOKUP(B21,'[1]Proyectos (NO FILTRAR)'!$F:$F,'[1]Proyectos (NO FILTRAR)'!$O:$O,"!",0,1)</f>
        <v>310000</v>
      </c>
      <c r="J21" s="156">
        <f t="shared" si="31"/>
        <v>310000.41000000003</v>
      </c>
      <c r="K21" s="157">
        <f t="shared" si="22"/>
        <v>1.0000013225806452</v>
      </c>
      <c r="L21" s="158"/>
      <c r="M21" s="159">
        <f t="shared" si="23"/>
        <v>0</v>
      </c>
      <c r="N21" s="160">
        <f t="shared" si="32"/>
        <v>310000.41000000003</v>
      </c>
      <c r="O21" s="159">
        <f t="shared" si="24"/>
        <v>1.0000013225806452</v>
      </c>
      <c r="P21" s="160"/>
      <c r="Q21" s="171"/>
      <c r="R21" s="199">
        <f>+I21-Q21</f>
        <v>310000</v>
      </c>
      <c r="S21" s="204"/>
      <c r="T21" s="202">
        <v>40000</v>
      </c>
      <c r="U21" s="180">
        <v>54144</v>
      </c>
      <c r="V21" s="179">
        <f>_xlfn.XLOOKUP(B21,'[4]Resumen EDP POM'!$B:$B,'[4]Resumen EDP POM'!$E:$E,"!",0,1)</f>
        <v>46000</v>
      </c>
      <c r="W21" s="181">
        <v>58804.41</v>
      </c>
      <c r="X21" s="179">
        <v>44000</v>
      </c>
      <c r="Y21" s="180">
        <v>20261</v>
      </c>
      <c r="Z21" s="179"/>
      <c r="AA21" s="180">
        <v>46562</v>
      </c>
      <c r="AB21" s="179">
        <v>34381.815517241383</v>
      </c>
      <c r="AC21" s="180">
        <v>23599</v>
      </c>
      <c r="AD21" s="179">
        <v>33400</v>
      </c>
      <c r="AE21" s="180">
        <v>30544</v>
      </c>
      <c r="AF21" s="179">
        <v>30000</v>
      </c>
      <c r="AG21" s="184">
        <v>29078</v>
      </c>
      <c r="AH21" s="179">
        <v>22000</v>
      </c>
      <c r="AI21" s="182">
        <v>19194</v>
      </c>
      <c r="AJ21" s="179">
        <v>12280.701754385964</v>
      </c>
      <c r="AK21" s="176">
        <v>16193</v>
      </c>
      <c r="AL21" s="179">
        <v>11620.589999999967</v>
      </c>
      <c r="AM21" s="182">
        <v>11621</v>
      </c>
      <c r="AN21" s="179"/>
      <c r="AO21" s="180"/>
      <c r="AP21" s="172"/>
      <c r="AQ21" s="180"/>
      <c r="AR21" s="190">
        <f t="shared" si="25"/>
        <v>273683.10727162729</v>
      </c>
      <c r="AS21" s="215">
        <f t="shared" si="26"/>
        <v>310000.41000000003</v>
      </c>
      <c r="AT21" s="177"/>
      <c r="AU21" s="161">
        <v>0</v>
      </c>
      <c r="AV21" s="161">
        <v>0</v>
      </c>
      <c r="AW21" s="218"/>
      <c r="AX21" s="218">
        <v>0</v>
      </c>
      <c r="AY21" s="218">
        <v>0</v>
      </c>
      <c r="AZ21" s="218"/>
      <c r="BA21" s="161">
        <v>0</v>
      </c>
      <c r="BB21" s="161"/>
      <c r="BC21" s="161"/>
      <c r="BD21" s="161">
        <v>0</v>
      </c>
      <c r="BE21" s="161">
        <v>0</v>
      </c>
      <c r="BF21" s="161"/>
      <c r="BG21" s="161">
        <v>0</v>
      </c>
      <c r="BH21" s="161">
        <v>0</v>
      </c>
      <c r="BI21" s="161"/>
      <c r="BJ21" s="161">
        <v>0</v>
      </c>
      <c r="BK21" s="161"/>
      <c r="BL21" s="161"/>
      <c r="BM21" s="161"/>
      <c r="BN21" s="161"/>
      <c r="BO21" s="161"/>
      <c r="BP21" s="161"/>
      <c r="BQ21" s="161"/>
      <c r="BR21" s="161"/>
      <c r="BS21" s="161"/>
      <c r="BT21" s="161"/>
      <c r="BU21" s="161"/>
      <c r="BV21" s="161"/>
      <c r="BW21" s="161"/>
      <c r="BX21" s="161"/>
      <c r="BY21" s="161">
        <f t="shared" si="27"/>
        <v>0</v>
      </c>
      <c r="BZ21" s="161">
        <f t="shared" si="28"/>
        <v>0</v>
      </c>
      <c r="CA21" s="216">
        <f t="shared" si="29"/>
        <v>0</v>
      </c>
      <c r="CC21" s="178">
        <f t="shared" si="33"/>
        <v>0</v>
      </c>
      <c r="CD21" s="178">
        <f t="shared" si="30"/>
        <v>0</v>
      </c>
      <c r="CE21" s="178">
        <f t="shared" si="34"/>
        <v>0</v>
      </c>
      <c r="CF21" s="178">
        <f t="shared" si="35"/>
        <v>0</v>
      </c>
      <c r="CG21" s="178">
        <f t="shared" si="36"/>
        <v>0</v>
      </c>
    </row>
    <row r="22" spans="1:85" ht="14.25" customHeight="1" x14ac:dyDescent="0.2">
      <c r="A22" s="361" t="str">
        <f>+_xlfn.XLOOKUP(B22,'[1]Proyectos (NO FILTRAR)'!$F:$F,'[1]Proyectos (NO FILTRAR)'!$B:$B,0,0,1)</f>
        <v>CH-LUN-CS-OTR00-154-A</v>
      </c>
      <c r="B22" s="167" t="s">
        <v>321</v>
      </c>
      <c r="C22" s="155" t="str">
        <f>+_xlfn.XLOOKUP(A22,'[1]Proyectos (NO FILTRAR)'!$B:$B,'[1]Proyectos (NO FILTRAR)'!$G:$G,"error",0,1)</f>
        <v>Chile</v>
      </c>
      <c r="D22" s="155">
        <v>2025</v>
      </c>
      <c r="E22" s="155" t="s">
        <v>358</v>
      </c>
      <c r="F22" s="155" t="s">
        <v>32</v>
      </c>
      <c r="G22" s="207"/>
      <c r="H22" s="207"/>
      <c r="I22" s="285">
        <f>+_xlfn.XLOOKUP(B22,'[1]Proyectos (NO FILTRAR)'!$F:$F,'[1]Proyectos (NO FILTRAR)'!$O:$O,"!",0,1)</f>
        <v>299270</v>
      </c>
      <c r="J22" s="156">
        <f t="shared" si="31"/>
        <v>299270</v>
      </c>
      <c r="K22" s="157">
        <f t="shared" si="22"/>
        <v>1</v>
      </c>
      <c r="L22" s="158"/>
      <c r="M22" s="159">
        <f t="shared" si="23"/>
        <v>0</v>
      </c>
      <c r="N22" s="160">
        <f t="shared" si="32"/>
        <v>299270</v>
      </c>
      <c r="O22" s="159">
        <f t="shared" si="24"/>
        <v>1</v>
      </c>
      <c r="P22" s="160"/>
      <c r="Q22" s="171"/>
      <c r="R22" s="199"/>
      <c r="S22" s="204"/>
      <c r="T22" s="202"/>
      <c r="U22" s="180"/>
      <c r="V22" s="179"/>
      <c r="W22" s="180"/>
      <c r="X22" s="179"/>
      <c r="Y22" s="180"/>
      <c r="Z22" s="179"/>
      <c r="AA22" s="180"/>
      <c r="AB22" s="179"/>
      <c r="AC22" s="180"/>
      <c r="AD22" s="179">
        <v>55000</v>
      </c>
      <c r="AE22" s="180">
        <v>54620</v>
      </c>
      <c r="AF22" s="179">
        <v>70000</v>
      </c>
      <c r="AG22" s="184">
        <v>70025</v>
      </c>
      <c r="AH22" s="179">
        <v>65000</v>
      </c>
      <c r="AI22" s="182">
        <v>70020</v>
      </c>
      <c r="AJ22" s="179">
        <v>54000</v>
      </c>
      <c r="AK22" s="182">
        <v>53961</v>
      </c>
      <c r="AL22" s="179">
        <v>35000</v>
      </c>
      <c r="AM22" s="182">
        <v>31113</v>
      </c>
      <c r="AN22" s="179">
        <v>19531</v>
      </c>
      <c r="AO22" s="182">
        <v>19531</v>
      </c>
      <c r="AP22" s="172"/>
      <c r="AQ22" s="180"/>
      <c r="AR22" s="190">
        <f t="shared" si="25"/>
        <v>298531</v>
      </c>
      <c r="AS22" s="215">
        <f t="shared" si="26"/>
        <v>299270</v>
      </c>
      <c r="AT22" s="177"/>
      <c r="AU22" s="161">
        <v>0</v>
      </c>
      <c r="AV22" s="161">
        <v>0</v>
      </c>
      <c r="AW22" s="218"/>
      <c r="AX22" s="218">
        <v>0</v>
      </c>
      <c r="AY22" s="218">
        <v>0</v>
      </c>
      <c r="AZ22" s="218"/>
      <c r="BA22" s="161">
        <v>0</v>
      </c>
      <c r="BB22" s="161"/>
      <c r="BC22" s="161"/>
      <c r="BD22" s="161">
        <v>0</v>
      </c>
      <c r="BE22" s="161">
        <v>0</v>
      </c>
      <c r="BF22" s="161"/>
      <c r="BG22" s="161">
        <v>0</v>
      </c>
      <c r="BH22" s="161">
        <v>0</v>
      </c>
      <c r="BI22" s="161"/>
      <c r="BJ22" s="161">
        <v>0</v>
      </c>
      <c r="BK22" s="161"/>
      <c r="BL22" s="161"/>
      <c r="BM22" s="161"/>
      <c r="BN22" s="161"/>
      <c r="BO22" s="161"/>
      <c r="BP22" s="161"/>
      <c r="BQ22" s="161"/>
      <c r="BR22" s="161"/>
      <c r="BS22" s="161"/>
      <c r="BT22" s="161"/>
      <c r="BU22" s="161"/>
      <c r="BV22" s="161"/>
      <c r="BW22" s="161"/>
      <c r="BX22" s="161"/>
      <c r="BY22" s="161">
        <f t="shared" si="27"/>
        <v>0</v>
      </c>
      <c r="BZ22" s="161">
        <f t="shared" si="28"/>
        <v>0</v>
      </c>
      <c r="CA22" s="216">
        <f t="shared" si="29"/>
        <v>0</v>
      </c>
      <c r="CC22" s="178">
        <f t="shared" si="33"/>
        <v>0</v>
      </c>
      <c r="CD22" s="178">
        <f t="shared" si="30"/>
        <v>0</v>
      </c>
      <c r="CE22" s="178">
        <f t="shared" si="34"/>
        <v>0</v>
      </c>
      <c r="CF22" s="178">
        <f t="shared" si="35"/>
        <v>0</v>
      </c>
      <c r="CG22" s="178">
        <f t="shared" si="36"/>
        <v>0</v>
      </c>
    </row>
    <row r="23" spans="1:85" ht="14.25" customHeight="1" x14ac:dyDescent="0.2">
      <c r="A23" s="361" t="s">
        <v>294</v>
      </c>
      <c r="B23" s="167" t="s">
        <v>295</v>
      </c>
      <c r="C23" s="155" t="str">
        <f>+_xlfn.XLOOKUP(A23,'[1]Proyectos (NO FILTRAR)'!$B:$B,'[1]Proyectos (NO FILTRAR)'!$G:$G,"error",0,1)</f>
        <v>Perú</v>
      </c>
      <c r="D23" s="155">
        <v>2024</v>
      </c>
      <c r="E23" s="155" t="s">
        <v>358</v>
      </c>
      <c r="F23" s="155" t="s">
        <v>33</v>
      </c>
      <c r="G23" s="207"/>
      <c r="H23" s="207" t="s">
        <v>29</v>
      </c>
      <c r="I23" s="285">
        <f>+_xlfn.XLOOKUP(B23,'[1]Proyectos (NO FILTRAR)'!$F:$F,'[1]Proyectos (NO FILTRAR)'!$O:$O,"!",0,1)</f>
        <v>295769</v>
      </c>
      <c r="J23" s="156">
        <f t="shared" si="31"/>
        <v>336553.91747624078</v>
      </c>
      <c r="K23" s="168">
        <f t="shared" si="22"/>
        <v>1.1378944969764944</v>
      </c>
      <c r="L23" s="158"/>
      <c r="M23" s="169">
        <f t="shared" si="23"/>
        <v>0</v>
      </c>
      <c r="N23" s="160">
        <f t="shared" si="32"/>
        <v>336553.91747624078</v>
      </c>
      <c r="O23" s="169">
        <f t="shared" si="24"/>
        <v>1.1378944969764944</v>
      </c>
      <c r="P23" s="170"/>
      <c r="Q23" s="171"/>
      <c r="R23" s="199">
        <f>+I23-Q23</f>
        <v>295769</v>
      </c>
      <c r="S23" s="204"/>
      <c r="T23" s="202">
        <v>25500</v>
      </c>
      <c r="U23" s="180">
        <v>36175</v>
      </c>
      <c r="V23" s="179">
        <f>_xlfn.XLOOKUP(B23,'[4]Resumen EDP POM'!$B:$B,'[4]Resumen EDP POM'!$E:$E,"!",0,1)</f>
        <v>44000</v>
      </c>
      <c r="W23" s="181">
        <v>47631</v>
      </c>
      <c r="X23" s="179">
        <v>37000</v>
      </c>
      <c r="Y23" s="180">
        <v>34217</v>
      </c>
      <c r="Z23" s="179">
        <v>25127</v>
      </c>
      <c r="AA23" s="180">
        <v>25392</v>
      </c>
      <c r="AB23" s="179">
        <v>48700.336152141805</v>
      </c>
      <c r="AC23" s="180">
        <v>57648</v>
      </c>
      <c r="AD23" s="179">
        <v>50800</v>
      </c>
      <c r="AE23" s="180">
        <v>59126</v>
      </c>
      <c r="AF23" s="179">
        <v>35579</v>
      </c>
      <c r="AG23" s="184">
        <v>30279.917476240771</v>
      </c>
      <c r="AH23" s="179">
        <v>5299</v>
      </c>
      <c r="AI23" s="180">
        <v>5300</v>
      </c>
      <c r="AJ23" s="179"/>
      <c r="AK23" s="173"/>
      <c r="AL23" s="179"/>
      <c r="AM23" s="182">
        <v>40785</v>
      </c>
      <c r="AN23" s="179"/>
      <c r="AO23" s="180"/>
      <c r="AP23" s="172"/>
      <c r="AQ23" s="180"/>
      <c r="AR23" s="190">
        <f t="shared" si="25"/>
        <v>272005.3361521418</v>
      </c>
      <c r="AS23" s="215">
        <f t="shared" si="26"/>
        <v>336553.91747624078</v>
      </c>
      <c r="AT23" s="177"/>
      <c r="AU23" s="161">
        <v>0</v>
      </c>
      <c r="AV23" s="161">
        <v>0</v>
      </c>
      <c r="AW23" s="218"/>
      <c r="AX23" s="218">
        <v>0</v>
      </c>
      <c r="AY23" s="218">
        <v>0</v>
      </c>
      <c r="AZ23" s="218"/>
      <c r="BA23" s="161">
        <v>0</v>
      </c>
      <c r="BB23" s="161"/>
      <c r="BC23" s="161"/>
      <c r="BD23" s="161">
        <v>0</v>
      </c>
      <c r="BE23" s="161">
        <v>0</v>
      </c>
      <c r="BF23" s="161"/>
      <c r="BG23" s="161">
        <v>0</v>
      </c>
      <c r="BH23" s="161">
        <v>0</v>
      </c>
      <c r="BI23" s="161"/>
      <c r="BJ23" s="161">
        <v>0</v>
      </c>
      <c r="BK23" s="161"/>
      <c r="BL23" s="161"/>
      <c r="BM23" s="161"/>
      <c r="BN23" s="161"/>
      <c r="BO23" s="161"/>
      <c r="BP23" s="161"/>
      <c r="BQ23" s="161"/>
      <c r="BR23" s="161"/>
      <c r="BS23" s="161"/>
      <c r="BT23" s="161"/>
      <c r="BU23" s="161"/>
      <c r="BV23" s="161"/>
      <c r="BW23" s="161"/>
      <c r="BX23" s="161"/>
      <c r="BY23" s="161">
        <f t="shared" si="27"/>
        <v>0</v>
      </c>
      <c r="BZ23" s="161">
        <f t="shared" si="28"/>
        <v>0</v>
      </c>
      <c r="CA23" s="216">
        <f t="shared" si="29"/>
        <v>0</v>
      </c>
      <c r="CC23" s="178">
        <f t="shared" si="33"/>
        <v>0</v>
      </c>
      <c r="CD23" s="178">
        <f t="shared" si="30"/>
        <v>0</v>
      </c>
      <c r="CE23" s="178">
        <f t="shared" si="34"/>
        <v>0</v>
      </c>
      <c r="CF23" s="178">
        <f t="shared" si="35"/>
        <v>0</v>
      </c>
      <c r="CG23" s="178">
        <f t="shared" si="36"/>
        <v>0</v>
      </c>
    </row>
    <row r="24" spans="1:85" ht="14.25" customHeight="1" x14ac:dyDescent="0.2">
      <c r="A24" s="361" t="str">
        <f>+_xlfn.XLOOKUP(B24,'[1]Proyectos (NO FILTRAR)'!$F:$F,'[1]Proyectos (NO FILTRAR)'!$B:$B,0,0,1)</f>
        <v>CH-D&amp;P-CS-OTR00-137-A</v>
      </c>
      <c r="B24" s="167" t="s">
        <v>300</v>
      </c>
      <c r="C24" s="155" t="str">
        <f>+_xlfn.XLOOKUP(A24,'[1]Proyectos (NO FILTRAR)'!$B:$B,'[1]Proyectos (NO FILTRAR)'!$G:$G,"error",0,1)</f>
        <v>Chile</v>
      </c>
      <c r="D24" s="155">
        <v>2025</v>
      </c>
      <c r="E24" s="155" t="s">
        <v>358</v>
      </c>
      <c r="F24" s="155" t="s">
        <v>254</v>
      </c>
      <c r="G24" s="207"/>
      <c r="H24" s="207"/>
      <c r="I24" s="285">
        <f>+_xlfn.XLOOKUP(B24,'[1]Proyectos (NO FILTRAR)'!$F:$F,'[1]Proyectos (NO FILTRAR)'!$O:$O,"!",0,1)</f>
        <v>272200.59999999998</v>
      </c>
      <c r="J24" s="156">
        <f t="shared" si="31"/>
        <v>272201</v>
      </c>
      <c r="K24" s="157">
        <f t="shared" si="22"/>
        <v>1.0000014695044759</v>
      </c>
      <c r="L24" s="158"/>
      <c r="M24" s="159">
        <f t="shared" si="23"/>
        <v>0</v>
      </c>
      <c r="N24" s="160">
        <f t="shared" si="32"/>
        <v>272201</v>
      </c>
      <c r="O24" s="159">
        <f t="shared" si="24"/>
        <v>1.0000014695044759</v>
      </c>
      <c r="P24" s="160"/>
      <c r="Q24" s="171"/>
      <c r="R24" s="199"/>
      <c r="S24" s="204"/>
      <c r="T24" s="202"/>
      <c r="U24" s="180"/>
      <c r="V24" s="179">
        <f>_xlfn.XLOOKUP(B24,'[4]Resumen EDP POM'!$B:$B,'[4]Resumen EDP POM'!$E:$E,"!",0,1)</f>
        <v>79200</v>
      </c>
      <c r="W24" s="181">
        <v>82681.2</v>
      </c>
      <c r="X24" s="179">
        <v>80500</v>
      </c>
      <c r="Y24" s="181">
        <v>89646.3</v>
      </c>
      <c r="Z24" s="179">
        <v>46270</v>
      </c>
      <c r="AA24" s="181">
        <v>0</v>
      </c>
      <c r="AB24" s="179"/>
      <c r="AC24" s="180"/>
      <c r="AD24" s="179"/>
      <c r="AE24" s="181"/>
      <c r="AF24" s="179"/>
      <c r="AG24" s="184">
        <v>99873.5</v>
      </c>
      <c r="AH24" s="179"/>
      <c r="AI24" s="180"/>
      <c r="AJ24" s="179"/>
      <c r="AK24" s="173"/>
      <c r="AL24" s="179"/>
      <c r="AM24" s="180"/>
      <c r="AN24" s="179"/>
      <c r="AO24" s="185"/>
      <c r="AP24" s="172"/>
      <c r="AQ24" s="180"/>
      <c r="AR24" s="190">
        <f t="shared" si="25"/>
        <v>205970</v>
      </c>
      <c r="AS24" s="215">
        <f t="shared" si="26"/>
        <v>272201</v>
      </c>
      <c r="AT24" s="177"/>
      <c r="AU24" s="161">
        <v>0</v>
      </c>
      <c r="AV24" s="161">
        <v>0</v>
      </c>
      <c r="AW24" s="218"/>
      <c r="AX24" s="218">
        <v>0</v>
      </c>
      <c r="AY24" s="218">
        <v>0</v>
      </c>
      <c r="AZ24" s="218"/>
      <c r="BA24" s="161">
        <v>0</v>
      </c>
      <c r="BB24" s="161"/>
      <c r="BC24" s="161"/>
      <c r="BD24" s="161">
        <v>0</v>
      </c>
      <c r="BE24" s="161">
        <v>0</v>
      </c>
      <c r="BF24" s="161"/>
      <c r="BG24" s="161">
        <v>0</v>
      </c>
      <c r="BH24" s="161">
        <v>0</v>
      </c>
      <c r="BI24" s="161"/>
      <c r="BJ24" s="161">
        <v>0</v>
      </c>
      <c r="BK24" s="161"/>
      <c r="BL24" s="161"/>
      <c r="BM24" s="161"/>
      <c r="BN24" s="161"/>
      <c r="BO24" s="161"/>
      <c r="BP24" s="161"/>
      <c r="BQ24" s="161"/>
      <c r="BR24" s="161"/>
      <c r="BS24" s="161"/>
      <c r="BT24" s="161"/>
      <c r="BU24" s="161"/>
      <c r="BV24" s="161"/>
      <c r="BW24" s="161"/>
      <c r="BX24" s="161"/>
      <c r="BY24" s="161">
        <f t="shared" si="27"/>
        <v>0</v>
      </c>
      <c r="BZ24" s="161">
        <f t="shared" si="28"/>
        <v>0</v>
      </c>
      <c r="CA24" s="216">
        <f t="shared" si="29"/>
        <v>0</v>
      </c>
      <c r="CC24" s="178">
        <f t="shared" si="33"/>
        <v>0</v>
      </c>
      <c r="CD24" s="178">
        <f t="shared" si="30"/>
        <v>0</v>
      </c>
      <c r="CE24" s="178">
        <f t="shared" si="34"/>
        <v>0</v>
      </c>
      <c r="CF24" s="178">
        <f t="shared" si="35"/>
        <v>0</v>
      </c>
      <c r="CG24" s="178">
        <f t="shared" si="36"/>
        <v>0</v>
      </c>
    </row>
    <row r="25" spans="1:85" ht="14.25" customHeight="1" x14ac:dyDescent="0.2">
      <c r="A25" s="361" t="s">
        <v>289</v>
      </c>
      <c r="B25" s="167" t="s">
        <v>285</v>
      </c>
      <c r="C25" s="155" t="str">
        <f>+_xlfn.XLOOKUP(A25,'[1]Proyectos (NO FILTRAR)'!$B:$B,'[1]Proyectos (NO FILTRAR)'!$G:$G,"error",0,1)</f>
        <v>Otros</v>
      </c>
      <c r="D25" s="155">
        <v>2024</v>
      </c>
      <c r="E25" s="155" t="s">
        <v>358</v>
      </c>
      <c r="F25" s="155" t="s">
        <v>315</v>
      </c>
      <c r="G25" s="207"/>
      <c r="H25" s="207" t="s">
        <v>35</v>
      </c>
      <c r="I25" s="285">
        <f>+_xlfn.XLOOKUP(B25,'[1]Proyectos (NO FILTRAR)'!$F:$F,'[1]Proyectos (NO FILTRAR)'!$O:$O,"!",0,1)</f>
        <v>254012</v>
      </c>
      <c r="J25" s="156">
        <f t="shared" si="31"/>
        <v>254012</v>
      </c>
      <c r="K25" s="157">
        <f t="shared" si="22"/>
        <v>1</v>
      </c>
      <c r="L25" s="158"/>
      <c r="M25" s="159">
        <f t="shared" si="23"/>
        <v>0</v>
      </c>
      <c r="N25" s="160">
        <f t="shared" si="32"/>
        <v>254012</v>
      </c>
      <c r="O25" s="159">
        <f t="shared" si="24"/>
        <v>1</v>
      </c>
      <c r="P25" s="186"/>
      <c r="Q25" s="171"/>
      <c r="R25" s="199">
        <f t="shared" ref="R25:R30" si="37">+I25-Q25</f>
        <v>254012</v>
      </c>
      <c r="S25" s="204"/>
      <c r="T25" s="202">
        <v>115000</v>
      </c>
      <c r="U25" s="180">
        <v>130412</v>
      </c>
      <c r="V25" s="179">
        <f>_xlfn.XLOOKUP(B25,'[4]Resumen EDP POM'!$B:$B,'[4]Resumen EDP POM'!$E:$E,"!",0,1)</f>
        <v>95000</v>
      </c>
      <c r="W25" s="181">
        <v>84975</v>
      </c>
      <c r="X25" s="179">
        <v>28325</v>
      </c>
      <c r="Y25" s="180">
        <v>38625</v>
      </c>
      <c r="Z25" s="179"/>
      <c r="AA25" s="180"/>
      <c r="AB25" s="179"/>
      <c r="AC25" s="180"/>
      <c r="AD25" s="179"/>
      <c r="AE25" s="180"/>
      <c r="AF25" s="179"/>
      <c r="AG25" s="180"/>
      <c r="AH25" s="179"/>
      <c r="AI25" s="180"/>
      <c r="AJ25" s="179"/>
      <c r="AK25" s="173"/>
      <c r="AL25" s="179"/>
      <c r="AM25" s="180"/>
      <c r="AN25" s="179"/>
      <c r="AO25" s="180"/>
      <c r="AP25" s="172"/>
      <c r="AQ25" s="180"/>
      <c r="AR25" s="190">
        <f t="shared" si="25"/>
        <v>238325</v>
      </c>
      <c r="AS25" s="215">
        <f t="shared" si="26"/>
        <v>254012</v>
      </c>
      <c r="AT25" s="177"/>
      <c r="AU25" s="161">
        <v>0</v>
      </c>
      <c r="AV25" s="161">
        <v>0</v>
      </c>
      <c r="AW25" s="218"/>
      <c r="AX25" s="218">
        <v>0</v>
      </c>
      <c r="AY25" s="218">
        <v>0</v>
      </c>
      <c r="AZ25" s="218"/>
      <c r="BA25" s="161">
        <v>0</v>
      </c>
      <c r="BB25" s="161"/>
      <c r="BC25" s="161"/>
      <c r="BD25" s="161">
        <v>0</v>
      </c>
      <c r="BE25" s="161">
        <v>0</v>
      </c>
      <c r="BF25" s="161"/>
      <c r="BG25" s="161">
        <v>0</v>
      </c>
      <c r="BH25" s="161">
        <v>0</v>
      </c>
      <c r="BI25" s="161"/>
      <c r="BJ25" s="161">
        <v>0</v>
      </c>
      <c r="BK25" s="161"/>
      <c r="BL25" s="161"/>
      <c r="BM25" s="161"/>
      <c r="BN25" s="161"/>
      <c r="BO25" s="161"/>
      <c r="BP25" s="161"/>
      <c r="BQ25" s="161"/>
      <c r="BR25" s="161"/>
      <c r="BS25" s="161"/>
      <c r="BT25" s="161"/>
      <c r="BU25" s="161"/>
      <c r="BV25" s="161"/>
      <c r="BW25" s="161"/>
      <c r="BX25" s="161"/>
      <c r="BY25" s="161">
        <f t="shared" si="27"/>
        <v>0</v>
      </c>
      <c r="BZ25" s="161">
        <f t="shared" si="28"/>
        <v>0</v>
      </c>
      <c r="CA25" s="216">
        <f t="shared" si="29"/>
        <v>0</v>
      </c>
      <c r="CC25" s="178">
        <f t="shared" si="33"/>
        <v>0</v>
      </c>
      <c r="CD25" s="178">
        <f t="shared" si="30"/>
        <v>0</v>
      </c>
      <c r="CE25" s="178">
        <f t="shared" si="34"/>
        <v>0</v>
      </c>
      <c r="CF25" s="178">
        <f t="shared" si="35"/>
        <v>0</v>
      </c>
      <c r="CG25" s="178">
        <f t="shared" si="36"/>
        <v>0</v>
      </c>
    </row>
    <row r="26" spans="1:85" ht="14.25" customHeight="1" x14ac:dyDescent="0.2">
      <c r="A26" s="361" t="str">
        <f>+_xlfn.XLOOKUP(B26,'[1]Proyectos (NO FILTRAR)'!$F:$F,'[1]Proyectos (NO FILTRAR)'!$B:$B,0,0,1)</f>
        <v>BR-J&amp;F-UG-FEL03-048-A</v>
      </c>
      <c r="B26" s="167" t="s">
        <v>184</v>
      </c>
      <c r="C26" s="155" t="str">
        <f>+_xlfn.XLOOKUP(A26,'[1]Proyectos (NO FILTRAR)'!$B:$B,'[1]Proyectos (NO FILTRAR)'!$G:$G,"error",0,1)</f>
        <v>Brasil</v>
      </c>
      <c r="D26" s="155">
        <v>2024</v>
      </c>
      <c r="E26" s="155" t="s">
        <v>358</v>
      </c>
      <c r="F26" s="155" t="s">
        <v>162</v>
      </c>
      <c r="G26" s="207"/>
      <c r="H26" s="207" t="s">
        <v>35</v>
      </c>
      <c r="I26" s="285">
        <f>+_xlfn.XLOOKUP(B26,'[1]Proyectos (NO FILTRAR)'!$F:$F,'[1]Proyectos (NO FILTRAR)'!$O:$O,"!",0,1)</f>
        <v>239308</v>
      </c>
      <c r="J26" s="156">
        <f t="shared" si="31"/>
        <v>216351</v>
      </c>
      <c r="K26" s="157">
        <f t="shared" si="22"/>
        <v>0.90406923295502029</v>
      </c>
      <c r="L26" s="158"/>
      <c r="M26" s="159">
        <f t="shared" si="23"/>
        <v>0</v>
      </c>
      <c r="N26" s="160">
        <f t="shared" si="32"/>
        <v>216351</v>
      </c>
      <c r="O26" s="159">
        <f t="shared" si="24"/>
        <v>0.90406923295502029</v>
      </c>
      <c r="P26" s="160"/>
      <c r="Q26" s="171">
        <v>208259</v>
      </c>
      <c r="R26" s="199">
        <f t="shared" si="37"/>
        <v>31049</v>
      </c>
      <c r="S26" s="204"/>
      <c r="T26" s="202"/>
      <c r="U26" s="180"/>
      <c r="V26" s="179"/>
      <c r="W26" s="180"/>
      <c r="X26" s="179"/>
      <c r="Y26" s="180">
        <v>8092</v>
      </c>
      <c r="Z26" s="179"/>
      <c r="AA26" s="180"/>
      <c r="AB26" s="179"/>
      <c r="AC26" s="180"/>
      <c r="AD26" s="179"/>
      <c r="AE26" s="180"/>
      <c r="AF26" s="179"/>
      <c r="AG26" s="180"/>
      <c r="AH26" s="179"/>
      <c r="AI26" s="180"/>
      <c r="AJ26" s="179"/>
      <c r="AK26" s="173"/>
      <c r="AL26" s="179"/>
      <c r="AM26" s="180"/>
      <c r="AN26" s="179"/>
      <c r="AO26" s="185"/>
      <c r="AP26" s="172"/>
      <c r="AQ26" s="180"/>
      <c r="AR26" s="190">
        <f t="shared" si="25"/>
        <v>0</v>
      </c>
      <c r="AS26" s="215">
        <f t="shared" si="26"/>
        <v>8092</v>
      </c>
      <c r="AT26" s="177"/>
      <c r="AU26" s="161">
        <v>0</v>
      </c>
      <c r="AV26" s="161">
        <v>0</v>
      </c>
      <c r="AW26" s="218"/>
      <c r="AX26" s="218">
        <v>0</v>
      </c>
      <c r="AY26" s="218">
        <v>0</v>
      </c>
      <c r="AZ26" s="218"/>
      <c r="BA26" s="161">
        <v>0</v>
      </c>
      <c r="BB26" s="161"/>
      <c r="BC26" s="161"/>
      <c r="BD26" s="161">
        <v>0</v>
      </c>
      <c r="BE26" s="161">
        <v>0</v>
      </c>
      <c r="BF26" s="161"/>
      <c r="BG26" s="161">
        <v>0</v>
      </c>
      <c r="BH26" s="161">
        <v>0</v>
      </c>
      <c r="BI26" s="161"/>
      <c r="BJ26" s="161">
        <v>0</v>
      </c>
      <c r="BK26" s="161"/>
      <c r="BL26" s="161"/>
      <c r="BM26" s="161"/>
      <c r="BN26" s="161"/>
      <c r="BO26" s="161"/>
      <c r="BP26" s="161"/>
      <c r="BQ26" s="161"/>
      <c r="BR26" s="161"/>
      <c r="BS26" s="161"/>
      <c r="BT26" s="161"/>
      <c r="BU26" s="161"/>
      <c r="BV26" s="161"/>
      <c r="BW26" s="161"/>
      <c r="BX26" s="161"/>
      <c r="BY26" s="161">
        <f t="shared" si="27"/>
        <v>0</v>
      </c>
      <c r="BZ26" s="161">
        <f t="shared" si="28"/>
        <v>0</v>
      </c>
      <c r="CA26" s="216">
        <f t="shared" si="29"/>
        <v>0</v>
      </c>
      <c r="CC26" s="178">
        <f t="shared" si="33"/>
        <v>0</v>
      </c>
      <c r="CD26" s="178">
        <f t="shared" si="30"/>
        <v>0</v>
      </c>
      <c r="CE26" s="178">
        <f t="shared" si="34"/>
        <v>0</v>
      </c>
      <c r="CF26" s="178">
        <f t="shared" si="35"/>
        <v>0</v>
      </c>
      <c r="CG26" s="178">
        <f t="shared" si="36"/>
        <v>0</v>
      </c>
    </row>
    <row r="27" spans="1:85" ht="14.25" customHeight="1" x14ac:dyDescent="0.2">
      <c r="A27" s="361" t="str">
        <f>+_xlfn.XLOOKUP(B27,'[1]Proyectos (NO FILTRAR)'!$F:$F,'[1]Proyectos (NO FILTRAR)'!$B:$B,0,0,1)</f>
        <v>CH-MCI-OP-OTR00-089-A</v>
      </c>
      <c r="B27" s="167" t="s">
        <v>205</v>
      </c>
      <c r="C27" s="155" t="str">
        <f>+_xlfn.XLOOKUP(A27,'[1]Proyectos (NO FILTRAR)'!$B:$B,'[1]Proyectos (NO FILTRAR)'!$G:$G,"error",0,1)</f>
        <v>Chile</v>
      </c>
      <c r="D27" s="155">
        <v>2024</v>
      </c>
      <c r="E27" s="155" t="s">
        <v>358</v>
      </c>
      <c r="F27" s="155" t="s">
        <v>254</v>
      </c>
      <c r="G27" s="207"/>
      <c r="H27" s="207" t="s">
        <v>39</v>
      </c>
      <c r="I27" s="285">
        <f>+_xlfn.XLOOKUP(B27,'[1]Proyectos (NO FILTRAR)'!$F:$F,'[1]Proyectos (NO FILTRAR)'!$O:$O,"!",0,1)</f>
        <v>239000</v>
      </c>
      <c r="J27" s="156">
        <f t="shared" si="31"/>
        <v>239000</v>
      </c>
      <c r="K27" s="157">
        <f t="shared" si="22"/>
        <v>1</v>
      </c>
      <c r="L27" s="158"/>
      <c r="M27" s="159">
        <f t="shared" si="23"/>
        <v>0</v>
      </c>
      <c r="N27" s="160">
        <f t="shared" si="32"/>
        <v>239000</v>
      </c>
      <c r="O27" s="159">
        <f t="shared" si="24"/>
        <v>1</v>
      </c>
      <c r="P27" s="160"/>
      <c r="Q27" s="171">
        <v>215280</v>
      </c>
      <c r="R27" s="199">
        <f t="shared" si="37"/>
        <v>23720</v>
      </c>
      <c r="S27" s="204"/>
      <c r="T27" s="202">
        <v>23720</v>
      </c>
      <c r="U27" s="180">
        <v>23720</v>
      </c>
      <c r="V27" s="179"/>
      <c r="W27" s="180"/>
      <c r="X27" s="179"/>
      <c r="Y27" s="180"/>
      <c r="Z27" s="179"/>
      <c r="AA27" s="180"/>
      <c r="AB27" s="179"/>
      <c r="AC27" s="180"/>
      <c r="AD27" s="179"/>
      <c r="AE27" s="180"/>
      <c r="AF27" s="179"/>
      <c r="AG27" s="180"/>
      <c r="AH27" s="179"/>
      <c r="AI27" s="180"/>
      <c r="AJ27" s="179"/>
      <c r="AK27" s="173"/>
      <c r="AL27" s="179"/>
      <c r="AM27" s="180"/>
      <c r="AN27" s="179"/>
      <c r="AO27" s="180"/>
      <c r="AP27" s="172"/>
      <c r="AQ27" s="180"/>
      <c r="AR27" s="190">
        <f t="shared" si="25"/>
        <v>23720</v>
      </c>
      <c r="AS27" s="215">
        <f t="shared" si="26"/>
        <v>23720</v>
      </c>
      <c r="AT27" s="177"/>
      <c r="AU27" s="161">
        <v>0</v>
      </c>
      <c r="AV27" s="161">
        <v>0</v>
      </c>
      <c r="AW27" s="218"/>
      <c r="AX27" s="218">
        <v>0</v>
      </c>
      <c r="AY27" s="218">
        <v>0</v>
      </c>
      <c r="AZ27" s="218"/>
      <c r="BA27" s="161">
        <v>0</v>
      </c>
      <c r="BB27" s="161"/>
      <c r="BC27" s="161"/>
      <c r="BD27" s="161">
        <v>0</v>
      </c>
      <c r="BE27" s="161">
        <v>0</v>
      </c>
      <c r="BF27" s="161"/>
      <c r="BG27" s="161">
        <v>0</v>
      </c>
      <c r="BH27" s="161">
        <v>0</v>
      </c>
      <c r="BI27" s="161"/>
      <c r="BJ27" s="161">
        <v>0</v>
      </c>
      <c r="BK27" s="161"/>
      <c r="BL27" s="161"/>
      <c r="BM27" s="161"/>
      <c r="BN27" s="161"/>
      <c r="BO27" s="161"/>
      <c r="BP27" s="161"/>
      <c r="BQ27" s="161"/>
      <c r="BR27" s="161"/>
      <c r="BS27" s="161"/>
      <c r="BT27" s="161"/>
      <c r="BU27" s="161"/>
      <c r="BV27" s="161"/>
      <c r="BW27" s="161"/>
      <c r="BX27" s="161"/>
      <c r="BY27" s="161">
        <f t="shared" si="27"/>
        <v>0</v>
      </c>
      <c r="BZ27" s="161">
        <f t="shared" si="28"/>
        <v>0</v>
      </c>
      <c r="CA27" s="216">
        <f t="shared" si="29"/>
        <v>0</v>
      </c>
      <c r="CC27" s="178">
        <f t="shared" si="33"/>
        <v>0</v>
      </c>
      <c r="CD27" s="178">
        <f t="shared" si="30"/>
        <v>0</v>
      </c>
      <c r="CE27" s="178">
        <f t="shared" si="34"/>
        <v>0</v>
      </c>
      <c r="CF27" s="178">
        <f t="shared" si="35"/>
        <v>0</v>
      </c>
      <c r="CG27" s="178">
        <f t="shared" si="36"/>
        <v>0</v>
      </c>
    </row>
    <row r="28" spans="1:85" ht="14.25" customHeight="1" x14ac:dyDescent="0.2">
      <c r="A28" s="361" t="str">
        <f>+_xlfn.XLOOKUP(B28,'[1]Proyectos (NO FILTRAR)'!$F:$F,'[1]Proyectos (NO FILTRAR)'!$B:$B,0,0,1)</f>
        <v>CH-BHP-UG-FEL01-074-A</v>
      </c>
      <c r="B28" s="167" t="s">
        <v>107</v>
      </c>
      <c r="C28" s="155" t="str">
        <f>+_xlfn.XLOOKUP(A28,'[1]Proyectos (NO FILTRAR)'!$B:$B,'[1]Proyectos (NO FILTRAR)'!$G:$G,"error",0,1)</f>
        <v>Chile</v>
      </c>
      <c r="D28" s="155">
        <v>2025</v>
      </c>
      <c r="E28" s="155" t="s">
        <v>358</v>
      </c>
      <c r="F28" s="155" t="s">
        <v>315</v>
      </c>
      <c r="G28" s="207"/>
      <c r="H28" s="207"/>
      <c r="I28" s="285">
        <f>+_xlfn.XLOOKUP(B28,'[1]Proyectos (NO FILTRAR)'!$F:$F,'[1]Proyectos (NO FILTRAR)'!$O:$O,"!",0,1)</f>
        <v>198920</v>
      </c>
      <c r="J28" s="156">
        <f t="shared" si="31"/>
        <v>198920</v>
      </c>
      <c r="K28" s="157">
        <f t="shared" si="22"/>
        <v>1</v>
      </c>
      <c r="L28" s="158"/>
      <c r="M28" s="159">
        <f t="shared" si="23"/>
        <v>0</v>
      </c>
      <c r="N28" s="160">
        <f t="shared" si="32"/>
        <v>198920</v>
      </c>
      <c r="O28" s="159">
        <f t="shared" si="24"/>
        <v>1</v>
      </c>
      <c r="P28" s="160"/>
      <c r="Q28" s="171">
        <v>35036</v>
      </c>
      <c r="R28" s="199">
        <f t="shared" si="37"/>
        <v>163884</v>
      </c>
      <c r="S28" s="204"/>
      <c r="T28" s="202"/>
      <c r="U28" s="180"/>
      <c r="V28" s="179"/>
      <c r="W28" s="180"/>
      <c r="X28" s="179"/>
      <c r="Y28" s="180"/>
      <c r="Z28" s="179">
        <v>40000</v>
      </c>
      <c r="AA28" s="180">
        <v>48790</v>
      </c>
      <c r="AB28" s="179">
        <v>40000</v>
      </c>
      <c r="AC28" s="180">
        <v>32748</v>
      </c>
      <c r="AD28" s="179">
        <v>38000</v>
      </c>
      <c r="AE28" s="180">
        <v>40426</v>
      </c>
      <c r="AF28" s="179">
        <v>39000</v>
      </c>
      <c r="AG28" s="184">
        <v>30025</v>
      </c>
      <c r="AH28" s="179">
        <v>11895</v>
      </c>
      <c r="AI28" s="182">
        <v>11895</v>
      </c>
      <c r="AJ28" s="179"/>
      <c r="AK28" s="173"/>
      <c r="AL28" s="179"/>
      <c r="AM28" s="180"/>
      <c r="AN28" s="179"/>
      <c r="AO28" s="185"/>
      <c r="AP28" s="172"/>
      <c r="AQ28" s="180"/>
      <c r="AR28" s="190">
        <f t="shared" si="25"/>
        <v>168895</v>
      </c>
      <c r="AS28" s="215">
        <f t="shared" si="26"/>
        <v>163884</v>
      </c>
      <c r="AT28" s="177"/>
      <c r="AU28" s="161">
        <v>0</v>
      </c>
      <c r="AV28" s="161">
        <v>0</v>
      </c>
      <c r="AW28" s="218"/>
      <c r="AX28" s="218">
        <v>0</v>
      </c>
      <c r="AY28" s="218">
        <v>0</v>
      </c>
      <c r="AZ28" s="218"/>
      <c r="BA28" s="161">
        <v>0</v>
      </c>
      <c r="BB28" s="161"/>
      <c r="BC28" s="161"/>
      <c r="BD28" s="161">
        <v>0</v>
      </c>
      <c r="BE28" s="161">
        <v>0</v>
      </c>
      <c r="BF28" s="161"/>
      <c r="BG28" s="161">
        <v>0</v>
      </c>
      <c r="BH28" s="161">
        <v>0</v>
      </c>
      <c r="BI28" s="161"/>
      <c r="BJ28" s="161">
        <v>0</v>
      </c>
      <c r="BK28" s="161"/>
      <c r="BL28" s="161"/>
      <c r="BM28" s="161"/>
      <c r="BN28" s="161"/>
      <c r="BO28" s="161"/>
      <c r="BP28" s="161"/>
      <c r="BQ28" s="161"/>
      <c r="BR28" s="161"/>
      <c r="BS28" s="161"/>
      <c r="BT28" s="161"/>
      <c r="BU28" s="161"/>
      <c r="BV28" s="161"/>
      <c r="BW28" s="161"/>
      <c r="BX28" s="161"/>
      <c r="BY28" s="161">
        <f t="shared" si="27"/>
        <v>0</v>
      </c>
      <c r="BZ28" s="161">
        <f t="shared" si="28"/>
        <v>0</v>
      </c>
      <c r="CA28" s="216">
        <f t="shared" si="29"/>
        <v>0</v>
      </c>
      <c r="CC28" s="178">
        <f t="shared" si="33"/>
        <v>0</v>
      </c>
      <c r="CD28" s="178">
        <f t="shared" si="30"/>
        <v>0</v>
      </c>
      <c r="CE28" s="178">
        <f t="shared" si="34"/>
        <v>0</v>
      </c>
      <c r="CF28" s="178">
        <f t="shared" si="35"/>
        <v>0</v>
      </c>
      <c r="CG28" s="178">
        <f t="shared" si="36"/>
        <v>0</v>
      </c>
    </row>
    <row r="29" spans="1:85" ht="14.25" customHeight="1" x14ac:dyDescent="0.2">
      <c r="A29" s="361" t="str">
        <f>+_xlfn.XLOOKUP(B29,'[1]Proyectos (NO FILTRAR)'!$F:$F,'[1]Proyectos (NO FILTRAR)'!$B:$B,0,0,1)</f>
        <v>CH-CCO-CS-FEL00-117-A</v>
      </c>
      <c r="B29" s="167" t="s">
        <v>272</v>
      </c>
      <c r="C29" s="155" t="str">
        <f>+_xlfn.XLOOKUP(A29,'[1]Proyectos (NO FILTRAR)'!$B:$B,'[1]Proyectos (NO FILTRAR)'!$G:$G,"error",0,1)</f>
        <v>Chile</v>
      </c>
      <c r="D29" s="155">
        <v>2024</v>
      </c>
      <c r="E29" s="155" t="s">
        <v>358</v>
      </c>
      <c r="F29" s="155" t="s">
        <v>254</v>
      </c>
      <c r="G29" s="207"/>
      <c r="H29" s="207" t="s">
        <v>266</v>
      </c>
      <c r="I29" s="285">
        <f>+_xlfn.XLOOKUP(B29,'[1]Proyectos (NO FILTRAR)'!$F:$F,'[1]Proyectos (NO FILTRAR)'!$O:$O,"!",0,1)</f>
        <v>196000.3</v>
      </c>
      <c r="J29" s="156">
        <f t="shared" si="31"/>
        <v>196000.3</v>
      </c>
      <c r="K29" s="157">
        <f t="shared" si="22"/>
        <v>1</v>
      </c>
      <c r="L29" s="158"/>
      <c r="M29" s="159">
        <f t="shared" si="23"/>
        <v>0</v>
      </c>
      <c r="N29" s="160">
        <f t="shared" si="32"/>
        <v>196000.3</v>
      </c>
      <c r="O29" s="159">
        <f t="shared" si="24"/>
        <v>1</v>
      </c>
      <c r="P29" s="160"/>
      <c r="Q29" s="171">
        <v>160223</v>
      </c>
      <c r="R29" s="199">
        <f t="shared" si="37"/>
        <v>35777.299999999988</v>
      </c>
      <c r="S29" s="204"/>
      <c r="T29" s="202">
        <v>35777</v>
      </c>
      <c r="U29" s="180">
        <v>31129.3</v>
      </c>
      <c r="V29" s="179">
        <f>_xlfn.XLOOKUP(B29,'[4]Resumen EDP POM'!$B:$B,'[4]Resumen EDP POM'!$E:$E,"!",0,1)</f>
        <v>4648</v>
      </c>
      <c r="W29" s="181">
        <v>4648</v>
      </c>
      <c r="X29" s="179"/>
      <c r="Y29" s="180"/>
      <c r="Z29" s="179"/>
      <c r="AA29" s="180"/>
      <c r="AB29" s="179"/>
      <c r="AC29" s="180"/>
      <c r="AD29" s="179"/>
      <c r="AE29" s="180"/>
      <c r="AF29" s="179"/>
      <c r="AG29" s="180"/>
      <c r="AH29" s="179"/>
      <c r="AI29" s="180"/>
      <c r="AJ29" s="179"/>
      <c r="AK29" s="173"/>
      <c r="AL29" s="179"/>
      <c r="AM29" s="180"/>
      <c r="AN29" s="179"/>
      <c r="AO29" s="185"/>
      <c r="AP29" s="172"/>
      <c r="AQ29" s="180"/>
      <c r="AR29" s="190">
        <f t="shared" si="25"/>
        <v>40425</v>
      </c>
      <c r="AS29" s="215">
        <f t="shared" si="26"/>
        <v>35777.300000000003</v>
      </c>
      <c r="AT29" s="177"/>
      <c r="AU29" s="161">
        <v>0</v>
      </c>
      <c r="AV29" s="161">
        <v>0</v>
      </c>
      <c r="AW29" s="218"/>
      <c r="AX29" s="218">
        <v>0</v>
      </c>
      <c r="AY29" s="218">
        <v>0</v>
      </c>
      <c r="AZ29" s="218"/>
      <c r="BA29" s="161">
        <v>0</v>
      </c>
      <c r="BB29" s="161"/>
      <c r="BC29" s="161"/>
      <c r="BD29" s="161">
        <v>0</v>
      </c>
      <c r="BE29" s="161">
        <v>0</v>
      </c>
      <c r="BF29" s="161"/>
      <c r="BG29" s="161">
        <v>0</v>
      </c>
      <c r="BH29" s="161">
        <v>0</v>
      </c>
      <c r="BI29" s="161"/>
      <c r="BJ29" s="161">
        <v>0</v>
      </c>
      <c r="BK29" s="161"/>
      <c r="BL29" s="161"/>
      <c r="BM29" s="161"/>
      <c r="BN29" s="161"/>
      <c r="BO29" s="161"/>
      <c r="BP29" s="161"/>
      <c r="BQ29" s="161"/>
      <c r="BR29" s="161"/>
      <c r="BS29" s="161"/>
      <c r="BT29" s="161"/>
      <c r="BU29" s="161"/>
      <c r="BV29" s="161"/>
      <c r="BW29" s="161"/>
      <c r="BX29" s="161"/>
      <c r="BY29" s="161">
        <f t="shared" si="27"/>
        <v>0</v>
      </c>
      <c r="BZ29" s="161">
        <f t="shared" si="28"/>
        <v>0</v>
      </c>
      <c r="CA29" s="216">
        <f t="shared" si="29"/>
        <v>0</v>
      </c>
      <c r="CC29" s="178">
        <f t="shared" si="33"/>
        <v>0</v>
      </c>
      <c r="CD29" s="178">
        <f t="shared" si="30"/>
        <v>0</v>
      </c>
      <c r="CE29" s="178">
        <f t="shared" si="34"/>
        <v>0</v>
      </c>
      <c r="CF29" s="178">
        <f t="shared" si="35"/>
        <v>0</v>
      </c>
      <c r="CG29" s="178">
        <f t="shared" si="36"/>
        <v>0</v>
      </c>
    </row>
    <row r="30" spans="1:85" ht="14.25" customHeight="1" x14ac:dyDescent="0.2">
      <c r="A30" s="361" t="str">
        <f>+_xlfn.XLOOKUP(B30,'[1]Proyectos (NO FILTRAR)'!$F:$F,'[1]Proyectos (NO FILTRAR)'!$B:$B,0,0,1)</f>
        <v>CH-AMS-OT-OTR00-108-A</v>
      </c>
      <c r="B30" s="167" t="s">
        <v>251</v>
      </c>
      <c r="C30" s="155" t="str">
        <f>+_xlfn.XLOOKUP(A30,'[1]Proyectos (NO FILTRAR)'!$B:$B,'[1]Proyectos (NO FILTRAR)'!$G:$G,"error",0,1)</f>
        <v>Chile</v>
      </c>
      <c r="D30" s="155">
        <v>2024</v>
      </c>
      <c r="E30" s="155" t="s">
        <v>358</v>
      </c>
      <c r="F30" s="155" t="s">
        <v>32</v>
      </c>
      <c r="G30" s="207"/>
      <c r="H30" s="207" t="s">
        <v>44</v>
      </c>
      <c r="I30" s="285">
        <f>+_xlfn.XLOOKUP(B30,'[1]Proyectos (NO FILTRAR)'!$F:$F,'[1]Proyectos (NO FILTRAR)'!$O:$O,"!",0,1)</f>
        <v>191000</v>
      </c>
      <c r="J30" s="156">
        <f t="shared" si="31"/>
        <v>108170.98000000001</v>
      </c>
      <c r="K30" s="157">
        <f t="shared" si="22"/>
        <v>0.56634020942408381</v>
      </c>
      <c r="L30" s="158"/>
      <c r="M30" s="159">
        <f t="shared" si="23"/>
        <v>0</v>
      </c>
      <c r="N30" s="160">
        <f t="shared" si="32"/>
        <v>108170.98000000001</v>
      </c>
      <c r="O30" s="159">
        <f t="shared" si="24"/>
        <v>0.56634020942408381</v>
      </c>
      <c r="P30" s="160"/>
      <c r="Q30" s="171">
        <v>76524.88</v>
      </c>
      <c r="R30" s="199">
        <f t="shared" si="37"/>
        <v>114475.12</v>
      </c>
      <c r="S30" s="204"/>
      <c r="T30" s="202">
        <v>7200</v>
      </c>
      <c r="U30" s="180">
        <v>7816.24</v>
      </c>
      <c r="V30" s="179">
        <f>_xlfn.XLOOKUP(B30,'[4]Resumen EDP POM'!$B:$B,'[4]Resumen EDP POM'!$E:$E,"!",0,1)</f>
        <v>5241.6000000000004</v>
      </c>
      <c r="W30" s="181">
        <v>10738.86</v>
      </c>
      <c r="X30" s="179">
        <v>3403.0210526315791</v>
      </c>
      <c r="Y30" s="180">
        <v>8828</v>
      </c>
      <c r="Z30" s="179"/>
      <c r="AA30" s="180">
        <v>4263</v>
      </c>
      <c r="AB30" s="179"/>
      <c r="AC30" s="180"/>
      <c r="AD30" s="179"/>
      <c r="AE30" s="180"/>
      <c r="AF30" s="179"/>
      <c r="AG30" s="180"/>
      <c r="AH30" s="179"/>
      <c r="AI30" s="180"/>
      <c r="AJ30" s="179"/>
      <c r="AK30" s="173"/>
      <c r="AL30" s="179"/>
      <c r="AM30" s="180"/>
      <c r="AN30" s="179"/>
      <c r="AO30" s="185"/>
      <c r="AP30" s="172"/>
      <c r="AQ30" s="180"/>
      <c r="AR30" s="190">
        <f t="shared" si="25"/>
        <v>15844.621052631579</v>
      </c>
      <c r="AS30" s="215">
        <f t="shared" si="26"/>
        <v>31646.1</v>
      </c>
      <c r="AT30" s="177"/>
      <c r="AU30" s="161">
        <v>0</v>
      </c>
      <c r="AV30" s="161">
        <v>0</v>
      </c>
      <c r="AW30" s="218"/>
      <c r="AX30" s="218">
        <v>0</v>
      </c>
      <c r="AY30" s="218">
        <v>0</v>
      </c>
      <c r="AZ30" s="218"/>
      <c r="BA30" s="161">
        <v>0</v>
      </c>
      <c r="BB30" s="161"/>
      <c r="BC30" s="161"/>
      <c r="BD30" s="161">
        <v>0</v>
      </c>
      <c r="BE30" s="161">
        <v>0</v>
      </c>
      <c r="BF30" s="161"/>
      <c r="BG30" s="161">
        <v>0</v>
      </c>
      <c r="BH30" s="161">
        <v>0</v>
      </c>
      <c r="BI30" s="161"/>
      <c r="BJ30" s="161">
        <v>0</v>
      </c>
      <c r="BK30" s="161"/>
      <c r="BL30" s="161"/>
      <c r="BM30" s="161"/>
      <c r="BN30" s="161"/>
      <c r="BO30" s="161"/>
      <c r="BP30" s="161"/>
      <c r="BQ30" s="161"/>
      <c r="BR30" s="161"/>
      <c r="BS30" s="161"/>
      <c r="BT30" s="161"/>
      <c r="BU30" s="161"/>
      <c r="BV30" s="161"/>
      <c r="BW30" s="161"/>
      <c r="BX30" s="161"/>
      <c r="BY30" s="161">
        <f t="shared" si="27"/>
        <v>0</v>
      </c>
      <c r="BZ30" s="161">
        <f t="shared" si="28"/>
        <v>0</v>
      </c>
      <c r="CA30" s="216">
        <f t="shared" si="29"/>
        <v>0</v>
      </c>
      <c r="CC30" s="178">
        <f t="shared" si="33"/>
        <v>0</v>
      </c>
      <c r="CD30" s="178">
        <f t="shared" si="30"/>
        <v>0</v>
      </c>
      <c r="CE30" s="178">
        <f t="shared" si="34"/>
        <v>0</v>
      </c>
      <c r="CF30" s="178">
        <f t="shared" si="35"/>
        <v>0</v>
      </c>
      <c r="CG30" s="178">
        <f t="shared" si="36"/>
        <v>0</v>
      </c>
    </row>
    <row r="31" spans="1:85" ht="14.25" customHeight="1" x14ac:dyDescent="0.2">
      <c r="A31" s="361" t="str">
        <f>+_xlfn.XLOOKUP(B31,'[1]Proyectos (NO FILTRAR)'!$F:$F,'[1]Proyectos (NO FILTRAR)'!$B:$B,0,0,1)</f>
        <v>PE-OCP-CS-OTR00-138-A</v>
      </c>
      <c r="B31" s="167" t="s">
        <v>303</v>
      </c>
      <c r="C31" s="155" t="str">
        <f>+_xlfn.XLOOKUP(A31,'[1]Proyectos (NO FILTRAR)'!$B:$B,'[1]Proyectos (NO FILTRAR)'!$G:$G,"error",0,1)</f>
        <v>Perú</v>
      </c>
      <c r="D31" s="155">
        <v>2025</v>
      </c>
      <c r="E31" s="155" t="s">
        <v>358</v>
      </c>
      <c r="F31" s="155" t="s">
        <v>28</v>
      </c>
      <c r="G31" s="207"/>
      <c r="H31" s="207"/>
      <c r="I31" s="285">
        <f>+_xlfn.XLOOKUP(B31,'[1]Proyectos (NO FILTRAR)'!$F:$F,'[1]Proyectos (NO FILTRAR)'!$O:$O,"!",0,1)</f>
        <v>184000</v>
      </c>
      <c r="J31" s="156">
        <f t="shared" si="31"/>
        <v>119500</v>
      </c>
      <c r="K31" s="157">
        <f t="shared" si="22"/>
        <v>0.64945652173913049</v>
      </c>
      <c r="L31" s="158"/>
      <c r="M31" s="159">
        <f t="shared" si="23"/>
        <v>0</v>
      </c>
      <c r="N31" s="160">
        <f t="shared" si="32"/>
        <v>119500</v>
      </c>
      <c r="O31" s="159">
        <f t="shared" si="24"/>
        <v>0.64945652173913049</v>
      </c>
      <c r="P31" s="160"/>
      <c r="Q31" s="171"/>
      <c r="R31" s="199"/>
      <c r="S31" s="204"/>
      <c r="T31" s="202"/>
      <c r="U31" s="180"/>
      <c r="V31" s="179"/>
      <c r="W31" s="180"/>
      <c r="X31" s="179">
        <v>65000</v>
      </c>
      <c r="Y31" s="180">
        <v>59500</v>
      </c>
      <c r="Z31" s="179">
        <v>60000</v>
      </c>
      <c r="AA31" s="180">
        <v>60000</v>
      </c>
      <c r="AB31" s="179"/>
      <c r="AC31" s="180"/>
      <c r="AD31" s="179"/>
      <c r="AE31" s="180"/>
      <c r="AF31" s="179"/>
      <c r="AG31" s="180"/>
      <c r="AH31" s="179"/>
      <c r="AI31" s="180"/>
      <c r="AJ31" s="179"/>
      <c r="AK31" s="173"/>
      <c r="AL31" s="179"/>
      <c r="AM31" s="180"/>
      <c r="AN31" s="179"/>
      <c r="AO31" s="185"/>
      <c r="AP31" s="172"/>
      <c r="AQ31" s="180"/>
      <c r="AR31" s="190">
        <f t="shared" si="25"/>
        <v>125000</v>
      </c>
      <c r="AS31" s="215">
        <f t="shared" si="26"/>
        <v>119500</v>
      </c>
      <c r="AT31" s="177"/>
      <c r="AU31" s="161">
        <v>0</v>
      </c>
      <c r="AV31" s="161">
        <v>0</v>
      </c>
      <c r="AW31" s="218"/>
      <c r="AX31" s="218">
        <v>0</v>
      </c>
      <c r="AY31" s="218">
        <v>0</v>
      </c>
      <c r="AZ31" s="218"/>
      <c r="BA31" s="161">
        <v>0</v>
      </c>
      <c r="BB31" s="161"/>
      <c r="BC31" s="161"/>
      <c r="BD31" s="161">
        <v>0</v>
      </c>
      <c r="BE31" s="161">
        <v>0</v>
      </c>
      <c r="BF31" s="161"/>
      <c r="BG31" s="161">
        <v>0</v>
      </c>
      <c r="BH31" s="161">
        <v>0</v>
      </c>
      <c r="BI31" s="161"/>
      <c r="BJ31" s="161">
        <v>0</v>
      </c>
      <c r="BK31" s="161"/>
      <c r="BL31" s="161"/>
      <c r="BM31" s="161"/>
      <c r="BN31" s="161"/>
      <c r="BO31" s="161"/>
      <c r="BP31" s="161"/>
      <c r="BQ31" s="161"/>
      <c r="BR31" s="161"/>
      <c r="BS31" s="161"/>
      <c r="BT31" s="161"/>
      <c r="BU31" s="161"/>
      <c r="BV31" s="161"/>
      <c r="BW31" s="161"/>
      <c r="BX31" s="161"/>
      <c r="BY31" s="161">
        <f t="shared" si="27"/>
        <v>0</v>
      </c>
      <c r="BZ31" s="161">
        <f t="shared" si="28"/>
        <v>0</v>
      </c>
      <c r="CA31" s="216">
        <f t="shared" si="29"/>
        <v>0</v>
      </c>
      <c r="CC31" s="178">
        <f t="shared" si="33"/>
        <v>0</v>
      </c>
      <c r="CD31" s="178">
        <f t="shared" si="30"/>
        <v>0</v>
      </c>
      <c r="CE31" s="178">
        <f t="shared" si="34"/>
        <v>0</v>
      </c>
      <c r="CF31" s="178">
        <f t="shared" si="35"/>
        <v>0</v>
      </c>
      <c r="CG31" s="178">
        <f t="shared" si="36"/>
        <v>0</v>
      </c>
    </row>
    <row r="32" spans="1:85" ht="14.25" customHeight="1" x14ac:dyDescent="0.2">
      <c r="A32" s="361" t="str">
        <f>+_xlfn.XLOOKUP(B32,'[1]Proyectos (NO FILTRAR)'!$F:$F,'[1]Proyectos (NO FILTRAR)'!$B:$B,0,0,1)</f>
        <v>CH-AAM-OT-FEL03-139-A</v>
      </c>
      <c r="B32" s="167" t="s">
        <v>301</v>
      </c>
      <c r="C32" s="155" t="str">
        <f>+_xlfn.XLOOKUP(A32,'[1]Proyectos (NO FILTRAR)'!$B:$B,'[1]Proyectos (NO FILTRAR)'!$G:$G,"error",0,1)</f>
        <v>Chile</v>
      </c>
      <c r="D32" s="155">
        <v>2025</v>
      </c>
      <c r="E32" s="155" t="s">
        <v>358</v>
      </c>
      <c r="F32" s="155" t="s">
        <v>30</v>
      </c>
      <c r="G32" s="207"/>
      <c r="H32" s="207" t="s">
        <v>109</v>
      </c>
      <c r="I32" s="285">
        <f>+_xlfn.XLOOKUP(B32,'[1]Proyectos (NO FILTRAR)'!$F:$F,'[1]Proyectos (NO FILTRAR)'!$O:$O,"!",0,1)</f>
        <v>183430</v>
      </c>
      <c r="J32" s="156">
        <f t="shared" si="31"/>
        <v>193384.12</v>
      </c>
      <c r="K32" s="157">
        <f t="shared" si="22"/>
        <v>1.0542665867088263</v>
      </c>
      <c r="L32" s="158"/>
      <c r="M32" s="159">
        <f t="shared" si="23"/>
        <v>0</v>
      </c>
      <c r="N32" s="160">
        <f t="shared" si="32"/>
        <v>193384.12</v>
      </c>
      <c r="O32" s="159">
        <f t="shared" si="24"/>
        <v>1.0542665867088263</v>
      </c>
      <c r="P32" s="160"/>
      <c r="Q32" s="171"/>
      <c r="R32" s="199"/>
      <c r="S32" s="204"/>
      <c r="T32" s="202"/>
      <c r="U32" s="180"/>
      <c r="V32" s="179">
        <v>35000</v>
      </c>
      <c r="W32" s="181">
        <v>5211</v>
      </c>
      <c r="X32" s="179">
        <v>15000</v>
      </c>
      <c r="Y32" s="180">
        <v>10435</v>
      </c>
      <c r="Z32" s="179">
        <v>80000</v>
      </c>
      <c r="AA32" s="180">
        <v>38772.33</v>
      </c>
      <c r="AB32" s="179">
        <v>113000</v>
      </c>
      <c r="AC32" s="180">
        <v>66962.789999999994</v>
      </c>
      <c r="AD32" s="179">
        <v>40000</v>
      </c>
      <c r="AE32" s="180">
        <v>17604</v>
      </c>
      <c r="AF32" s="179">
        <v>10000</v>
      </c>
      <c r="AG32" s="184">
        <v>18605</v>
      </c>
      <c r="AH32" s="179"/>
      <c r="AI32" s="182">
        <v>3431</v>
      </c>
      <c r="AJ32" s="179">
        <v>22408.880000000005</v>
      </c>
      <c r="AK32" s="176">
        <v>22409</v>
      </c>
      <c r="AL32" s="179"/>
      <c r="AM32" s="180">
        <v>9954</v>
      </c>
      <c r="AN32" s="179"/>
      <c r="AO32" s="185"/>
      <c r="AP32" s="172"/>
      <c r="AQ32" s="180"/>
      <c r="AR32" s="190">
        <f t="shared" si="25"/>
        <v>315408.88</v>
      </c>
      <c r="AS32" s="215">
        <f t="shared" si="26"/>
        <v>193384.12</v>
      </c>
      <c r="AT32" s="177"/>
      <c r="AU32" s="161">
        <v>0</v>
      </c>
      <c r="AV32" s="161">
        <v>0</v>
      </c>
      <c r="AW32" s="218"/>
      <c r="AX32" s="218">
        <v>0</v>
      </c>
      <c r="AY32" s="218">
        <v>0</v>
      </c>
      <c r="AZ32" s="218"/>
      <c r="BA32" s="161">
        <v>0</v>
      </c>
      <c r="BB32" s="161"/>
      <c r="BC32" s="161"/>
      <c r="BD32" s="161">
        <v>0</v>
      </c>
      <c r="BE32" s="161">
        <v>0</v>
      </c>
      <c r="BF32" s="161"/>
      <c r="BG32" s="161">
        <v>0</v>
      </c>
      <c r="BH32" s="161">
        <v>0</v>
      </c>
      <c r="BI32" s="161"/>
      <c r="BJ32" s="161">
        <v>0</v>
      </c>
      <c r="BK32" s="161"/>
      <c r="BL32" s="161"/>
      <c r="BM32" s="161"/>
      <c r="BN32" s="161"/>
      <c r="BO32" s="161"/>
      <c r="BP32" s="161"/>
      <c r="BQ32" s="161"/>
      <c r="BR32" s="161"/>
      <c r="BS32" s="161"/>
      <c r="BT32" s="161"/>
      <c r="BU32" s="161"/>
      <c r="BV32" s="161"/>
      <c r="BW32" s="161"/>
      <c r="BX32" s="161"/>
      <c r="BY32" s="161">
        <f t="shared" si="27"/>
        <v>0</v>
      </c>
      <c r="BZ32" s="161">
        <f t="shared" si="28"/>
        <v>0</v>
      </c>
      <c r="CA32" s="216">
        <f t="shared" si="29"/>
        <v>0</v>
      </c>
      <c r="CC32" s="178">
        <f t="shared" si="33"/>
        <v>0</v>
      </c>
      <c r="CD32" s="178">
        <f t="shared" si="30"/>
        <v>0</v>
      </c>
      <c r="CE32" s="178">
        <f t="shared" si="34"/>
        <v>0</v>
      </c>
      <c r="CF32" s="178">
        <f t="shared" si="35"/>
        <v>0</v>
      </c>
      <c r="CG32" s="178">
        <f t="shared" si="36"/>
        <v>0</v>
      </c>
    </row>
    <row r="33" spans="1:85" ht="14.25" customHeight="1" x14ac:dyDescent="0.2">
      <c r="A33" s="361" t="str">
        <f>+_xlfn.XLOOKUP(B33,'[1]Proyectos (NO FILTRAR)'!$F:$F,'[1]Proyectos (NO FILTRAR)'!$B:$B,0,0,1)</f>
        <v>BR-TAB-OP-FEL00-158-A</v>
      </c>
      <c r="B33" s="167" t="s">
        <v>325</v>
      </c>
      <c r="C33" s="155" t="str">
        <f>+_xlfn.XLOOKUP(A33,'[1]Proyectos (NO FILTRAR)'!$B:$B,'[1]Proyectos (NO FILTRAR)'!$G:$G,"error",0,1)</f>
        <v>Brasil</v>
      </c>
      <c r="D33" s="155">
        <v>2025</v>
      </c>
      <c r="E33" s="155" t="s">
        <v>358</v>
      </c>
      <c r="F33" s="155" t="s">
        <v>28</v>
      </c>
      <c r="G33" s="207"/>
      <c r="H33" s="207"/>
      <c r="I33" s="285">
        <f>+_xlfn.XLOOKUP(B33,'[1]Proyectos (NO FILTRAR)'!$F:$F,'[1]Proyectos (NO FILTRAR)'!$O:$O,"!",0,1)</f>
        <v>180000</v>
      </c>
      <c r="J33" s="156">
        <f t="shared" si="31"/>
        <v>180000</v>
      </c>
      <c r="K33" s="157">
        <f t="shared" si="22"/>
        <v>1</v>
      </c>
      <c r="L33" s="158"/>
      <c r="M33" s="159">
        <f t="shared" si="23"/>
        <v>0</v>
      </c>
      <c r="N33" s="160">
        <f t="shared" si="32"/>
        <v>180000</v>
      </c>
      <c r="O33" s="159">
        <f t="shared" si="24"/>
        <v>1</v>
      </c>
      <c r="P33" s="160"/>
      <c r="Q33" s="171"/>
      <c r="R33" s="199"/>
      <c r="S33" s="204"/>
      <c r="T33" s="202"/>
      <c r="U33" s="180"/>
      <c r="V33" s="179"/>
      <c r="W33" s="180"/>
      <c r="X33" s="179"/>
      <c r="Y33" s="180"/>
      <c r="Z33" s="179"/>
      <c r="AA33" s="180"/>
      <c r="AB33" s="179"/>
      <c r="AC33" s="180"/>
      <c r="AD33" s="179"/>
      <c r="AE33" s="180"/>
      <c r="AF33" s="179">
        <v>20000</v>
      </c>
      <c r="AG33" s="184">
        <v>40750</v>
      </c>
      <c r="AH33" s="179">
        <v>95000</v>
      </c>
      <c r="AI33" s="182">
        <v>107370</v>
      </c>
      <c r="AJ33" s="179">
        <v>31880</v>
      </c>
      <c r="AK33" s="176">
        <v>31880</v>
      </c>
      <c r="AL33" s="179"/>
      <c r="AM33" s="180"/>
      <c r="AN33" s="179"/>
      <c r="AO33" s="185"/>
      <c r="AP33" s="172"/>
      <c r="AQ33" s="180"/>
      <c r="AR33" s="190">
        <f t="shared" si="25"/>
        <v>146880</v>
      </c>
      <c r="AS33" s="215">
        <f t="shared" si="26"/>
        <v>180000</v>
      </c>
      <c r="AT33" s="177"/>
      <c r="AU33" s="161">
        <v>0</v>
      </c>
      <c r="AV33" s="161">
        <v>0</v>
      </c>
      <c r="AW33" s="218"/>
      <c r="AX33" s="218">
        <v>0</v>
      </c>
      <c r="AY33" s="218">
        <v>0</v>
      </c>
      <c r="AZ33" s="218"/>
      <c r="BA33" s="161">
        <v>0</v>
      </c>
      <c r="BB33" s="161"/>
      <c r="BC33" s="161"/>
      <c r="BD33" s="161">
        <v>0</v>
      </c>
      <c r="BE33" s="161">
        <v>0</v>
      </c>
      <c r="BF33" s="161"/>
      <c r="BG33" s="161">
        <v>0</v>
      </c>
      <c r="BH33" s="161">
        <v>0</v>
      </c>
      <c r="BI33" s="161"/>
      <c r="BJ33" s="161">
        <v>0</v>
      </c>
      <c r="BK33" s="161"/>
      <c r="BL33" s="161"/>
      <c r="BM33" s="161"/>
      <c r="BN33" s="161"/>
      <c r="BO33" s="161"/>
      <c r="BP33" s="161"/>
      <c r="BQ33" s="161"/>
      <c r="BR33" s="161"/>
      <c r="BS33" s="161"/>
      <c r="BT33" s="161"/>
      <c r="BU33" s="161"/>
      <c r="BV33" s="161"/>
      <c r="BW33" s="161"/>
      <c r="BX33" s="161"/>
      <c r="BY33" s="161">
        <f t="shared" si="27"/>
        <v>0</v>
      </c>
      <c r="BZ33" s="161">
        <f t="shared" si="28"/>
        <v>0</v>
      </c>
      <c r="CA33" s="216">
        <f t="shared" si="29"/>
        <v>0</v>
      </c>
      <c r="CC33" s="178">
        <f t="shared" si="33"/>
        <v>0</v>
      </c>
      <c r="CD33" s="178">
        <f t="shared" si="30"/>
        <v>0</v>
      </c>
      <c r="CE33" s="178">
        <f t="shared" si="34"/>
        <v>0</v>
      </c>
      <c r="CF33" s="178">
        <f t="shared" si="35"/>
        <v>0</v>
      </c>
      <c r="CG33" s="178">
        <f t="shared" si="36"/>
        <v>0</v>
      </c>
    </row>
    <row r="34" spans="1:85" ht="14.25" customHeight="1" x14ac:dyDescent="0.2">
      <c r="A34" s="361" t="str">
        <f>+_xlfn.XLOOKUP(B34,'[1]Proyectos (NO FILTRAR)'!$F:$F,'[1]Proyectos (NO FILTRAR)'!$B:$B,0,0,1)</f>
        <v>PE-MAR-OU-FEL01-114-A</v>
      </c>
      <c r="B34" s="167" t="s">
        <v>257</v>
      </c>
      <c r="C34" s="155" t="str">
        <f>+_xlfn.XLOOKUP(A34,'[1]Proyectos (NO FILTRAR)'!$B:$B,'[1]Proyectos (NO FILTRAR)'!$G:$G,"error",0,1)</f>
        <v>Perú</v>
      </c>
      <c r="D34" s="155">
        <v>2024</v>
      </c>
      <c r="E34" s="155" t="s">
        <v>358</v>
      </c>
      <c r="F34" s="155" t="s">
        <v>28</v>
      </c>
      <c r="G34" s="207"/>
      <c r="H34" s="207" t="s">
        <v>259</v>
      </c>
      <c r="I34" s="285">
        <f>+_xlfn.XLOOKUP(B34,'[1]Proyectos (NO FILTRAR)'!$F:$F,'[1]Proyectos (NO FILTRAR)'!$O:$O,"!",0,1)</f>
        <v>161778</v>
      </c>
      <c r="J34" s="156">
        <f t="shared" si="31"/>
        <v>161778</v>
      </c>
      <c r="K34" s="157">
        <f t="shared" si="22"/>
        <v>1</v>
      </c>
      <c r="L34" s="158"/>
      <c r="M34" s="159">
        <f t="shared" si="23"/>
        <v>0</v>
      </c>
      <c r="N34" s="160">
        <f t="shared" si="32"/>
        <v>161778</v>
      </c>
      <c r="O34" s="159">
        <f t="shared" si="24"/>
        <v>1</v>
      </c>
      <c r="P34" s="186"/>
      <c r="Q34" s="171">
        <v>73833</v>
      </c>
      <c r="R34" s="199">
        <f>+I34-Q34</f>
        <v>87945</v>
      </c>
      <c r="S34" s="204"/>
      <c r="T34" s="202">
        <v>38240</v>
      </c>
      <c r="U34" s="180">
        <v>57745</v>
      </c>
      <c r="V34" s="179">
        <f>_xlfn.XLOOKUP(B34,'[4]Resumen EDP POM'!$B:$B,'[4]Resumen EDP POM'!$E:$E,"!",0,1)</f>
        <v>24960</v>
      </c>
      <c r="W34" s="181">
        <v>24935</v>
      </c>
      <c r="X34" s="179"/>
      <c r="Y34" s="180"/>
      <c r="Z34" s="179"/>
      <c r="AA34" s="180"/>
      <c r="AB34" s="179"/>
      <c r="AC34" s="181">
        <v>5265</v>
      </c>
      <c r="AD34" s="179"/>
      <c r="AE34" s="180"/>
      <c r="AF34" s="179"/>
      <c r="AG34" s="180"/>
      <c r="AH34" s="179"/>
      <c r="AI34" s="180"/>
      <c r="AJ34" s="179"/>
      <c r="AK34" s="173"/>
      <c r="AL34" s="179"/>
      <c r="AM34" s="180"/>
      <c r="AN34" s="179"/>
      <c r="AO34" s="185"/>
      <c r="AP34" s="172"/>
      <c r="AQ34" s="180"/>
      <c r="AR34" s="190">
        <f t="shared" si="25"/>
        <v>63200</v>
      </c>
      <c r="AS34" s="215">
        <f t="shared" si="26"/>
        <v>87945</v>
      </c>
      <c r="AT34" s="177"/>
      <c r="AU34" s="161">
        <v>0</v>
      </c>
      <c r="AV34" s="161">
        <v>0</v>
      </c>
      <c r="AW34" s="218"/>
      <c r="AX34" s="218">
        <v>0</v>
      </c>
      <c r="AY34" s="218">
        <v>0</v>
      </c>
      <c r="AZ34" s="218"/>
      <c r="BA34" s="161">
        <v>0</v>
      </c>
      <c r="BB34" s="161"/>
      <c r="BC34" s="161"/>
      <c r="BD34" s="161">
        <v>0</v>
      </c>
      <c r="BE34" s="161">
        <v>0</v>
      </c>
      <c r="BF34" s="161"/>
      <c r="BG34" s="161">
        <v>0</v>
      </c>
      <c r="BH34" s="161">
        <v>0</v>
      </c>
      <c r="BI34" s="161"/>
      <c r="BJ34" s="161">
        <v>0</v>
      </c>
      <c r="BK34" s="161"/>
      <c r="BL34" s="161"/>
      <c r="BM34" s="161"/>
      <c r="BN34" s="161"/>
      <c r="BO34" s="161"/>
      <c r="BP34" s="161"/>
      <c r="BQ34" s="161"/>
      <c r="BR34" s="161"/>
      <c r="BS34" s="161"/>
      <c r="BT34" s="161"/>
      <c r="BU34" s="161"/>
      <c r="BV34" s="161"/>
      <c r="BW34" s="161"/>
      <c r="BX34" s="161"/>
      <c r="BY34" s="161">
        <f t="shared" si="27"/>
        <v>0</v>
      </c>
      <c r="BZ34" s="161">
        <f t="shared" si="28"/>
        <v>0</v>
      </c>
      <c r="CA34" s="216">
        <f t="shared" si="29"/>
        <v>0</v>
      </c>
      <c r="CC34" s="178">
        <f t="shared" si="33"/>
        <v>0</v>
      </c>
      <c r="CD34" s="178">
        <f t="shared" si="30"/>
        <v>0</v>
      </c>
      <c r="CE34" s="178">
        <f t="shared" si="34"/>
        <v>0</v>
      </c>
      <c r="CF34" s="178">
        <f t="shared" si="35"/>
        <v>0</v>
      </c>
      <c r="CG34" s="178">
        <f t="shared" si="36"/>
        <v>0</v>
      </c>
    </row>
    <row r="35" spans="1:85" ht="14.25" customHeight="1" x14ac:dyDescent="0.2">
      <c r="A35" s="361" t="str">
        <f>+_xlfn.XLOOKUP(B35,'[1]Proyectos (NO FILTRAR)'!$F:$F,'[1]Proyectos (NO FILTRAR)'!$B:$B,0,0,1)</f>
        <v>CH-CCO-CS-OTR00-159-A</v>
      </c>
      <c r="B35" s="167" t="s">
        <v>326</v>
      </c>
      <c r="C35" s="155" t="str">
        <f>+_xlfn.XLOOKUP(A35,'[1]Proyectos (NO FILTRAR)'!$B:$B,'[1]Proyectos (NO FILTRAR)'!$G:$G,"error",0,1)</f>
        <v>Chile</v>
      </c>
      <c r="D35" s="155">
        <v>2025</v>
      </c>
      <c r="E35" s="155" t="s">
        <v>358</v>
      </c>
      <c r="F35" s="155" t="s">
        <v>254</v>
      </c>
      <c r="G35" s="207"/>
      <c r="H35" s="207"/>
      <c r="I35" s="285">
        <f>+_xlfn.XLOOKUP(B35,'[1]Proyectos (NO FILTRAR)'!$F:$F,'[1]Proyectos (NO FILTRAR)'!$O:$O,"!",0,1)</f>
        <v>148281</v>
      </c>
      <c r="J35" s="156">
        <f t="shared" si="31"/>
        <v>148281</v>
      </c>
      <c r="K35" s="157">
        <f t="shared" si="22"/>
        <v>1</v>
      </c>
      <c r="L35" s="158"/>
      <c r="M35" s="159">
        <f t="shared" si="23"/>
        <v>0</v>
      </c>
      <c r="N35" s="160">
        <f t="shared" si="32"/>
        <v>148281</v>
      </c>
      <c r="O35" s="159">
        <f t="shared" si="24"/>
        <v>1</v>
      </c>
      <c r="P35" s="160"/>
      <c r="Q35" s="171"/>
      <c r="R35" s="199"/>
      <c r="S35" s="204"/>
      <c r="T35" s="202"/>
      <c r="U35" s="180"/>
      <c r="V35" s="179"/>
      <c r="W35" s="180"/>
      <c r="X35" s="179"/>
      <c r="Y35" s="180"/>
      <c r="Z35" s="179"/>
      <c r="AA35" s="180"/>
      <c r="AB35" s="179"/>
      <c r="AC35" s="180"/>
      <c r="AD35" s="179"/>
      <c r="AE35" s="180"/>
      <c r="AF35" s="179">
        <v>20000</v>
      </c>
      <c r="AG35" s="180"/>
      <c r="AH35" s="179">
        <v>60000</v>
      </c>
      <c r="AI35" s="182">
        <v>39515</v>
      </c>
      <c r="AJ35" s="179">
        <v>50000</v>
      </c>
      <c r="AK35" s="176">
        <v>48782</v>
      </c>
      <c r="AL35" s="179">
        <v>40000</v>
      </c>
      <c r="AM35" s="182">
        <v>59984</v>
      </c>
      <c r="AN35" s="179"/>
      <c r="AO35" s="185"/>
      <c r="AP35" s="172"/>
      <c r="AQ35" s="180"/>
      <c r="AR35" s="190">
        <f t="shared" si="25"/>
        <v>170000</v>
      </c>
      <c r="AS35" s="215">
        <f t="shared" si="26"/>
        <v>148281</v>
      </c>
      <c r="AT35" s="177"/>
      <c r="AU35" s="161">
        <v>0</v>
      </c>
      <c r="AV35" s="161">
        <v>0</v>
      </c>
      <c r="AW35" s="218"/>
      <c r="AX35" s="218">
        <v>0</v>
      </c>
      <c r="AY35" s="218">
        <v>0</v>
      </c>
      <c r="AZ35" s="218"/>
      <c r="BA35" s="161">
        <v>0</v>
      </c>
      <c r="BB35" s="161"/>
      <c r="BC35" s="161"/>
      <c r="BD35" s="161">
        <v>0</v>
      </c>
      <c r="BE35" s="161">
        <v>0</v>
      </c>
      <c r="BF35" s="161"/>
      <c r="BG35" s="161">
        <v>0</v>
      </c>
      <c r="BH35" s="161">
        <v>0</v>
      </c>
      <c r="BI35" s="161"/>
      <c r="BJ35" s="161">
        <v>0</v>
      </c>
      <c r="BK35" s="161"/>
      <c r="BL35" s="161"/>
      <c r="BM35" s="161"/>
      <c r="BN35" s="161"/>
      <c r="BO35" s="161"/>
      <c r="BP35" s="161"/>
      <c r="BQ35" s="161"/>
      <c r="BR35" s="161"/>
      <c r="BS35" s="161"/>
      <c r="BT35" s="161"/>
      <c r="BU35" s="161"/>
      <c r="BV35" s="161"/>
      <c r="BW35" s="161"/>
      <c r="BX35" s="161"/>
      <c r="BY35" s="161">
        <f t="shared" si="27"/>
        <v>0</v>
      </c>
      <c r="BZ35" s="161">
        <f t="shared" si="28"/>
        <v>0</v>
      </c>
      <c r="CA35" s="216">
        <f t="shared" si="29"/>
        <v>0</v>
      </c>
      <c r="CC35" s="178">
        <f t="shared" si="33"/>
        <v>0</v>
      </c>
      <c r="CD35" s="178">
        <f t="shared" si="30"/>
        <v>0</v>
      </c>
      <c r="CE35" s="178">
        <f t="shared" si="34"/>
        <v>0</v>
      </c>
      <c r="CF35" s="178">
        <f t="shared" si="35"/>
        <v>0</v>
      </c>
      <c r="CG35" s="178">
        <f t="shared" si="36"/>
        <v>0</v>
      </c>
    </row>
    <row r="36" spans="1:85" ht="14.25" customHeight="1" x14ac:dyDescent="0.2">
      <c r="A36" s="361" t="str">
        <f>+_xlfn.XLOOKUP(B36,'[1]Proyectos (NO FILTRAR)'!$F:$F,'[1]Proyectos (NO FILTRAR)'!$B:$B,0,0,1)</f>
        <v>BR-MOS-OU-FEL03-147-A</v>
      </c>
      <c r="B36" s="167" t="s">
        <v>314</v>
      </c>
      <c r="C36" s="155" t="str">
        <f>+_xlfn.XLOOKUP(A36,'[1]Proyectos (NO FILTRAR)'!$B:$B,'[1]Proyectos (NO FILTRAR)'!$G:$G,"error",0,1)</f>
        <v>Brasil</v>
      </c>
      <c r="D36" s="155">
        <v>2025</v>
      </c>
      <c r="E36" s="155" t="s">
        <v>358</v>
      </c>
      <c r="F36" s="155" t="s">
        <v>33</v>
      </c>
      <c r="G36" s="207"/>
      <c r="H36" s="207"/>
      <c r="I36" s="285">
        <f>+_xlfn.XLOOKUP(B36,'[1]Proyectos (NO FILTRAR)'!$F:$F,'[1]Proyectos (NO FILTRAR)'!$O:$O,"!",0,1)</f>
        <v>147935</v>
      </c>
      <c r="J36" s="156">
        <f t="shared" si="31"/>
        <v>147935</v>
      </c>
      <c r="K36" s="157">
        <f t="shared" si="22"/>
        <v>1</v>
      </c>
      <c r="L36" s="158"/>
      <c r="M36" s="159">
        <f t="shared" si="23"/>
        <v>0</v>
      </c>
      <c r="N36" s="160">
        <f t="shared" si="32"/>
        <v>147935</v>
      </c>
      <c r="O36" s="159">
        <f t="shared" si="24"/>
        <v>1</v>
      </c>
      <c r="P36" s="160"/>
      <c r="Q36" s="171"/>
      <c r="R36" s="199"/>
      <c r="S36" s="204"/>
      <c r="T36" s="202"/>
      <c r="U36" s="180"/>
      <c r="V36" s="179"/>
      <c r="W36" s="180"/>
      <c r="X36" s="179"/>
      <c r="Y36" s="180"/>
      <c r="Z36" s="179"/>
      <c r="AA36" s="180">
        <v>32268</v>
      </c>
      <c r="AB36" s="179">
        <v>43482</v>
      </c>
      <c r="AC36" s="180">
        <v>39074</v>
      </c>
      <c r="AD36" s="179">
        <v>24700</v>
      </c>
      <c r="AE36" s="180">
        <v>38732</v>
      </c>
      <c r="AF36" s="179">
        <v>27926</v>
      </c>
      <c r="AG36" s="184">
        <v>22700</v>
      </c>
      <c r="AH36" s="179">
        <v>14312</v>
      </c>
      <c r="AI36" s="182">
        <v>15161</v>
      </c>
      <c r="AJ36" s="179"/>
      <c r="AK36" s="173"/>
      <c r="AL36" s="179"/>
      <c r="AM36" s="180"/>
      <c r="AN36" s="179"/>
      <c r="AO36" s="185"/>
      <c r="AP36" s="172"/>
      <c r="AQ36" s="180"/>
      <c r="AR36" s="190">
        <f t="shared" si="25"/>
        <v>110420</v>
      </c>
      <c r="AS36" s="215">
        <f t="shared" si="26"/>
        <v>147935</v>
      </c>
      <c r="AT36" s="177"/>
      <c r="AU36" s="161">
        <v>0</v>
      </c>
      <c r="AV36" s="161">
        <v>0</v>
      </c>
      <c r="AW36" s="218"/>
      <c r="AX36" s="218">
        <v>0</v>
      </c>
      <c r="AY36" s="218">
        <v>0</v>
      </c>
      <c r="AZ36" s="218"/>
      <c r="BA36" s="161">
        <v>0</v>
      </c>
      <c r="BB36" s="161"/>
      <c r="BC36" s="161"/>
      <c r="BD36" s="161">
        <v>0</v>
      </c>
      <c r="BE36" s="161">
        <v>0</v>
      </c>
      <c r="BF36" s="161"/>
      <c r="BG36" s="161">
        <v>0</v>
      </c>
      <c r="BH36" s="161">
        <v>0</v>
      </c>
      <c r="BI36" s="161"/>
      <c r="BJ36" s="161">
        <v>0</v>
      </c>
      <c r="BK36" s="161"/>
      <c r="BL36" s="161"/>
      <c r="BM36" s="161"/>
      <c r="BN36" s="161"/>
      <c r="BO36" s="161"/>
      <c r="BP36" s="161"/>
      <c r="BQ36" s="161"/>
      <c r="BR36" s="161"/>
      <c r="BS36" s="161"/>
      <c r="BT36" s="161"/>
      <c r="BU36" s="161"/>
      <c r="BV36" s="161"/>
      <c r="BW36" s="161"/>
      <c r="BX36" s="161"/>
      <c r="BY36" s="161">
        <f t="shared" si="27"/>
        <v>0</v>
      </c>
      <c r="BZ36" s="161">
        <f t="shared" si="28"/>
        <v>0</v>
      </c>
      <c r="CA36" s="216">
        <f t="shared" si="29"/>
        <v>0</v>
      </c>
      <c r="CC36" s="178">
        <f t="shared" si="33"/>
        <v>0</v>
      </c>
      <c r="CD36" s="178">
        <f t="shared" si="30"/>
        <v>0</v>
      </c>
      <c r="CE36" s="178">
        <f t="shared" si="34"/>
        <v>0</v>
      </c>
      <c r="CF36" s="178">
        <f t="shared" si="35"/>
        <v>0</v>
      </c>
      <c r="CG36" s="178">
        <f t="shared" si="36"/>
        <v>0</v>
      </c>
    </row>
    <row r="37" spans="1:85" ht="14.25" customHeight="1" x14ac:dyDescent="0.2">
      <c r="A37" s="361" t="str">
        <f>+_xlfn.XLOOKUP(B37,'[1]Proyectos (NO FILTRAR)'!$F:$F,'[1]Proyectos (NO FILTRAR)'!$B:$B,0,0,1)</f>
        <v>CH-AMS-CS-OTR00-116-A</v>
      </c>
      <c r="B37" s="167" t="s">
        <v>271</v>
      </c>
      <c r="C37" s="155" t="str">
        <f>+_xlfn.XLOOKUP(A37,'[1]Proyectos (NO FILTRAR)'!$B:$B,'[1]Proyectos (NO FILTRAR)'!$G:$G,"error",0,1)</f>
        <v>Chile</v>
      </c>
      <c r="D37" s="155">
        <v>2024</v>
      </c>
      <c r="E37" s="155" t="s">
        <v>358</v>
      </c>
      <c r="F37" s="155" t="s">
        <v>32</v>
      </c>
      <c r="G37" s="207"/>
      <c r="H37" s="207" t="s">
        <v>266</v>
      </c>
      <c r="I37" s="285">
        <f>+_xlfn.XLOOKUP(B37,'[1]Proyectos (NO FILTRAR)'!$F:$F,'[1]Proyectos (NO FILTRAR)'!$O:$O,"!",0,1)</f>
        <v>134445.66999999998</v>
      </c>
      <c r="J37" s="156">
        <f t="shared" si="31"/>
        <v>134445.66999999998</v>
      </c>
      <c r="K37" s="157">
        <f t="shared" si="22"/>
        <v>1</v>
      </c>
      <c r="L37" s="158"/>
      <c r="M37" s="159">
        <f t="shared" si="23"/>
        <v>0</v>
      </c>
      <c r="N37" s="160">
        <f t="shared" si="32"/>
        <v>134445.66999999998</v>
      </c>
      <c r="O37" s="159">
        <f t="shared" si="24"/>
        <v>1</v>
      </c>
      <c r="P37" s="160"/>
      <c r="Q37" s="171"/>
      <c r="R37" s="199">
        <f>+I37-Q37</f>
        <v>134445.66999999998</v>
      </c>
      <c r="S37" s="204"/>
      <c r="T37" s="202">
        <v>30000</v>
      </c>
      <c r="U37" s="180"/>
      <c r="V37" s="179">
        <f>_xlfn.XLOOKUP(B37,'[4]Resumen EDP POM'!$B:$B,'[4]Resumen EDP POM'!$E:$E,"!",0,1)</f>
        <v>45000</v>
      </c>
      <c r="W37" s="181">
        <v>31900.14</v>
      </c>
      <c r="X37" s="179">
        <v>45093.75</v>
      </c>
      <c r="Y37" s="180">
        <f>32887.86+30364.67</f>
        <v>63252.53</v>
      </c>
      <c r="Z37" s="179">
        <v>45375</v>
      </c>
      <c r="AA37" s="180">
        <v>39293</v>
      </c>
      <c r="AB37" s="179">
        <v>15000</v>
      </c>
      <c r="AC37" s="180"/>
      <c r="AD37" s="179"/>
      <c r="AE37" s="180"/>
      <c r="AF37" s="179"/>
      <c r="AG37" s="180"/>
      <c r="AH37" s="179"/>
      <c r="AI37" s="180"/>
      <c r="AJ37" s="179"/>
      <c r="AK37" s="173"/>
      <c r="AL37" s="179"/>
      <c r="AM37" s="180"/>
      <c r="AN37" s="179"/>
      <c r="AO37" s="180"/>
      <c r="AP37" s="172"/>
      <c r="AQ37" s="180"/>
      <c r="AR37" s="190">
        <f t="shared" si="25"/>
        <v>180468.75</v>
      </c>
      <c r="AS37" s="215">
        <f t="shared" si="26"/>
        <v>134445.66999999998</v>
      </c>
      <c r="AT37" s="177"/>
      <c r="AU37" s="161">
        <v>0</v>
      </c>
      <c r="AV37" s="161">
        <v>0</v>
      </c>
      <c r="AW37" s="218"/>
      <c r="AX37" s="218">
        <v>0</v>
      </c>
      <c r="AY37" s="218">
        <v>0</v>
      </c>
      <c r="AZ37" s="218"/>
      <c r="BA37" s="161">
        <v>0</v>
      </c>
      <c r="BB37" s="161"/>
      <c r="BC37" s="161"/>
      <c r="BD37" s="161">
        <v>0</v>
      </c>
      <c r="BE37" s="161">
        <v>0</v>
      </c>
      <c r="BF37" s="161"/>
      <c r="BG37" s="161">
        <v>0</v>
      </c>
      <c r="BH37" s="161">
        <v>0</v>
      </c>
      <c r="BI37" s="161"/>
      <c r="BJ37" s="161">
        <v>0</v>
      </c>
      <c r="BK37" s="161"/>
      <c r="BL37" s="161"/>
      <c r="BM37" s="161"/>
      <c r="BN37" s="161"/>
      <c r="BO37" s="161"/>
      <c r="BP37" s="161"/>
      <c r="BQ37" s="161"/>
      <c r="BR37" s="161"/>
      <c r="BS37" s="161"/>
      <c r="BT37" s="161"/>
      <c r="BU37" s="161"/>
      <c r="BV37" s="161"/>
      <c r="BW37" s="161"/>
      <c r="BX37" s="161"/>
      <c r="BY37" s="161">
        <f t="shared" si="27"/>
        <v>0</v>
      </c>
      <c r="BZ37" s="161">
        <f t="shared" si="28"/>
        <v>0</v>
      </c>
      <c r="CA37" s="216">
        <f t="shared" si="29"/>
        <v>0</v>
      </c>
      <c r="CC37" s="178">
        <f t="shared" si="33"/>
        <v>0</v>
      </c>
      <c r="CD37" s="178">
        <f t="shared" si="30"/>
        <v>0</v>
      </c>
      <c r="CE37" s="178">
        <f t="shared" si="34"/>
        <v>0</v>
      </c>
      <c r="CF37" s="178">
        <f t="shared" si="35"/>
        <v>0</v>
      </c>
      <c r="CG37" s="178">
        <f t="shared" si="36"/>
        <v>0</v>
      </c>
    </row>
    <row r="38" spans="1:85" ht="14.25" customHeight="1" x14ac:dyDescent="0.2">
      <c r="A38" s="361" t="str">
        <f>+_xlfn.XLOOKUP(B38,'[1]Proyectos (NO FILTRAR)'!$F:$F,'[1]Proyectos (NO FILTRAR)'!$B:$B,0,0,1)</f>
        <v>OT-TWM-CS-FEL00-141-A</v>
      </c>
      <c r="B38" s="167" t="s">
        <v>304</v>
      </c>
      <c r="C38" s="155" t="str">
        <f>+_xlfn.XLOOKUP(A38,'[1]Proyectos (NO FILTRAR)'!$B:$B,'[1]Proyectos (NO FILTRAR)'!$G:$G,"error",0,1)</f>
        <v>Otros</v>
      </c>
      <c r="D38" s="155">
        <v>2025</v>
      </c>
      <c r="E38" s="155" t="s">
        <v>358</v>
      </c>
      <c r="F38" s="155" t="s">
        <v>315</v>
      </c>
      <c r="G38" s="207"/>
      <c r="H38" s="207"/>
      <c r="I38" s="285">
        <f>+_xlfn.XLOOKUP(B38,'[1]Proyectos (NO FILTRAR)'!$F:$F,'[1]Proyectos (NO FILTRAR)'!$O:$O,"!",0,1)</f>
        <v>132000</v>
      </c>
      <c r="J38" s="156">
        <f t="shared" si="31"/>
        <v>84225</v>
      </c>
      <c r="K38" s="157">
        <f t="shared" si="22"/>
        <v>0.63806818181818181</v>
      </c>
      <c r="L38" s="158"/>
      <c r="M38" s="159">
        <f t="shared" si="23"/>
        <v>0</v>
      </c>
      <c r="N38" s="160">
        <f t="shared" si="32"/>
        <v>84225</v>
      </c>
      <c r="O38" s="159">
        <f t="shared" si="24"/>
        <v>0.63806818181818181</v>
      </c>
      <c r="P38" s="186"/>
      <c r="Q38" s="171"/>
      <c r="R38" s="199"/>
      <c r="S38" s="204"/>
      <c r="T38" s="202"/>
      <c r="U38" s="180"/>
      <c r="V38" s="179"/>
      <c r="W38" s="180"/>
      <c r="X38" s="179">
        <v>58000</v>
      </c>
      <c r="Y38" s="180">
        <v>84225</v>
      </c>
      <c r="Z38" s="179"/>
      <c r="AA38" s="180"/>
      <c r="AB38" s="179"/>
      <c r="AC38" s="180"/>
      <c r="AD38" s="179"/>
      <c r="AE38" s="180"/>
      <c r="AF38" s="179"/>
      <c r="AG38" s="180"/>
      <c r="AH38" s="179"/>
      <c r="AI38" s="180"/>
      <c r="AJ38" s="179"/>
      <c r="AK38" s="173"/>
      <c r="AL38" s="179"/>
      <c r="AM38" s="180"/>
      <c r="AN38" s="179"/>
      <c r="AO38" s="185"/>
      <c r="AP38" s="172"/>
      <c r="AQ38" s="180"/>
      <c r="AR38" s="190">
        <f t="shared" si="25"/>
        <v>58000</v>
      </c>
      <c r="AS38" s="215">
        <f t="shared" si="26"/>
        <v>84225</v>
      </c>
      <c r="AT38" s="177"/>
      <c r="AU38" s="161">
        <v>0</v>
      </c>
      <c r="AV38" s="161">
        <v>0</v>
      </c>
      <c r="AW38" s="218"/>
      <c r="AX38" s="218">
        <v>0</v>
      </c>
      <c r="AY38" s="218">
        <v>0</v>
      </c>
      <c r="AZ38" s="218"/>
      <c r="BA38" s="161">
        <v>0</v>
      </c>
      <c r="BB38" s="161"/>
      <c r="BC38" s="161"/>
      <c r="BD38" s="161">
        <v>0</v>
      </c>
      <c r="BE38" s="161">
        <v>0</v>
      </c>
      <c r="BF38" s="161"/>
      <c r="BG38" s="161">
        <v>0</v>
      </c>
      <c r="BH38" s="161">
        <v>0</v>
      </c>
      <c r="BI38" s="161"/>
      <c r="BJ38" s="161">
        <v>0</v>
      </c>
      <c r="BK38" s="161"/>
      <c r="BL38" s="161"/>
      <c r="BM38" s="161"/>
      <c r="BN38" s="161"/>
      <c r="BO38" s="161"/>
      <c r="BP38" s="161"/>
      <c r="BQ38" s="161"/>
      <c r="BR38" s="161"/>
      <c r="BS38" s="161"/>
      <c r="BT38" s="161"/>
      <c r="BU38" s="161"/>
      <c r="BV38" s="161"/>
      <c r="BW38" s="161"/>
      <c r="BX38" s="161"/>
      <c r="BY38" s="161">
        <f t="shared" si="27"/>
        <v>0</v>
      </c>
      <c r="BZ38" s="161">
        <f t="shared" si="28"/>
        <v>0</v>
      </c>
      <c r="CA38" s="216">
        <f t="shared" si="29"/>
        <v>0</v>
      </c>
      <c r="CC38" s="178">
        <f t="shared" si="33"/>
        <v>0</v>
      </c>
      <c r="CD38" s="178">
        <f t="shared" si="30"/>
        <v>0</v>
      </c>
      <c r="CE38" s="178">
        <f t="shared" si="34"/>
        <v>0</v>
      </c>
      <c r="CF38" s="178">
        <f t="shared" si="35"/>
        <v>0</v>
      </c>
      <c r="CG38" s="178">
        <f t="shared" si="36"/>
        <v>0</v>
      </c>
    </row>
    <row r="39" spans="1:85" ht="14.25" customHeight="1" x14ac:dyDescent="0.2">
      <c r="A39" s="361" t="str">
        <f>+_xlfn.XLOOKUP(B39,'[1]Proyectos (NO FILTRAR)'!$F:$F,'[1]Proyectos (NO FILTRAR)'!$B:$B,0,0,1)</f>
        <v>CH-CMP-OP-FEL00-106-A</v>
      </c>
      <c r="B39" s="167" t="s">
        <v>270</v>
      </c>
      <c r="C39" s="155" t="str">
        <f>+_xlfn.XLOOKUP(A39,'[1]Proyectos (NO FILTRAR)'!$B:$B,'[1]Proyectos (NO FILTRAR)'!$G:$G,"error",0,1)</f>
        <v>Chile</v>
      </c>
      <c r="D39" s="155">
        <v>2024</v>
      </c>
      <c r="E39" s="155" t="s">
        <v>358</v>
      </c>
      <c r="F39" s="155" t="s">
        <v>32</v>
      </c>
      <c r="G39" s="207"/>
      <c r="H39" s="207" t="s">
        <v>274</v>
      </c>
      <c r="I39" s="285">
        <f>+_xlfn.XLOOKUP(B39,'[1]Proyectos (NO FILTRAR)'!$F:$F,'[1]Proyectos (NO FILTRAR)'!$O:$O,"!",0,1)</f>
        <v>121038.49</v>
      </c>
      <c r="J39" s="156">
        <f t="shared" si="31"/>
        <v>121038.49</v>
      </c>
      <c r="K39" s="157">
        <f t="shared" si="22"/>
        <v>1</v>
      </c>
      <c r="L39" s="158"/>
      <c r="M39" s="159">
        <f t="shared" si="23"/>
        <v>0</v>
      </c>
      <c r="N39" s="160">
        <f t="shared" si="32"/>
        <v>121038.49</v>
      </c>
      <c r="O39" s="159">
        <f t="shared" si="24"/>
        <v>1</v>
      </c>
      <c r="P39" s="186"/>
      <c r="Q39" s="171">
        <v>46214.27</v>
      </c>
      <c r="R39" s="199">
        <f>+I39-Q39</f>
        <v>74824.22</v>
      </c>
      <c r="S39" s="204"/>
      <c r="T39" s="202">
        <v>24500</v>
      </c>
      <c r="U39" s="180">
        <v>9853.5</v>
      </c>
      <c r="V39" s="179">
        <f>_xlfn.XLOOKUP(B39,'[4]Resumen EDP POM'!$B:$B,'[4]Resumen EDP POM'!$E:$E,"!",0,1)</f>
        <v>25000</v>
      </c>
      <c r="W39" s="181">
        <v>16215.92</v>
      </c>
      <c r="X39" s="179">
        <v>37000</v>
      </c>
      <c r="Y39" s="180">
        <f>12182+36572.8</f>
        <v>48754.8</v>
      </c>
      <c r="Z39" s="179"/>
      <c r="AA39" s="180"/>
      <c r="AB39" s="179"/>
      <c r="AC39" s="180"/>
      <c r="AD39" s="179"/>
      <c r="AE39" s="180"/>
      <c r="AF39" s="179"/>
      <c r="AG39" s="180"/>
      <c r="AH39" s="179"/>
      <c r="AI39" s="180"/>
      <c r="AJ39" s="179"/>
      <c r="AK39" s="173"/>
      <c r="AL39" s="179"/>
      <c r="AM39" s="180"/>
      <c r="AN39" s="179"/>
      <c r="AO39" s="185"/>
      <c r="AP39" s="172"/>
      <c r="AQ39" s="180"/>
      <c r="AR39" s="190">
        <f t="shared" si="25"/>
        <v>86500</v>
      </c>
      <c r="AS39" s="215">
        <f t="shared" si="26"/>
        <v>74824.22</v>
      </c>
      <c r="AT39" s="177"/>
      <c r="AU39" s="161">
        <v>0</v>
      </c>
      <c r="AV39" s="161">
        <v>0</v>
      </c>
      <c r="AW39" s="218"/>
      <c r="AX39" s="218">
        <v>0</v>
      </c>
      <c r="AY39" s="218">
        <v>0</v>
      </c>
      <c r="AZ39" s="218"/>
      <c r="BA39" s="161">
        <v>0</v>
      </c>
      <c r="BB39" s="161"/>
      <c r="BC39" s="161"/>
      <c r="BD39" s="161">
        <v>0</v>
      </c>
      <c r="BE39" s="161">
        <v>0</v>
      </c>
      <c r="BF39" s="161"/>
      <c r="BG39" s="161">
        <v>0</v>
      </c>
      <c r="BH39" s="161">
        <v>0</v>
      </c>
      <c r="BI39" s="161"/>
      <c r="BJ39" s="161">
        <v>0</v>
      </c>
      <c r="BK39" s="161"/>
      <c r="BL39" s="161"/>
      <c r="BM39" s="161"/>
      <c r="BN39" s="161"/>
      <c r="BO39" s="161"/>
      <c r="BP39" s="161"/>
      <c r="BQ39" s="161"/>
      <c r="BR39" s="161"/>
      <c r="BS39" s="161"/>
      <c r="BT39" s="161"/>
      <c r="BU39" s="161"/>
      <c r="BV39" s="161"/>
      <c r="BW39" s="161"/>
      <c r="BX39" s="161"/>
      <c r="BY39" s="161">
        <f t="shared" si="27"/>
        <v>0</v>
      </c>
      <c r="BZ39" s="161">
        <f t="shared" si="28"/>
        <v>0</v>
      </c>
      <c r="CA39" s="216">
        <f t="shared" si="29"/>
        <v>0</v>
      </c>
      <c r="CC39" s="178">
        <f t="shared" si="33"/>
        <v>0</v>
      </c>
      <c r="CD39" s="178">
        <f t="shared" si="30"/>
        <v>0</v>
      </c>
      <c r="CE39" s="178">
        <f t="shared" si="34"/>
        <v>0</v>
      </c>
      <c r="CF39" s="178">
        <f t="shared" si="35"/>
        <v>0</v>
      </c>
      <c r="CG39" s="178">
        <f t="shared" si="36"/>
        <v>0</v>
      </c>
    </row>
    <row r="40" spans="1:85" ht="14.25" customHeight="1" x14ac:dyDescent="0.2">
      <c r="A40" s="361" t="str">
        <f>+_xlfn.XLOOKUP(B40,'[1]Proyectos (NO FILTRAR)'!$F:$F,'[1]Proyectos (NO FILTRAR)'!$B:$B,0,0,1)</f>
        <v>BR-LHG-UG-OTR00-161-A</v>
      </c>
      <c r="B40" s="167" t="s">
        <v>343</v>
      </c>
      <c r="C40" s="155" t="str">
        <f>+_xlfn.XLOOKUP(A40,'[1]Proyectos (NO FILTRAR)'!$B:$B,'[1]Proyectos (NO FILTRAR)'!$G:$G,"error",0,1)</f>
        <v>Brasil</v>
      </c>
      <c r="D40" s="155">
        <v>2025</v>
      </c>
      <c r="E40" s="155" t="s">
        <v>358</v>
      </c>
      <c r="F40" s="155" t="s">
        <v>315</v>
      </c>
      <c r="G40" s="207"/>
      <c r="H40" s="207"/>
      <c r="I40" s="285">
        <f>+_xlfn.XLOOKUP(B40,'[1]Proyectos (NO FILTRAR)'!$F:$F,'[1]Proyectos (NO FILTRAR)'!$O:$O,"!",0,1)</f>
        <v>113137</v>
      </c>
      <c r="J40" s="156">
        <f t="shared" si="31"/>
        <v>113137</v>
      </c>
      <c r="K40" s="157">
        <f t="shared" si="22"/>
        <v>1</v>
      </c>
      <c r="L40" s="158"/>
      <c r="M40" s="159">
        <f t="shared" si="23"/>
        <v>0</v>
      </c>
      <c r="N40" s="160">
        <f t="shared" si="32"/>
        <v>113137</v>
      </c>
      <c r="O40" s="159">
        <f t="shared" si="24"/>
        <v>1</v>
      </c>
      <c r="P40" s="160"/>
      <c r="Q40" s="171"/>
      <c r="R40" s="199"/>
      <c r="S40" s="204"/>
      <c r="T40" s="202"/>
      <c r="U40" s="180"/>
      <c r="V40" s="179"/>
      <c r="W40" s="180"/>
      <c r="X40" s="179"/>
      <c r="Y40" s="180"/>
      <c r="Z40" s="179"/>
      <c r="AA40" s="180"/>
      <c r="AB40" s="179"/>
      <c r="AC40" s="180"/>
      <c r="AD40" s="179"/>
      <c r="AE40" s="180"/>
      <c r="AF40" s="179"/>
      <c r="AG40" s="180"/>
      <c r="AH40" s="179">
        <v>50000</v>
      </c>
      <c r="AI40" s="182">
        <v>35225</v>
      </c>
      <c r="AJ40" s="179">
        <v>30000</v>
      </c>
      <c r="AK40" s="176">
        <v>39154</v>
      </c>
      <c r="AL40" s="179">
        <v>31621</v>
      </c>
      <c r="AM40" s="182">
        <v>38758</v>
      </c>
      <c r="AN40" s="179"/>
      <c r="AO40" s="185"/>
      <c r="AP40" s="172"/>
      <c r="AQ40" s="180"/>
      <c r="AR40" s="190">
        <f t="shared" si="25"/>
        <v>111621</v>
      </c>
      <c r="AS40" s="215">
        <f t="shared" si="26"/>
        <v>113137</v>
      </c>
      <c r="AT40" s="177"/>
      <c r="AU40" s="161">
        <v>0</v>
      </c>
      <c r="AV40" s="161">
        <v>0</v>
      </c>
      <c r="AW40" s="218"/>
      <c r="AX40" s="218">
        <v>0</v>
      </c>
      <c r="AY40" s="218">
        <v>0</v>
      </c>
      <c r="AZ40" s="218"/>
      <c r="BA40" s="161">
        <v>0</v>
      </c>
      <c r="BB40" s="161"/>
      <c r="BC40" s="161"/>
      <c r="BD40" s="161">
        <v>0</v>
      </c>
      <c r="BE40" s="161">
        <v>0</v>
      </c>
      <c r="BF40" s="161"/>
      <c r="BG40" s="161">
        <v>0</v>
      </c>
      <c r="BH40" s="161">
        <v>0</v>
      </c>
      <c r="BI40" s="161"/>
      <c r="BJ40" s="161">
        <v>0</v>
      </c>
      <c r="BK40" s="161"/>
      <c r="BL40" s="161"/>
      <c r="BM40" s="161"/>
      <c r="BN40" s="161"/>
      <c r="BO40" s="161"/>
      <c r="BP40" s="161"/>
      <c r="BQ40" s="161"/>
      <c r="BR40" s="161"/>
      <c r="BS40" s="161"/>
      <c r="BT40" s="161"/>
      <c r="BU40" s="161"/>
      <c r="BV40" s="161"/>
      <c r="BW40" s="161"/>
      <c r="BX40" s="161"/>
      <c r="BY40" s="161">
        <f t="shared" si="27"/>
        <v>0</v>
      </c>
      <c r="BZ40" s="161">
        <f t="shared" si="28"/>
        <v>0</v>
      </c>
      <c r="CA40" s="216">
        <f t="shared" si="29"/>
        <v>0</v>
      </c>
      <c r="CC40" s="178">
        <f t="shared" si="33"/>
        <v>0</v>
      </c>
      <c r="CD40" s="178">
        <f t="shared" si="30"/>
        <v>0</v>
      </c>
      <c r="CE40" s="178">
        <f t="shared" si="34"/>
        <v>0</v>
      </c>
      <c r="CF40" s="178">
        <f t="shared" si="35"/>
        <v>0</v>
      </c>
      <c r="CG40" s="178">
        <f t="shared" si="36"/>
        <v>0</v>
      </c>
    </row>
    <row r="41" spans="1:85" ht="14.25" customHeight="1" x14ac:dyDescent="0.2">
      <c r="A41" s="361" t="str">
        <f>+_xlfn.XLOOKUP(B41,'[1]Proyectos (NO FILTRAR)'!$F:$F,'[1]Proyectos (NO FILTRAR)'!$B:$B,0,0,1)</f>
        <v>CH-CMP-OP-OTR00-096-A</v>
      </c>
      <c r="B41" s="167" t="s">
        <v>253</v>
      </c>
      <c r="C41" s="155" t="str">
        <f>+_xlfn.XLOOKUP(A41,'[1]Proyectos (NO FILTRAR)'!$B:$B,'[1]Proyectos (NO FILTRAR)'!$G:$G,"error",0,1)</f>
        <v>Chile</v>
      </c>
      <c r="D41" s="155">
        <v>2024</v>
      </c>
      <c r="E41" s="155" t="s">
        <v>358</v>
      </c>
      <c r="F41" s="155" t="s">
        <v>32</v>
      </c>
      <c r="G41" s="207"/>
      <c r="H41" s="207" t="s">
        <v>255</v>
      </c>
      <c r="I41" s="285">
        <v>112944.42</v>
      </c>
      <c r="J41" s="156">
        <f t="shared" si="31"/>
        <v>112944.42</v>
      </c>
      <c r="K41" s="157">
        <f t="shared" si="22"/>
        <v>1</v>
      </c>
      <c r="L41" s="158"/>
      <c r="M41" s="159">
        <f t="shared" si="23"/>
        <v>0</v>
      </c>
      <c r="N41" s="160">
        <f t="shared" si="32"/>
        <v>112944.42</v>
      </c>
      <c r="O41" s="159">
        <f t="shared" si="24"/>
        <v>1</v>
      </c>
      <c r="P41" s="186"/>
      <c r="Q41" s="171">
        <v>55137.5</v>
      </c>
      <c r="R41" s="199">
        <f>+I41-Q41</f>
        <v>57806.92</v>
      </c>
      <c r="S41" s="204"/>
      <c r="T41" s="202">
        <v>8958</v>
      </c>
      <c r="U41" s="180">
        <v>8755.39</v>
      </c>
      <c r="V41" s="179"/>
      <c r="W41" s="180"/>
      <c r="X41" s="179">
        <v>15450.63829787234</v>
      </c>
      <c r="Y41" s="180">
        <v>14745.53</v>
      </c>
      <c r="Z41" s="179"/>
      <c r="AA41" s="180"/>
      <c r="AB41" s="179"/>
      <c r="AC41" s="180"/>
      <c r="AD41" s="179"/>
      <c r="AE41" s="180"/>
      <c r="AF41" s="179"/>
      <c r="AG41" s="184">
        <v>34306</v>
      </c>
      <c r="AH41" s="179"/>
      <c r="AI41" s="180"/>
      <c r="AJ41" s="179"/>
      <c r="AK41" s="180"/>
      <c r="AL41" s="179"/>
      <c r="AM41" s="180"/>
      <c r="AN41" s="179"/>
      <c r="AO41" s="185"/>
      <c r="AP41" s="172"/>
      <c r="AQ41" s="180"/>
      <c r="AR41" s="190">
        <f t="shared" si="25"/>
        <v>24408.638297872341</v>
      </c>
      <c r="AS41" s="215">
        <f t="shared" si="26"/>
        <v>57806.92</v>
      </c>
      <c r="AT41" s="177"/>
      <c r="AU41" s="161">
        <v>0</v>
      </c>
      <c r="AV41" s="161">
        <v>0</v>
      </c>
      <c r="AW41" s="218"/>
      <c r="AX41" s="218">
        <v>0</v>
      </c>
      <c r="AY41" s="218">
        <v>0</v>
      </c>
      <c r="AZ41" s="218"/>
      <c r="BA41" s="161">
        <v>0</v>
      </c>
      <c r="BB41" s="161"/>
      <c r="BC41" s="161"/>
      <c r="BD41" s="161">
        <v>0</v>
      </c>
      <c r="BE41" s="161">
        <v>0</v>
      </c>
      <c r="BF41" s="161"/>
      <c r="BG41" s="161">
        <v>0</v>
      </c>
      <c r="BH41" s="161">
        <v>0</v>
      </c>
      <c r="BI41" s="161"/>
      <c r="BJ41" s="161">
        <v>0</v>
      </c>
      <c r="BK41" s="161"/>
      <c r="BL41" s="161"/>
      <c r="BM41" s="161"/>
      <c r="BN41" s="161"/>
      <c r="BO41" s="161"/>
      <c r="BP41" s="161"/>
      <c r="BQ41" s="161"/>
      <c r="BR41" s="161"/>
      <c r="BS41" s="161"/>
      <c r="BT41" s="161"/>
      <c r="BU41" s="161"/>
      <c r="BV41" s="161"/>
      <c r="BW41" s="161"/>
      <c r="BX41" s="161"/>
      <c r="BY41" s="161">
        <f t="shared" si="27"/>
        <v>0</v>
      </c>
      <c r="BZ41" s="161">
        <f t="shared" si="28"/>
        <v>0</v>
      </c>
      <c r="CA41" s="216">
        <f t="shared" si="29"/>
        <v>0</v>
      </c>
      <c r="CC41" s="178">
        <f t="shared" si="33"/>
        <v>0</v>
      </c>
      <c r="CD41" s="178">
        <f t="shared" si="30"/>
        <v>0</v>
      </c>
      <c r="CE41" s="178">
        <f t="shared" si="34"/>
        <v>0</v>
      </c>
      <c r="CF41" s="178">
        <f t="shared" si="35"/>
        <v>0</v>
      </c>
      <c r="CG41" s="178">
        <f t="shared" si="36"/>
        <v>0</v>
      </c>
    </row>
    <row r="42" spans="1:85" ht="14.25" customHeight="1" x14ac:dyDescent="0.2">
      <c r="A42" s="361" t="str">
        <f>+_xlfn.XLOOKUP(B42,'[1]Proyectos (NO FILTRAR)'!$F:$F,'[1]Proyectos (NO FILTRAR)'!$B:$B,0,0,1)</f>
        <v>CH-CMP-OT-OTR00-107-A</v>
      </c>
      <c r="B42" s="167" t="s">
        <v>239</v>
      </c>
      <c r="C42" s="155" t="str">
        <f>+_xlfn.XLOOKUP(A42,'[1]Proyectos (NO FILTRAR)'!$B:$B,'[1]Proyectos (NO FILTRAR)'!$G:$G,"error",0,1)</f>
        <v>Chile</v>
      </c>
      <c r="D42" s="155">
        <v>2024</v>
      </c>
      <c r="E42" s="155" t="s">
        <v>358</v>
      </c>
      <c r="F42" s="155" t="s">
        <v>162</v>
      </c>
      <c r="G42" s="207"/>
      <c r="H42" s="207" t="s">
        <v>29</v>
      </c>
      <c r="I42" s="285">
        <f>+_xlfn.XLOOKUP(B42,'[1]Proyectos (NO FILTRAR)'!$F:$F,'[1]Proyectos (NO FILTRAR)'!$O:$O,"!",0,1)</f>
        <v>112506</v>
      </c>
      <c r="J42" s="156">
        <f t="shared" si="31"/>
        <v>112506</v>
      </c>
      <c r="K42" s="157">
        <f t="shared" si="22"/>
        <v>1</v>
      </c>
      <c r="L42" s="158"/>
      <c r="M42" s="159">
        <f t="shared" si="23"/>
        <v>0</v>
      </c>
      <c r="N42" s="160">
        <f t="shared" si="32"/>
        <v>112506</v>
      </c>
      <c r="O42" s="159">
        <f t="shared" si="24"/>
        <v>1</v>
      </c>
      <c r="P42" s="160"/>
      <c r="Q42" s="171"/>
      <c r="R42" s="199">
        <f>+I42-Q42</f>
        <v>112506</v>
      </c>
      <c r="S42" s="204"/>
      <c r="T42" s="202"/>
      <c r="U42" s="180"/>
      <c r="V42" s="179">
        <f>_xlfn.XLOOKUP(B42,'[4]Resumen EDP POM'!$B:$B,'[4]Resumen EDP POM'!$E:$E,"!",0,1)</f>
        <v>105000</v>
      </c>
      <c r="W42" s="181">
        <v>112506</v>
      </c>
      <c r="X42" s="179"/>
      <c r="Y42" s="180"/>
      <c r="Z42" s="179"/>
      <c r="AA42" s="180"/>
      <c r="AB42" s="179"/>
      <c r="AC42" s="180"/>
      <c r="AD42" s="179"/>
      <c r="AE42" s="180"/>
      <c r="AF42" s="179"/>
      <c r="AG42" s="180"/>
      <c r="AH42" s="179"/>
      <c r="AI42" s="180"/>
      <c r="AJ42" s="179"/>
      <c r="AK42" s="173"/>
      <c r="AL42" s="179"/>
      <c r="AM42" s="180"/>
      <c r="AN42" s="179"/>
      <c r="AO42" s="180"/>
      <c r="AP42" s="172"/>
      <c r="AQ42" s="180"/>
      <c r="AR42" s="190">
        <f t="shared" si="25"/>
        <v>105000</v>
      </c>
      <c r="AS42" s="215">
        <f t="shared" si="26"/>
        <v>112506</v>
      </c>
      <c r="AT42" s="177"/>
      <c r="AU42" s="161">
        <v>0</v>
      </c>
      <c r="AV42" s="161">
        <v>0</v>
      </c>
      <c r="AW42" s="218"/>
      <c r="AX42" s="218">
        <v>0</v>
      </c>
      <c r="AY42" s="218">
        <v>0</v>
      </c>
      <c r="AZ42" s="218"/>
      <c r="BA42" s="161">
        <v>0</v>
      </c>
      <c r="BB42" s="161"/>
      <c r="BC42" s="161"/>
      <c r="BD42" s="161">
        <v>0</v>
      </c>
      <c r="BE42" s="161">
        <v>0</v>
      </c>
      <c r="BF42" s="161"/>
      <c r="BG42" s="161">
        <v>0</v>
      </c>
      <c r="BH42" s="161">
        <v>0</v>
      </c>
      <c r="BI42" s="161"/>
      <c r="BJ42" s="161">
        <v>0</v>
      </c>
      <c r="BK42" s="161"/>
      <c r="BL42" s="161"/>
      <c r="BM42" s="161"/>
      <c r="BN42" s="161"/>
      <c r="BO42" s="161"/>
      <c r="BP42" s="161"/>
      <c r="BQ42" s="161"/>
      <c r="BR42" s="161"/>
      <c r="BS42" s="161"/>
      <c r="BT42" s="161"/>
      <c r="BU42" s="161"/>
      <c r="BV42" s="161"/>
      <c r="BW42" s="161"/>
      <c r="BX42" s="161"/>
      <c r="BY42" s="161">
        <f t="shared" si="27"/>
        <v>0</v>
      </c>
      <c r="BZ42" s="161">
        <f t="shared" si="28"/>
        <v>0</v>
      </c>
      <c r="CA42" s="216">
        <f t="shared" si="29"/>
        <v>0</v>
      </c>
      <c r="CC42" s="178">
        <f t="shared" si="33"/>
        <v>0</v>
      </c>
      <c r="CD42" s="178">
        <f t="shared" si="30"/>
        <v>0</v>
      </c>
      <c r="CE42" s="178">
        <f t="shared" si="34"/>
        <v>0</v>
      </c>
      <c r="CF42" s="178">
        <f t="shared" si="35"/>
        <v>0</v>
      </c>
      <c r="CG42" s="178">
        <f t="shared" si="36"/>
        <v>0</v>
      </c>
    </row>
    <row r="43" spans="1:85" ht="14.25" customHeight="1" x14ac:dyDescent="0.2">
      <c r="A43" s="361" t="str">
        <f>+_xlfn.XLOOKUP(B43,'[1]Proyectos (NO FILTRAR)'!$F:$F,'[1]Proyectos (NO FILTRAR)'!$B:$B,0,0,1)</f>
        <v>CH-CMP-UG-OTR00-095-A</v>
      </c>
      <c r="B43" s="167" t="s">
        <v>252</v>
      </c>
      <c r="C43" s="155" t="str">
        <f>+_xlfn.XLOOKUP(A43,'[1]Proyectos (NO FILTRAR)'!$B:$B,'[1]Proyectos (NO FILTRAR)'!$G:$G,"error",0,1)</f>
        <v>Chile</v>
      </c>
      <c r="D43" s="155">
        <v>2024</v>
      </c>
      <c r="E43" s="155" t="s">
        <v>358</v>
      </c>
      <c r="F43" s="155" t="s">
        <v>30</v>
      </c>
      <c r="G43" s="207"/>
      <c r="H43" s="207" t="s">
        <v>109</v>
      </c>
      <c r="I43" s="285">
        <f>+_xlfn.XLOOKUP(B43,'[1]Proyectos (NO FILTRAR)'!$F:$F,'[1]Proyectos (NO FILTRAR)'!$O:$O,"!",0,1)</f>
        <v>94854</v>
      </c>
      <c r="J43" s="156">
        <f t="shared" si="31"/>
        <v>94854</v>
      </c>
      <c r="K43" s="157">
        <f t="shared" si="22"/>
        <v>1</v>
      </c>
      <c r="L43" s="158"/>
      <c r="M43" s="159">
        <f t="shared" si="23"/>
        <v>0</v>
      </c>
      <c r="N43" s="160">
        <f t="shared" si="32"/>
        <v>94854</v>
      </c>
      <c r="O43" s="159">
        <f t="shared" si="24"/>
        <v>1</v>
      </c>
      <c r="P43" s="186"/>
      <c r="Q43" s="171">
        <v>79951</v>
      </c>
      <c r="R43" s="199">
        <f>+I43-Q43</f>
        <v>14903</v>
      </c>
      <c r="S43" s="204"/>
      <c r="T43" s="202">
        <v>14688</v>
      </c>
      <c r="U43" s="180">
        <v>14903</v>
      </c>
      <c r="V43" s="179"/>
      <c r="W43" s="180"/>
      <c r="X43" s="179"/>
      <c r="Y43" s="180"/>
      <c r="Z43" s="179"/>
      <c r="AA43" s="180"/>
      <c r="AB43" s="179"/>
      <c r="AC43" s="180"/>
      <c r="AD43" s="179"/>
      <c r="AE43" s="180"/>
      <c r="AF43" s="179"/>
      <c r="AG43" s="180"/>
      <c r="AH43" s="179"/>
      <c r="AI43" s="180"/>
      <c r="AJ43" s="179"/>
      <c r="AK43" s="173"/>
      <c r="AL43" s="179"/>
      <c r="AM43" s="180"/>
      <c r="AN43" s="179"/>
      <c r="AO43" s="185"/>
      <c r="AP43" s="172"/>
      <c r="AQ43" s="180"/>
      <c r="AR43" s="190">
        <f t="shared" si="25"/>
        <v>14688</v>
      </c>
      <c r="AS43" s="215">
        <f t="shared" si="26"/>
        <v>14903</v>
      </c>
      <c r="AT43" s="177"/>
      <c r="AU43" s="161">
        <v>0</v>
      </c>
      <c r="AV43" s="161">
        <v>0</v>
      </c>
      <c r="AW43" s="218"/>
      <c r="AX43" s="218">
        <v>0</v>
      </c>
      <c r="AY43" s="218">
        <v>0</v>
      </c>
      <c r="AZ43" s="218"/>
      <c r="BA43" s="161">
        <v>0</v>
      </c>
      <c r="BB43" s="161"/>
      <c r="BC43" s="161"/>
      <c r="BD43" s="161">
        <v>0</v>
      </c>
      <c r="BE43" s="161">
        <v>0</v>
      </c>
      <c r="BF43" s="161"/>
      <c r="BG43" s="161">
        <v>0</v>
      </c>
      <c r="BH43" s="161">
        <v>0</v>
      </c>
      <c r="BI43" s="161"/>
      <c r="BJ43" s="161">
        <v>0</v>
      </c>
      <c r="BK43" s="161"/>
      <c r="BL43" s="161"/>
      <c r="BM43" s="161"/>
      <c r="BN43" s="161"/>
      <c r="BO43" s="161"/>
      <c r="BP43" s="161"/>
      <c r="BQ43" s="161"/>
      <c r="BR43" s="161"/>
      <c r="BS43" s="161"/>
      <c r="BT43" s="161"/>
      <c r="BU43" s="161"/>
      <c r="BV43" s="161"/>
      <c r="BW43" s="161"/>
      <c r="BX43" s="161"/>
      <c r="BY43" s="161">
        <f t="shared" si="27"/>
        <v>0</v>
      </c>
      <c r="BZ43" s="161">
        <f t="shared" si="28"/>
        <v>0</v>
      </c>
      <c r="CA43" s="216">
        <f t="shared" si="29"/>
        <v>0</v>
      </c>
      <c r="CC43" s="178">
        <f t="shared" si="33"/>
        <v>0</v>
      </c>
      <c r="CD43" s="178">
        <f t="shared" si="30"/>
        <v>0</v>
      </c>
      <c r="CE43" s="178">
        <f t="shared" si="34"/>
        <v>0</v>
      </c>
      <c r="CF43" s="178">
        <f t="shared" si="35"/>
        <v>0</v>
      </c>
      <c r="CG43" s="178">
        <f t="shared" si="36"/>
        <v>0</v>
      </c>
    </row>
    <row r="44" spans="1:85" ht="14.25" customHeight="1" x14ac:dyDescent="0.2">
      <c r="A44" s="361" t="str">
        <f>+_xlfn.XLOOKUP(B44,'[1]Proyectos (NO FILTRAR)'!$F:$F,'[1]Proyectos (NO FILTRAR)'!$B:$B,0,0,1)</f>
        <v>PE-MMG-UG-FEL00-136-A</v>
      </c>
      <c r="B44" s="167" t="s">
        <v>298</v>
      </c>
      <c r="C44" s="155" t="str">
        <f>+_xlfn.XLOOKUP(A44,'[1]Proyectos (NO FILTRAR)'!$B:$B,'[1]Proyectos (NO FILTRAR)'!$G:$G,"error",0,1)</f>
        <v>Perú</v>
      </c>
      <c r="D44" s="155">
        <v>2025</v>
      </c>
      <c r="E44" s="155" t="s">
        <v>358</v>
      </c>
      <c r="F44" s="155" t="s">
        <v>30</v>
      </c>
      <c r="G44" s="207"/>
      <c r="H44" s="207"/>
      <c r="I44" s="285">
        <f>+_xlfn.XLOOKUP(B44,'[1]Proyectos (NO FILTRAR)'!$F:$F,'[1]Proyectos (NO FILTRAR)'!$O:$O,"!",0,1)</f>
        <v>87520</v>
      </c>
      <c r="J44" s="156">
        <f t="shared" si="31"/>
        <v>87520</v>
      </c>
      <c r="K44" s="157">
        <f t="shared" si="22"/>
        <v>1</v>
      </c>
      <c r="L44" s="158"/>
      <c r="M44" s="159">
        <f t="shared" si="23"/>
        <v>0</v>
      </c>
      <c r="N44" s="160">
        <f t="shared" si="32"/>
        <v>87520</v>
      </c>
      <c r="O44" s="159">
        <f t="shared" si="24"/>
        <v>1</v>
      </c>
      <c r="P44" s="160"/>
      <c r="Q44" s="171"/>
      <c r="R44" s="199"/>
      <c r="S44" s="204"/>
      <c r="T44" s="202"/>
      <c r="U44" s="187">
        <v>9930</v>
      </c>
      <c r="V44" s="179">
        <f>_xlfn.XLOOKUP(B44,'[4]Resumen EDP POM'!$B:$B,'[4]Resumen EDP POM'!$E:$E,"!",0,1)</f>
        <v>30000</v>
      </c>
      <c r="W44" s="181">
        <v>27785</v>
      </c>
      <c r="X44" s="179">
        <v>30000</v>
      </c>
      <c r="Y44" s="180">
        <v>10082</v>
      </c>
      <c r="Z44" s="179">
        <v>22399</v>
      </c>
      <c r="AA44" s="180">
        <v>15088</v>
      </c>
      <c r="AB44" s="179">
        <v>17471</v>
      </c>
      <c r="AC44" s="180">
        <v>20174</v>
      </c>
      <c r="AD44" s="179">
        <v>7000</v>
      </c>
      <c r="AE44" s="180">
        <f>2228+2233</f>
        <v>4461</v>
      </c>
      <c r="AF44" s="179"/>
      <c r="AG44" s="180"/>
      <c r="AH44" s="179"/>
      <c r="AI44" s="180"/>
      <c r="AJ44" s="179"/>
      <c r="AK44" s="180"/>
      <c r="AL44" s="179"/>
      <c r="AM44" s="180"/>
      <c r="AN44" s="179"/>
      <c r="AO44" s="185"/>
      <c r="AP44" s="172"/>
      <c r="AQ44" s="180"/>
      <c r="AR44" s="190">
        <f t="shared" si="25"/>
        <v>106870</v>
      </c>
      <c r="AS44" s="215">
        <f t="shared" si="26"/>
        <v>87520</v>
      </c>
      <c r="AT44" s="177"/>
      <c r="AU44" s="161">
        <v>0</v>
      </c>
      <c r="AV44" s="161">
        <v>0</v>
      </c>
      <c r="AW44" s="219"/>
      <c r="AX44" s="218">
        <v>0</v>
      </c>
      <c r="AY44" s="218">
        <v>0</v>
      </c>
      <c r="AZ44" s="218"/>
      <c r="BA44" s="161">
        <v>0</v>
      </c>
      <c r="BB44" s="161"/>
      <c r="BC44" s="161"/>
      <c r="BD44" s="161">
        <v>0</v>
      </c>
      <c r="BE44" s="161">
        <v>0</v>
      </c>
      <c r="BF44" s="161"/>
      <c r="BG44" s="161">
        <v>0</v>
      </c>
      <c r="BH44" s="161">
        <v>0</v>
      </c>
      <c r="BI44" s="161"/>
      <c r="BJ44" s="161">
        <v>0</v>
      </c>
      <c r="BK44" s="161"/>
      <c r="BL44" s="161"/>
      <c r="BM44" s="161"/>
      <c r="BN44" s="161"/>
      <c r="BO44" s="161"/>
      <c r="BP44" s="161"/>
      <c r="BQ44" s="161"/>
      <c r="BR44" s="161"/>
      <c r="BS44" s="161"/>
      <c r="BT44" s="161"/>
      <c r="BU44" s="161"/>
      <c r="BV44" s="161"/>
      <c r="BW44" s="161"/>
      <c r="BX44" s="161"/>
      <c r="BY44" s="161">
        <f t="shared" si="27"/>
        <v>0</v>
      </c>
      <c r="BZ44" s="161">
        <f t="shared" si="28"/>
        <v>0</v>
      </c>
      <c r="CA44" s="216">
        <f t="shared" si="29"/>
        <v>0</v>
      </c>
      <c r="CC44" s="178">
        <f t="shared" si="33"/>
        <v>0</v>
      </c>
      <c r="CD44" s="178">
        <f t="shared" si="30"/>
        <v>0</v>
      </c>
      <c r="CE44" s="178">
        <f t="shared" si="34"/>
        <v>0</v>
      </c>
      <c r="CF44" s="178">
        <f t="shared" si="35"/>
        <v>0</v>
      </c>
      <c r="CG44" s="178">
        <f t="shared" si="36"/>
        <v>0</v>
      </c>
    </row>
    <row r="45" spans="1:85" ht="14.25" customHeight="1" x14ac:dyDescent="0.2">
      <c r="A45" s="361" t="str">
        <f>+_xlfn.XLOOKUP(B45,'[1]Proyectos (NO FILTRAR)'!$F:$F,'[1]Proyectos (NO FILTRAR)'!$B:$B,0,0,1)</f>
        <v>CH-COD-OU-FEL00-112-A</v>
      </c>
      <c r="B45" s="167" t="s">
        <v>256</v>
      </c>
      <c r="C45" s="155" t="str">
        <f>+_xlfn.XLOOKUP(A45,'[1]Proyectos (NO FILTRAR)'!$B:$B,'[1]Proyectos (NO FILTRAR)'!$G:$G,"error",0,1)</f>
        <v>Chile</v>
      </c>
      <c r="D45" s="155">
        <v>2024</v>
      </c>
      <c r="E45" s="155" t="s">
        <v>358</v>
      </c>
      <c r="F45" s="155" t="s">
        <v>34</v>
      </c>
      <c r="G45" s="207"/>
      <c r="H45" s="207" t="s">
        <v>35</v>
      </c>
      <c r="I45" s="285">
        <f>+_xlfn.XLOOKUP(B45,'[1]Proyectos (NO FILTRAR)'!$F:$F,'[1]Proyectos (NO FILTRAR)'!$O:$O,"!",0,1)</f>
        <v>85362.89</v>
      </c>
      <c r="J45" s="156">
        <f t="shared" si="31"/>
        <v>85362.89</v>
      </c>
      <c r="K45" s="157">
        <f t="shared" si="22"/>
        <v>1</v>
      </c>
      <c r="L45" s="158"/>
      <c r="M45" s="159">
        <f t="shared" si="23"/>
        <v>0</v>
      </c>
      <c r="N45" s="160">
        <f t="shared" si="32"/>
        <v>85362.89</v>
      </c>
      <c r="O45" s="159">
        <f t="shared" si="24"/>
        <v>1</v>
      </c>
      <c r="P45" s="160"/>
      <c r="Q45" s="171">
        <v>75127</v>
      </c>
      <c r="R45" s="199">
        <f>+I45-Q45</f>
        <v>10235.89</v>
      </c>
      <c r="S45" s="204"/>
      <c r="T45" s="202">
        <v>9873</v>
      </c>
      <c r="U45" s="180">
        <v>10235.89</v>
      </c>
      <c r="V45" s="179"/>
      <c r="W45" s="180"/>
      <c r="X45" s="179"/>
      <c r="Y45" s="180"/>
      <c r="Z45" s="179"/>
      <c r="AA45" s="180"/>
      <c r="AB45" s="179"/>
      <c r="AC45" s="180"/>
      <c r="AD45" s="179"/>
      <c r="AE45" s="180"/>
      <c r="AF45" s="179"/>
      <c r="AG45" s="180"/>
      <c r="AH45" s="179"/>
      <c r="AI45" s="180"/>
      <c r="AJ45" s="179"/>
      <c r="AK45" s="173"/>
      <c r="AL45" s="179"/>
      <c r="AM45" s="180"/>
      <c r="AN45" s="179"/>
      <c r="AO45" s="180"/>
      <c r="AP45" s="172"/>
      <c r="AQ45" s="180"/>
      <c r="AR45" s="190">
        <f t="shared" si="25"/>
        <v>9873</v>
      </c>
      <c r="AS45" s="215">
        <f t="shared" si="26"/>
        <v>10235.89</v>
      </c>
      <c r="AT45" s="177"/>
      <c r="AU45" s="161">
        <v>0</v>
      </c>
      <c r="AV45" s="161">
        <v>0</v>
      </c>
      <c r="AW45" s="218"/>
      <c r="AX45" s="218">
        <v>0</v>
      </c>
      <c r="AY45" s="218">
        <v>0</v>
      </c>
      <c r="AZ45" s="218"/>
      <c r="BA45" s="161">
        <v>0</v>
      </c>
      <c r="BB45" s="161"/>
      <c r="BC45" s="161"/>
      <c r="BD45" s="161">
        <v>0</v>
      </c>
      <c r="BE45" s="161">
        <v>0</v>
      </c>
      <c r="BF45" s="161"/>
      <c r="BG45" s="161">
        <v>0</v>
      </c>
      <c r="BH45" s="161">
        <v>0</v>
      </c>
      <c r="BI45" s="161"/>
      <c r="BJ45" s="161">
        <v>0</v>
      </c>
      <c r="BK45" s="161"/>
      <c r="BL45" s="161"/>
      <c r="BM45" s="161"/>
      <c r="BN45" s="161"/>
      <c r="BO45" s="161"/>
      <c r="BP45" s="161"/>
      <c r="BQ45" s="161"/>
      <c r="BR45" s="161"/>
      <c r="BS45" s="161"/>
      <c r="BT45" s="161"/>
      <c r="BU45" s="161"/>
      <c r="BV45" s="161"/>
      <c r="BW45" s="161"/>
      <c r="BX45" s="161"/>
      <c r="BY45" s="161">
        <f t="shared" si="27"/>
        <v>0</v>
      </c>
      <c r="BZ45" s="161">
        <f t="shared" si="28"/>
        <v>0</v>
      </c>
      <c r="CA45" s="216">
        <f t="shared" si="29"/>
        <v>0</v>
      </c>
      <c r="CC45" s="178">
        <f t="shared" si="33"/>
        <v>0</v>
      </c>
      <c r="CD45" s="178">
        <f t="shared" si="30"/>
        <v>0</v>
      </c>
      <c r="CE45" s="178">
        <f t="shared" si="34"/>
        <v>0</v>
      </c>
      <c r="CF45" s="178">
        <f t="shared" si="35"/>
        <v>0</v>
      </c>
      <c r="CG45" s="178">
        <f t="shared" si="36"/>
        <v>0</v>
      </c>
    </row>
    <row r="46" spans="1:85" ht="14.25" customHeight="1" x14ac:dyDescent="0.2">
      <c r="A46" s="361" t="str">
        <f>+_xlfn.XLOOKUP(B46,'[1]Proyectos (NO FILTRAR)'!$F:$F,'[1]Proyectos (NO FILTRAR)'!$B:$B,0,0,1)</f>
        <v>CH-AAM-CS-OTR00-179-A</v>
      </c>
      <c r="B46" s="167" t="s">
        <v>436</v>
      </c>
      <c r="C46" s="155" t="str">
        <f>+_xlfn.XLOOKUP(A46,'[1]Proyectos (NO FILTRAR)'!$B:$B,'[1]Proyectos (NO FILTRAR)'!$G:$G,"error",0,1)</f>
        <v>Chile</v>
      </c>
      <c r="D46" s="155">
        <v>2025</v>
      </c>
      <c r="E46" s="155" t="s">
        <v>358</v>
      </c>
      <c r="F46" s="155" t="s">
        <v>254</v>
      </c>
      <c r="G46" s="207"/>
      <c r="H46" s="207"/>
      <c r="I46" s="285">
        <f>+_xlfn.XLOOKUP(B46,'[1]Proyectos (NO FILTRAR)'!$F:$F,'[1]Proyectos (NO FILTRAR)'!$O:$O,"!",0,1)</f>
        <v>84870</v>
      </c>
      <c r="J46" s="156">
        <f t="shared" si="31"/>
        <v>84870</v>
      </c>
      <c r="K46" s="157">
        <f t="shared" si="22"/>
        <v>1</v>
      </c>
      <c r="L46" s="158"/>
      <c r="M46" s="159">
        <f t="shared" si="23"/>
        <v>0</v>
      </c>
      <c r="N46" s="160">
        <f t="shared" si="32"/>
        <v>84870</v>
      </c>
      <c r="O46" s="159">
        <f t="shared" si="24"/>
        <v>1</v>
      </c>
      <c r="P46" s="160"/>
      <c r="Q46" s="171"/>
      <c r="R46" s="199"/>
      <c r="S46" s="204"/>
      <c r="T46" s="202"/>
      <c r="U46" s="180"/>
      <c r="V46" s="179"/>
      <c r="W46" s="180"/>
      <c r="X46" s="179"/>
      <c r="Y46" s="180"/>
      <c r="Z46" s="179"/>
      <c r="AA46" s="180"/>
      <c r="AB46" s="179"/>
      <c r="AC46" s="180"/>
      <c r="AD46" s="179"/>
      <c r="AE46" s="180"/>
      <c r="AF46" s="179"/>
      <c r="AG46" s="180"/>
      <c r="AH46" s="179"/>
      <c r="AI46" s="180"/>
      <c r="AJ46" s="179"/>
      <c r="AK46" s="176">
        <v>26973</v>
      </c>
      <c r="AL46" s="179">
        <v>45000</v>
      </c>
      <c r="AM46" s="182">
        <v>51957</v>
      </c>
      <c r="AN46" s="179">
        <v>5940</v>
      </c>
      <c r="AO46" s="182">
        <v>5940</v>
      </c>
      <c r="AP46" s="172"/>
      <c r="AQ46" s="180"/>
      <c r="AR46" s="190">
        <f t="shared" si="25"/>
        <v>50940</v>
      </c>
      <c r="AS46" s="215">
        <f t="shared" si="26"/>
        <v>84870</v>
      </c>
      <c r="AT46" s="177"/>
      <c r="AU46" s="161">
        <v>0</v>
      </c>
      <c r="AV46" s="161">
        <v>0</v>
      </c>
      <c r="AW46" s="218"/>
      <c r="AX46" s="218">
        <v>0</v>
      </c>
      <c r="AY46" s="218">
        <v>0</v>
      </c>
      <c r="AZ46" s="218"/>
      <c r="BA46" s="161">
        <v>0</v>
      </c>
      <c r="BB46" s="161"/>
      <c r="BC46" s="161"/>
      <c r="BD46" s="161">
        <v>0</v>
      </c>
      <c r="BE46" s="161">
        <v>0</v>
      </c>
      <c r="BF46" s="161"/>
      <c r="BG46" s="161">
        <v>0</v>
      </c>
      <c r="BH46" s="161">
        <v>0</v>
      </c>
      <c r="BI46" s="161"/>
      <c r="BJ46" s="161">
        <v>0</v>
      </c>
      <c r="BK46" s="161"/>
      <c r="BL46" s="161"/>
      <c r="BM46" s="161"/>
      <c r="BN46" s="161"/>
      <c r="BO46" s="161"/>
      <c r="BP46" s="161"/>
      <c r="BQ46" s="161"/>
      <c r="BR46" s="161"/>
      <c r="BS46" s="161"/>
      <c r="BT46" s="161"/>
      <c r="BU46" s="161"/>
      <c r="BV46" s="161"/>
      <c r="BW46" s="161"/>
      <c r="BX46" s="161"/>
      <c r="BY46" s="161">
        <f t="shared" si="27"/>
        <v>0</v>
      </c>
      <c r="BZ46" s="161">
        <f t="shared" si="28"/>
        <v>0</v>
      </c>
      <c r="CA46" s="216">
        <f t="shared" si="29"/>
        <v>0</v>
      </c>
      <c r="CC46" s="178">
        <f t="shared" si="33"/>
        <v>0</v>
      </c>
      <c r="CD46" s="178">
        <f t="shared" si="30"/>
        <v>0</v>
      </c>
      <c r="CE46" s="178">
        <f t="shared" si="34"/>
        <v>0</v>
      </c>
      <c r="CF46" s="178">
        <f t="shared" si="35"/>
        <v>0</v>
      </c>
      <c r="CG46" s="178">
        <f t="shared" si="36"/>
        <v>0</v>
      </c>
    </row>
    <row r="47" spans="1:85" ht="14.25" customHeight="1" x14ac:dyDescent="0.2">
      <c r="A47" s="361" t="str">
        <f>+_xlfn.XLOOKUP(B47,'[1]Proyectos (NO FILTRAR)'!$F:$F,'[1]Proyectos (NO FILTRAR)'!$B:$B,0,0,1)</f>
        <v>CH-AMS-CS-OTR00-165-A</v>
      </c>
      <c r="B47" s="167" t="s">
        <v>345</v>
      </c>
      <c r="C47" s="155" t="str">
        <f>+_xlfn.XLOOKUP(A47,'[1]Proyectos (NO FILTRAR)'!$B:$B,'[1]Proyectos (NO FILTRAR)'!$G:$G,"error",0,1)</f>
        <v>Chile</v>
      </c>
      <c r="D47" s="155">
        <v>2025</v>
      </c>
      <c r="E47" s="155" t="s">
        <v>358</v>
      </c>
      <c r="F47" s="155" t="s">
        <v>32</v>
      </c>
      <c r="G47" s="207"/>
      <c r="H47" s="207"/>
      <c r="I47" s="285">
        <f>+_xlfn.XLOOKUP(B47,'[1]Proyectos (NO FILTRAR)'!$F:$F,'[1]Proyectos (NO FILTRAR)'!$O:$O,"!",0,1)</f>
        <v>80125</v>
      </c>
      <c r="J47" s="156">
        <f t="shared" si="31"/>
        <v>79751</v>
      </c>
      <c r="K47" s="157">
        <f t="shared" si="22"/>
        <v>0.99533229329173167</v>
      </c>
      <c r="L47" s="158"/>
      <c r="M47" s="159">
        <f t="shared" si="23"/>
        <v>0</v>
      </c>
      <c r="N47" s="160">
        <f t="shared" si="32"/>
        <v>79751</v>
      </c>
      <c r="O47" s="159">
        <f t="shared" si="24"/>
        <v>0.99533229329173167</v>
      </c>
      <c r="P47" s="160"/>
      <c r="Q47" s="171"/>
      <c r="R47" s="199"/>
      <c r="S47" s="204"/>
      <c r="T47" s="202"/>
      <c r="U47" s="180"/>
      <c r="V47" s="179"/>
      <c r="W47" s="180"/>
      <c r="X47" s="179"/>
      <c r="Y47" s="180"/>
      <c r="Z47" s="179"/>
      <c r="AA47" s="180"/>
      <c r="AB47" s="179"/>
      <c r="AC47" s="180"/>
      <c r="AD47" s="179"/>
      <c r="AE47" s="180"/>
      <c r="AF47" s="179"/>
      <c r="AG47" s="180"/>
      <c r="AH47" s="179">
        <v>35000</v>
      </c>
      <c r="AI47" s="180"/>
      <c r="AJ47" s="179">
        <v>45000</v>
      </c>
      <c r="AK47" s="173"/>
      <c r="AL47" s="179">
        <v>40000</v>
      </c>
      <c r="AM47" s="182">
        <v>54264</v>
      </c>
      <c r="AN47" s="179">
        <v>25861</v>
      </c>
      <c r="AO47" s="182">
        <v>0</v>
      </c>
      <c r="AP47" s="172"/>
      <c r="AQ47" s="180"/>
      <c r="AR47" s="190">
        <f t="shared" si="25"/>
        <v>145861</v>
      </c>
      <c r="AS47" s="215">
        <f t="shared" si="26"/>
        <v>54264</v>
      </c>
      <c r="AT47" s="177"/>
      <c r="AU47" s="161">
        <v>0</v>
      </c>
      <c r="AV47" s="161">
        <v>0</v>
      </c>
      <c r="AW47" s="287">
        <v>0</v>
      </c>
      <c r="AX47" s="218">
        <v>0</v>
      </c>
      <c r="AY47" s="218">
        <v>25861</v>
      </c>
      <c r="AZ47" s="287">
        <v>25487</v>
      </c>
      <c r="BA47" s="161">
        <v>0</v>
      </c>
      <c r="BB47" s="161"/>
      <c r="BC47" s="161"/>
      <c r="BD47" s="161">
        <v>0</v>
      </c>
      <c r="BE47" s="161">
        <v>0</v>
      </c>
      <c r="BF47" s="161"/>
      <c r="BG47" s="161">
        <v>0</v>
      </c>
      <c r="BH47" s="161">
        <v>0</v>
      </c>
      <c r="BI47" s="161"/>
      <c r="BJ47" s="161">
        <v>0</v>
      </c>
      <c r="BK47" s="161"/>
      <c r="BL47" s="161"/>
      <c r="BM47" s="161"/>
      <c r="BN47" s="161"/>
      <c r="BO47" s="161"/>
      <c r="BP47" s="161"/>
      <c r="BQ47" s="161"/>
      <c r="BR47" s="161"/>
      <c r="BS47" s="161"/>
      <c r="BT47" s="161"/>
      <c r="BU47" s="161"/>
      <c r="BV47" s="161"/>
      <c r="BW47" s="161"/>
      <c r="BX47" s="161"/>
      <c r="BY47" s="161">
        <f t="shared" si="27"/>
        <v>0</v>
      </c>
      <c r="BZ47" s="161">
        <f t="shared" si="28"/>
        <v>25861</v>
      </c>
      <c r="CA47" s="216">
        <f t="shared" si="29"/>
        <v>25487</v>
      </c>
      <c r="CC47" s="178">
        <f t="shared" si="33"/>
        <v>0</v>
      </c>
      <c r="CD47" s="178">
        <f t="shared" si="30"/>
        <v>0</v>
      </c>
      <c r="CE47" s="178">
        <f t="shared" si="34"/>
        <v>0</v>
      </c>
      <c r="CF47" s="178">
        <f t="shared" si="35"/>
        <v>0</v>
      </c>
      <c r="CG47" s="178">
        <f t="shared" si="36"/>
        <v>0</v>
      </c>
    </row>
    <row r="48" spans="1:85" ht="14.25" customHeight="1" x14ac:dyDescent="0.2">
      <c r="A48" s="361" t="str">
        <f>+_xlfn.XLOOKUP(B48,'[1]Proyectos (NO FILTRAR)'!$F:$F,'[1]Proyectos (NO FILTRAR)'!$B:$B,0,0,1)</f>
        <v>BR-MOS-OP-FEL2A-102-A</v>
      </c>
      <c r="B48" s="167" t="s">
        <v>225</v>
      </c>
      <c r="C48" s="155" t="str">
        <f>+_xlfn.XLOOKUP(A48,'[1]Proyectos (NO FILTRAR)'!$B:$B,'[1]Proyectos (NO FILTRAR)'!$G:$G,"error",0,1)</f>
        <v>Brasil</v>
      </c>
      <c r="D48" s="155">
        <v>2024</v>
      </c>
      <c r="E48" s="155" t="s">
        <v>358</v>
      </c>
      <c r="F48" s="155" t="s">
        <v>162</v>
      </c>
      <c r="G48" s="207"/>
      <c r="H48" s="207"/>
      <c r="I48" s="285">
        <f>+_xlfn.XLOOKUP(B48,'[1]Proyectos (NO FILTRAR)'!$F:$F,'[1]Proyectos (NO FILTRAR)'!$O:$O,"!",0,1)</f>
        <v>79900</v>
      </c>
      <c r="J48" s="156">
        <f t="shared" si="31"/>
        <v>75129</v>
      </c>
      <c r="K48" s="157">
        <f t="shared" ref="K48:K79" si="38">+IFERROR(J48/I48,0)</f>
        <v>0.94028785982478102</v>
      </c>
      <c r="L48" s="158"/>
      <c r="M48" s="159">
        <f t="shared" ref="M48:M79" si="39">+IFERROR(L48/I48,0)</f>
        <v>0</v>
      </c>
      <c r="N48" s="160">
        <f t="shared" si="32"/>
        <v>75129</v>
      </c>
      <c r="O48" s="159">
        <f t="shared" ref="O48:O79" si="40">IFERROR(N48/I48,0)</f>
        <v>0.94028785982478102</v>
      </c>
      <c r="P48" s="186"/>
      <c r="Q48" s="171">
        <v>75129</v>
      </c>
      <c r="R48" s="199">
        <f>+I48-Q48</f>
        <v>4771</v>
      </c>
      <c r="S48" s="204"/>
      <c r="T48" s="202"/>
      <c r="U48" s="180"/>
      <c r="V48" s="179">
        <f>_xlfn.XLOOKUP(B48,'[4]Resumen EDP POM'!$B:$B,'[4]Resumen EDP POM'!$E:$E,"!",0,1)</f>
        <v>5000</v>
      </c>
      <c r="W48" s="180"/>
      <c r="X48" s="179">
        <v>5000</v>
      </c>
      <c r="Y48" s="180"/>
      <c r="Z48" s="179"/>
      <c r="AA48" s="180"/>
      <c r="AB48" s="179"/>
      <c r="AC48" s="180"/>
      <c r="AD48" s="179"/>
      <c r="AE48" s="180"/>
      <c r="AF48" s="179"/>
      <c r="AG48" s="180"/>
      <c r="AH48" s="179"/>
      <c r="AI48" s="180"/>
      <c r="AJ48" s="179"/>
      <c r="AK48" s="173"/>
      <c r="AL48" s="179"/>
      <c r="AM48" s="180"/>
      <c r="AN48" s="179"/>
      <c r="AO48" s="185"/>
      <c r="AP48" s="172"/>
      <c r="AQ48" s="180"/>
      <c r="AR48" s="190">
        <f t="shared" ref="AR48:AR79" si="41">+SUM(T48,V48,X48,Z48,AB48,AD48,AF48,AH48,AJ48,AL48,AN48,AP48)</f>
        <v>10000</v>
      </c>
      <c r="AS48" s="215">
        <f t="shared" ref="AS48:AS79" si="42">+SUM(U48,W48,Y48,AA48,AC48,AE48,AG48,AI48,AK48,AM48,AO48,AQ48)</f>
        <v>0</v>
      </c>
      <c r="AT48" s="177"/>
      <c r="AU48" s="161">
        <v>0</v>
      </c>
      <c r="AV48" s="161">
        <v>0</v>
      </c>
      <c r="AW48" s="218"/>
      <c r="AX48" s="218">
        <v>0</v>
      </c>
      <c r="AY48" s="218">
        <v>0</v>
      </c>
      <c r="AZ48" s="218"/>
      <c r="BA48" s="161">
        <v>0</v>
      </c>
      <c r="BB48" s="161"/>
      <c r="BC48" s="161"/>
      <c r="BD48" s="161">
        <v>0</v>
      </c>
      <c r="BE48" s="161">
        <v>0</v>
      </c>
      <c r="BF48" s="161"/>
      <c r="BG48" s="161">
        <v>0</v>
      </c>
      <c r="BH48" s="161">
        <v>0</v>
      </c>
      <c r="BI48" s="161"/>
      <c r="BJ48" s="161">
        <v>0</v>
      </c>
      <c r="BK48" s="161"/>
      <c r="BL48" s="161"/>
      <c r="BM48" s="161"/>
      <c r="BN48" s="161"/>
      <c r="BO48" s="161"/>
      <c r="BP48" s="161"/>
      <c r="BQ48" s="161"/>
      <c r="BR48" s="161"/>
      <c r="BS48" s="161"/>
      <c r="BT48" s="161"/>
      <c r="BU48" s="161"/>
      <c r="BV48" s="161"/>
      <c r="BW48" s="161"/>
      <c r="BX48" s="161"/>
      <c r="BY48" s="161">
        <f t="shared" ref="BY48:BY79" si="43">+SUM(AU48,AX48,BA48,BD48,BG48,BJ48,BM48,BO48,BQ48,BS48,BU48,BW48)</f>
        <v>0</v>
      </c>
      <c r="BZ48" s="161">
        <f t="shared" ref="BZ48:BZ79" si="44">+AV48+AY48</f>
        <v>0</v>
      </c>
      <c r="CA48" s="216">
        <f t="shared" si="29"/>
        <v>0</v>
      </c>
      <c r="CC48" s="178">
        <f t="shared" si="33"/>
        <v>0</v>
      </c>
      <c r="CD48" s="178">
        <f t="shared" si="30"/>
        <v>0</v>
      </c>
      <c r="CE48" s="178">
        <f t="shared" si="34"/>
        <v>0</v>
      </c>
      <c r="CF48" s="178">
        <f t="shared" si="35"/>
        <v>0</v>
      </c>
      <c r="CG48" s="178">
        <f t="shared" si="36"/>
        <v>0</v>
      </c>
    </row>
    <row r="49" spans="1:85" ht="14.25" customHeight="1" x14ac:dyDescent="0.2">
      <c r="A49" s="361" t="str">
        <f>+_xlfn.XLOOKUP(B49,'[1]Proyectos (NO FILTRAR)'!$F:$F,'[1]Proyectos (NO FILTRAR)'!$B:$B,0,0,1)</f>
        <v>BR-CBM-CS-OTR00-164-A</v>
      </c>
      <c r="B49" s="167" t="s">
        <v>344</v>
      </c>
      <c r="C49" s="155" t="str">
        <f>+_xlfn.XLOOKUP(A49,'[1]Proyectos (NO FILTRAR)'!$B:$B,'[1]Proyectos (NO FILTRAR)'!$G:$G,"error",0,1)</f>
        <v>Brasil</v>
      </c>
      <c r="D49" s="155">
        <v>2025</v>
      </c>
      <c r="E49" s="155" t="s">
        <v>358</v>
      </c>
      <c r="F49" s="155" t="s">
        <v>33</v>
      </c>
      <c r="G49" s="207"/>
      <c r="H49" s="207"/>
      <c r="I49" s="285">
        <f>+_xlfn.XLOOKUP(B49,'[1]Proyectos (NO FILTRAR)'!$F:$F,'[1]Proyectos (NO FILTRAR)'!$O:$O,"!",0,1)</f>
        <v>80293</v>
      </c>
      <c r="J49" s="156">
        <f t="shared" si="31"/>
        <v>80293</v>
      </c>
      <c r="K49" s="157">
        <f t="shared" si="38"/>
        <v>1</v>
      </c>
      <c r="L49" s="158"/>
      <c r="M49" s="159">
        <f t="shared" si="39"/>
        <v>0</v>
      </c>
      <c r="N49" s="160">
        <f t="shared" si="32"/>
        <v>80293</v>
      </c>
      <c r="O49" s="159">
        <f t="shared" si="40"/>
        <v>1</v>
      </c>
      <c r="P49" s="160"/>
      <c r="Q49" s="171"/>
      <c r="R49" s="199"/>
      <c r="S49" s="204"/>
      <c r="T49" s="202"/>
      <c r="U49" s="180"/>
      <c r="V49" s="179"/>
      <c r="W49" s="180"/>
      <c r="X49" s="179"/>
      <c r="Y49" s="180"/>
      <c r="Z49" s="179"/>
      <c r="AA49" s="180"/>
      <c r="AB49" s="179"/>
      <c r="AC49" s="180"/>
      <c r="AD49" s="179"/>
      <c r="AE49" s="180"/>
      <c r="AF49" s="179"/>
      <c r="AG49" s="180"/>
      <c r="AH49" s="179">
        <v>26162</v>
      </c>
      <c r="AI49" s="180">
        <v>0</v>
      </c>
      <c r="AJ49" s="179">
        <v>24591.928915662651</v>
      </c>
      <c r="AK49" s="176">
        <v>28949</v>
      </c>
      <c r="AL49" s="179">
        <v>28600</v>
      </c>
      <c r="AM49" s="182">
        <v>31572</v>
      </c>
      <c r="AN49" s="179">
        <v>11780</v>
      </c>
      <c r="AO49" s="182">
        <v>11994</v>
      </c>
      <c r="AP49" s="172"/>
      <c r="AQ49" s="180"/>
      <c r="AR49" s="190">
        <f t="shared" si="41"/>
        <v>91133.928915662647</v>
      </c>
      <c r="AS49" s="215">
        <f t="shared" si="42"/>
        <v>72515</v>
      </c>
      <c r="AT49" s="177"/>
      <c r="AU49" s="330">
        <v>0</v>
      </c>
      <c r="AV49" s="330">
        <v>7778</v>
      </c>
      <c r="AW49" s="359">
        <v>7778</v>
      </c>
      <c r="AX49" s="218">
        <v>0</v>
      </c>
      <c r="AY49" s="218">
        <v>0</v>
      </c>
      <c r="AZ49" s="218"/>
      <c r="BA49" s="161">
        <v>0</v>
      </c>
      <c r="BB49" s="161"/>
      <c r="BC49" s="161"/>
      <c r="BD49" s="161">
        <v>0</v>
      </c>
      <c r="BE49" s="161">
        <v>0</v>
      </c>
      <c r="BF49" s="161"/>
      <c r="BG49" s="161">
        <v>0</v>
      </c>
      <c r="BH49" s="161">
        <v>0</v>
      </c>
      <c r="BI49" s="161"/>
      <c r="BJ49" s="161">
        <v>0</v>
      </c>
      <c r="BK49" s="161"/>
      <c r="BL49" s="161"/>
      <c r="BM49" s="161"/>
      <c r="BN49" s="161"/>
      <c r="BO49" s="161"/>
      <c r="BP49" s="161"/>
      <c r="BQ49" s="161"/>
      <c r="BR49" s="161"/>
      <c r="BS49" s="161"/>
      <c r="BT49" s="161"/>
      <c r="BU49" s="161"/>
      <c r="BV49" s="161"/>
      <c r="BW49" s="161"/>
      <c r="BX49" s="161"/>
      <c r="BY49" s="161">
        <f t="shared" si="43"/>
        <v>0</v>
      </c>
      <c r="BZ49" s="161">
        <f t="shared" si="44"/>
        <v>7778</v>
      </c>
      <c r="CA49" s="216">
        <f t="shared" si="29"/>
        <v>7778</v>
      </c>
      <c r="CC49" s="178">
        <f t="shared" si="33"/>
        <v>0</v>
      </c>
      <c r="CD49" s="178">
        <f>+IF(AND(AX49&gt;0,AZ49=0),0,IF(AX49=0,0,IF(AZ49&gt;=AX49,1,AZ49/AX49)))</f>
        <v>0</v>
      </c>
      <c r="CE49" s="178">
        <f t="shared" si="34"/>
        <v>0</v>
      </c>
      <c r="CF49" s="178">
        <f t="shared" si="35"/>
        <v>0</v>
      </c>
      <c r="CG49" s="178">
        <f t="shared" si="36"/>
        <v>0</v>
      </c>
    </row>
    <row r="50" spans="1:85" ht="14.25" customHeight="1" x14ac:dyDescent="0.2">
      <c r="A50" s="361" t="str">
        <f>+_xlfn.XLOOKUP(B50,'[1]Proyectos (NO FILTRAR)'!$F:$F,'[1]Proyectos (NO FILTRAR)'!$B:$B,0,0,1)</f>
        <v>CH-BHP-OP-FEL00-103-A</v>
      </c>
      <c r="B50" s="167" t="s">
        <v>227</v>
      </c>
      <c r="C50" s="155" t="str">
        <f>+_xlfn.XLOOKUP(A50,'[1]Proyectos (NO FILTRAR)'!$B:$B,'[1]Proyectos (NO FILTRAR)'!$G:$G,"error",0,1)</f>
        <v>Chile</v>
      </c>
      <c r="D50" s="155">
        <v>2024</v>
      </c>
      <c r="E50" s="155" t="s">
        <v>358</v>
      </c>
      <c r="F50" s="155" t="s">
        <v>32</v>
      </c>
      <c r="G50" s="207"/>
      <c r="H50" s="207" t="s">
        <v>29</v>
      </c>
      <c r="I50" s="285">
        <f>+_xlfn.XLOOKUP(B50,'[1]Proyectos (NO FILTRAR)'!$F:$F,'[1]Proyectos (NO FILTRAR)'!$O:$O,"!",0,1)</f>
        <v>70000</v>
      </c>
      <c r="J50" s="156">
        <f t="shared" si="31"/>
        <v>46205</v>
      </c>
      <c r="K50" s="157">
        <f t="shared" si="38"/>
        <v>0.66007142857142853</v>
      </c>
      <c r="L50" s="158"/>
      <c r="M50" s="159">
        <f t="shared" si="39"/>
        <v>0</v>
      </c>
      <c r="N50" s="160">
        <f t="shared" si="32"/>
        <v>46205</v>
      </c>
      <c r="O50" s="159">
        <f t="shared" si="40"/>
        <v>0.66007142857142853</v>
      </c>
      <c r="P50" s="186"/>
      <c r="Q50" s="171">
        <v>46205</v>
      </c>
      <c r="R50" s="199">
        <f>+I50-Q50</f>
        <v>23795</v>
      </c>
      <c r="S50" s="204"/>
      <c r="T50" s="202">
        <v>23527</v>
      </c>
      <c r="U50" s="180"/>
      <c r="V50" s="179">
        <f>_xlfn.XLOOKUP(B50,'[4]Resumen EDP POM'!$B:$B,'[4]Resumen EDP POM'!$E:$E,"!",0,1)</f>
        <v>23528</v>
      </c>
      <c r="W50" s="180"/>
      <c r="X50" s="179"/>
      <c r="Y50" s="180"/>
      <c r="Z50" s="179"/>
      <c r="AA50" s="180"/>
      <c r="AB50" s="179"/>
      <c r="AC50" s="180"/>
      <c r="AD50" s="179"/>
      <c r="AE50" s="180"/>
      <c r="AF50" s="179"/>
      <c r="AG50" s="180"/>
      <c r="AH50" s="179"/>
      <c r="AI50" s="180"/>
      <c r="AJ50" s="179"/>
      <c r="AK50" s="173"/>
      <c r="AL50" s="179"/>
      <c r="AM50" s="180"/>
      <c r="AN50" s="179"/>
      <c r="AO50" s="180"/>
      <c r="AP50" s="172"/>
      <c r="AQ50" s="180"/>
      <c r="AR50" s="190">
        <f t="shared" si="41"/>
        <v>47055</v>
      </c>
      <c r="AS50" s="215">
        <f t="shared" si="42"/>
        <v>0</v>
      </c>
      <c r="AT50" s="177"/>
      <c r="AU50" s="161">
        <v>0</v>
      </c>
      <c r="AV50" s="161">
        <v>0</v>
      </c>
      <c r="AW50" s="218"/>
      <c r="AX50" s="218">
        <v>0</v>
      </c>
      <c r="AY50" s="218">
        <v>0</v>
      </c>
      <c r="AZ50" s="218"/>
      <c r="BA50" s="161">
        <v>0</v>
      </c>
      <c r="BB50" s="161"/>
      <c r="BC50" s="161"/>
      <c r="BD50" s="161">
        <v>0</v>
      </c>
      <c r="BE50" s="161">
        <v>0</v>
      </c>
      <c r="BF50" s="161"/>
      <c r="BG50" s="161">
        <v>0</v>
      </c>
      <c r="BH50" s="161">
        <v>0</v>
      </c>
      <c r="BI50" s="161"/>
      <c r="BJ50" s="161">
        <v>0</v>
      </c>
      <c r="BK50" s="161"/>
      <c r="BL50" s="161"/>
      <c r="BM50" s="161"/>
      <c r="BN50" s="161"/>
      <c r="BO50" s="161"/>
      <c r="BP50" s="161"/>
      <c r="BQ50" s="161"/>
      <c r="BR50" s="161"/>
      <c r="BS50" s="161"/>
      <c r="BT50" s="161"/>
      <c r="BU50" s="161"/>
      <c r="BV50" s="161"/>
      <c r="BW50" s="161"/>
      <c r="BX50" s="161"/>
      <c r="BY50" s="161">
        <f t="shared" si="43"/>
        <v>0</v>
      </c>
      <c r="BZ50" s="161">
        <f t="shared" si="44"/>
        <v>0</v>
      </c>
      <c r="CA50" s="216">
        <f t="shared" si="29"/>
        <v>0</v>
      </c>
      <c r="CC50" s="178">
        <f t="shared" si="33"/>
        <v>0</v>
      </c>
      <c r="CD50" s="178">
        <f t="shared" ref="CD50:CD102" si="45">+IF(AND(AX50&gt;0,AZ50=0),0,IF(AX50=0,0,IF(AZ50&gt;=AX50,1,AZ50/AX50)))</f>
        <v>0</v>
      </c>
      <c r="CE50" s="178">
        <f t="shared" si="34"/>
        <v>0</v>
      </c>
      <c r="CF50" s="178">
        <f t="shared" si="35"/>
        <v>0</v>
      </c>
      <c r="CG50" s="178">
        <f t="shared" si="36"/>
        <v>0</v>
      </c>
    </row>
    <row r="51" spans="1:85" ht="14.25" customHeight="1" x14ac:dyDescent="0.2">
      <c r="A51" s="361" t="str">
        <f>+_xlfn.XLOOKUP(B51,'[1]Proyectos (NO FILTRAR)'!$F:$F,'[1]Proyectos (NO FILTRAR)'!$B:$B,0,0,1)</f>
        <v>CH-COD-CS-OTR00-129-A</v>
      </c>
      <c r="B51" s="167" t="s">
        <v>280</v>
      </c>
      <c r="C51" s="155" t="str">
        <f>+_xlfn.XLOOKUP(A51,'[1]Proyectos (NO FILTRAR)'!$B:$B,'[1]Proyectos (NO FILTRAR)'!$G:$G,"error",0,1)</f>
        <v>Chile</v>
      </c>
      <c r="D51" s="155">
        <v>2024</v>
      </c>
      <c r="E51" s="155" t="s">
        <v>358</v>
      </c>
      <c r="F51" s="155" t="s">
        <v>34</v>
      </c>
      <c r="G51" s="207"/>
      <c r="H51" s="207"/>
      <c r="I51" s="285">
        <f>+_xlfn.XLOOKUP(B51,'[1]Proyectos (NO FILTRAR)'!$F:$F,'[1]Proyectos (NO FILTRAR)'!$O:$O,"!",0,1)</f>
        <v>63381.369999999995</v>
      </c>
      <c r="J51" s="156">
        <f t="shared" si="31"/>
        <v>63381.369999999995</v>
      </c>
      <c r="K51" s="157">
        <f t="shared" si="38"/>
        <v>1</v>
      </c>
      <c r="L51" s="158"/>
      <c r="M51" s="159">
        <f t="shared" si="39"/>
        <v>0</v>
      </c>
      <c r="N51" s="160">
        <f t="shared" si="32"/>
        <v>63381.369999999995</v>
      </c>
      <c r="O51" s="159">
        <f t="shared" si="40"/>
        <v>1</v>
      </c>
      <c r="P51" s="186"/>
      <c r="Q51" s="171">
        <v>23268</v>
      </c>
      <c r="R51" s="199">
        <f>+I51-Q51</f>
        <v>40113.369999999995</v>
      </c>
      <c r="S51" s="204"/>
      <c r="T51" s="202">
        <v>49524</v>
      </c>
      <c r="U51" s="180">
        <v>28753.37</v>
      </c>
      <c r="V51" s="179">
        <f>_xlfn.XLOOKUP(B51,'[4]Resumen EDP POM'!$B:$B,'[4]Resumen EDP POM'!$E:$E,"!",0,1)</f>
        <v>20771</v>
      </c>
      <c r="W51" s="181">
        <v>11360</v>
      </c>
      <c r="X51" s="179"/>
      <c r="Y51" s="180"/>
      <c r="Z51" s="179"/>
      <c r="AA51" s="180"/>
      <c r="AB51" s="179"/>
      <c r="AC51" s="180"/>
      <c r="AD51" s="179"/>
      <c r="AE51" s="180"/>
      <c r="AF51" s="179"/>
      <c r="AG51" s="180"/>
      <c r="AH51" s="179"/>
      <c r="AI51" s="180"/>
      <c r="AJ51" s="179"/>
      <c r="AK51" s="173"/>
      <c r="AL51" s="179"/>
      <c r="AM51" s="180"/>
      <c r="AN51" s="179"/>
      <c r="AO51" s="180"/>
      <c r="AP51" s="172"/>
      <c r="AQ51" s="180"/>
      <c r="AR51" s="190">
        <f t="shared" si="41"/>
        <v>70295</v>
      </c>
      <c r="AS51" s="215">
        <f t="shared" si="42"/>
        <v>40113.369999999995</v>
      </c>
      <c r="AT51" s="177"/>
      <c r="AU51" s="161">
        <v>0</v>
      </c>
      <c r="AV51" s="161">
        <v>0</v>
      </c>
      <c r="AW51" s="218"/>
      <c r="AX51" s="218">
        <v>0</v>
      </c>
      <c r="AY51" s="218">
        <v>0</v>
      </c>
      <c r="AZ51" s="218"/>
      <c r="BA51" s="161">
        <v>0</v>
      </c>
      <c r="BB51" s="161"/>
      <c r="BC51" s="161"/>
      <c r="BD51" s="161">
        <v>0</v>
      </c>
      <c r="BE51" s="161">
        <v>0</v>
      </c>
      <c r="BF51" s="161"/>
      <c r="BG51" s="161">
        <v>0</v>
      </c>
      <c r="BH51" s="161">
        <v>0</v>
      </c>
      <c r="BI51" s="161"/>
      <c r="BJ51" s="161">
        <v>0</v>
      </c>
      <c r="BK51" s="161"/>
      <c r="BL51" s="161"/>
      <c r="BM51" s="161"/>
      <c r="BN51" s="161"/>
      <c r="BO51" s="161"/>
      <c r="BP51" s="161"/>
      <c r="BQ51" s="161"/>
      <c r="BR51" s="161"/>
      <c r="BS51" s="161"/>
      <c r="BT51" s="161"/>
      <c r="BU51" s="161"/>
      <c r="BV51" s="161"/>
      <c r="BW51" s="161"/>
      <c r="BX51" s="161"/>
      <c r="BY51" s="161">
        <f t="shared" si="43"/>
        <v>0</v>
      </c>
      <c r="BZ51" s="161">
        <f t="shared" si="44"/>
        <v>0</v>
      </c>
      <c r="CA51" s="216">
        <f t="shared" si="29"/>
        <v>0</v>
      </c>
      <c r="CC51" s="178">
        <f t="shared" si="33"/>
        <v>0</v>
      </c>
      <c r="CD51" s="178">
        <f t="shared" si="45"/>
        <v>0</v>
      </c>
      <c r="CE51" s="178">
        <f t="shared" si="34"/>
        <v>0</v>
      </c>
      <c r="CF51" s="178">
        <f t="shared" si="35"/>
        <v>0</v>
      </c>
      <c r="CG51" s="178">
        <f t="shared" si="36"/>
        <v>0</v>
      </c>
    </row>
    <row r="52" spans="1:85" ht="14.25" customHeight="1" x14ac:dyDescent="0.2">
      <c r="A52" s="361" t="str">
        <f>+_xlfn.XLOOKUP(B52,'[1]Proyectos (NO FILTRAR)'!$F:$F,'[1]Proyectos (NO FILTRAR)'!$B:$B,0,0,1)</f>
        <v>CH-AAM-CS-OTR00-146-A</v>
      </c>
      <c r="B52" s="167" t="s">
        <v>307</v>
      </c>
      <c r="C52" s="155" t="str">
        <f>+_xlfn.XLOOKUP(A52,'[1]Proyectos (NO FILTRAR)'!$B:$B,'[1]Proyectos (NO FILTRAR)'!$G:$G,"error",0,1)</f>
        <v>Chile</v>
      </c>
      <c r="D52" s="155">
        <v>2025</v>
      </c>
      <c r="E52" s="155" t="s">
        <v>358</v>
      </c>
      <c r="F52" s="155" t="s">
        <v>32</v>
      </c>
      <c r="G52" s="207"/>
      <c r="H52" s="207"/>
      <c r="I52" s="285">
        <f>+_xlfn.XLOOKUP(B52,'[1]Proyectos (NO FILTRAR)'!$F:$F,'[1]Proyectos (NO FILTRAR)'!$O:$O,"!",0,1)</f>
        <v>62417</v>
      </c>
      <c r="J52" s="156">
        <f t="shared" si="31"/>
        <v>62417</v>
      </c>
      <c r="K52" s="157">
        <f t="shared" si="38"/>
        <v>1</v>
      </c>
      <c r="L52" s="158"/>
      <c r="M52" s="159">
        <f t="shared" si="39"/>
        <v>0</v>
      </c>
      <c r="N52" s="160">
        <f t="shared" si="32"/>
        <v>62417</v>
      </c>
      <c r="O52" s="159">
        <f t="shared" si="40"/>
        <v>1</v>
      </c>
      <c r="P52" s="160"/>
      <c r="Q52" s="171"/>
      <c r="R52" s="199"/>
      <c r="S52" s="204"/>
      <c r="T52" s="202"/>
      <c r="U52" s="180"/>
      <c r="V52" s="179"/>
      <c r="W52" s="180"/>
      <c r="X52" s="179">
        <v>34964.851063829781</v>
      </c>
      <c r="Y52" s="180"/>
      <c r="Z52" s="179">
        <v>42701.489361702123</v>
      </c>
      <c r="AA52" s="180">
        <v>62417</v>
      </c>
      <c r="AB52" s="179">
        <v>6227.1999999999971</v>
      </c>
      <c r="AC52" s="180"/>
      <c r="AD52" s="179"/>
      <c r="AE52" s="180"/>
      <c r="AF52" s="179"/>
      <c r="AG52" s="180"/>
      <c r="AH52" s="179"/>
      <c r="AI52" s="180"/>
      <c r="AJ52" s="179"/>
      <c r="AK52" s="180"/>
      <c r="AL52" s="179"/>
      <c r="AM52" s="180"/>
      <c r="AN52" s="179"/>
      <c r="AO52" s="185"/>
      <c r="AP52" s="172"/>
      <c r="AQ52" s="180"/>
      <c r="AR52" s="190">
        <f t="shared" si="41"/>
        <v>83893.540425531901</v>
      </c>
      <c r="AS52" s="215">
        <f t="shared" si="42"/>
        <v>62417</v>
      </c>
      <c r="AT52" s="177"/>
      <c r="AU52" s="161">
        <v>0</v>
      </c>
      <c r="AV52" s="161">
        <v>0</v>
      </c>
      <c r="AW52" s="218"/>
      <c r="AX52" s="218">
        <v>0</v>
      </c>
      <c r="AY52" s="218">
        <v>0</v>
      </c>
      <c r="AZ52" s="218"/>
      <c r="BA52" s="161">
        <v>0</v>
      </c>
      <c r="BB52" s="161"/>
      <c r="BC52" s="161"/>
      <c r="BD52" s="161">
        <v>0</v>
      </c>
      <c r="BE52" s="161">
        <v>0</v>
      </c>
      <c r="BF52" s="161"/>
      <c r="BG52" s="161">
        <v>0</v>
      </c>
      <c r="BH52" s="161">
        <v>0</v>
      </c>
      <c r="BI52" s="161"/>
      <c r="BJ52" s="161">
        <v>0</v>
      </c>
      <c r="BK52" s="161"/>
      <c r="BL52" s="161"/>
      <c r="BM52" s="161"/>
      <c r="BN52" s="161"/>
      <c r="BO52" s="161"/>
      <c r="BP52" s="161"/>
      <c r="BQ52" s="161"/>
      <c r="BR52" s="161"/>
      <c r="BS52" s="161"/>
      <c r="BT52" s="161"/>
      <c r="BU52" s="161"/>
      <c r="BV52" s="161"/>
      <c r="BW52" s="161"/>
      <c r="BX52" s="161"/>
      <c r="BY52" s="161">
        <f t="shared" si="43"/>
        <v>0</v>
      </c>
      <c r="BZ52" s="161">
        <f t="shared" si="44"/>
        <v>0</v>
      </c>
      <c r="CA52" s="216">
        <f t="shared" si="29"/>
        <v>0</v>
      </c>
      <c r="CC52" s="178">
        <f t="shared" si="33"/>
        <v>0</v>
      </c>
      <c r="CD52" s="178">
        <f t="shared" si="45"/>
        <v>0</v>
      </c>
      <c r="CE52" s="178">
        <f t="shared" si="34"/>
        <v>0</v>
      </c>
      <c r="CF52" s="178">
        <f t="shared" si="35"/>
        <v>0</v>
      </c>
      <c r="CG52" s="178">
        <f t="shared" si="36"/>
        <v>0</v>
      </c>
    </row>
    <row r="53" spans="1:85" ht="14.25" customHeight="1" x14ac:dyDescent="0.2">
      <c r="A53" s="361" t="str">
        <f>+_xlfn.XLOOKUP(B53,'[1]Proyectos (NO FILTRAR)'!$F:$F,'[1]Proyectos (NO FILTRAR)'!$B:$B,0,0,1)</f>
        <v>BR-MOS-CS-OTR00-115-A</v>
      </c>
      <c r="B53" s="167" t="s">
        <v>264</v>
      </c>
      <c r="C53" s="155" t="str">
        <f>+_xlfn.XLOOKUP(A53,'[1]Proyectos (NO FILTRAR)'!$B:$B,'[1]Proyectos (NO FILTRAR)'!$G:$G,"error",0,1)</f>
        <v>Brasil</v>
      </c>
      <c r="D53" s="155">
        <v>2024</v>
      </c>
      <c r="E53" s="155" t="s">
        <v>358</v>
      </c>
      <c r="F53" s="155" t="s">
        <v>33</v>
      </c>
      <c r="G53" s="207"/>
      <c r="H53" s="207" t="s">
        <v>266</v>
      </c>
      <c r="I53" s="285">
        <f>+_xlfn.XLOOKUP(B53,'[1]Proyectos (NO FILTRAR)'!$F:$F,'[1]Proyectos (NO FILTRAR)'!$O:$O,"!",0,1)</f>
        <v>60100.34</v>
      </c>
      <c r="J53" s="156">
        <f t="shared" si="31"/>
        <v>60100.34</v>
      </c>
      <c r="K53" s="157">
        <f t="shared" si="38"/>
        <v>1</v>
      </c>
      <c r="L53" s="158"/>
      <c r="M53" s="159">
        <f t="shared" si="39"/>
        <v>0</v>
      </c>
      <c r="N53" s="160">
        <f t="shared" si="32"/>
        <v>60100.34</v>
      </c>
      <c r="O53" s="159">
        <f t="shared" si="40"/>
        <v>1</v>
      </c>
      <c r="P53" s="186"/>
      <c r="Q53" s="171">
        <v>25514</v>
      </c>
      <c r="R53" s="199">
        <f>+I53-Q53</f>
        <v>34586.339999999997</v>
      </c>
      <c r="S53" s="204"/>
      <c r="T53" s="202">
        <v>21800</v>
      </c>
      <c r="U53" s="180">
        <v>21816</v>
      </c>
      <c r="V53" s="179">
        <f>_xlfn.XLOOKUP(B53,'[4]Resumen EDP POM'!$B:$B,'[4]Resumen EDP POM'!$E:$E,"!",0,1)</f>
        <v>16055.2</v>
      </c>
      <c r="W53" s="181">
        <v>12770.34</v>
      </c>
      <c r="X53" s="179"/>
      <c r="Y53" s="180"/>
      <c r="Z53" s="179"/>
      <c r="AA53" s="180"/>
      <c r="AB53" s="179"/>
      <c r="AC53" s="180"/>
      <c r="AD53" s="179"/>
      <c r="AE53" s="180"/>
      <c r="AF53" s="179"/>
      <c r="AG53" s="180"/>
      <c r="AH53" s="179"/>
      <c r="AI53" s="180"/>
      <c r="AJ53" s="179"/>
      <c r="AK53" s="173"/>
      <c r="AL53" s="179"/>
      <c r="AM53" s="180"/>
      <c r="AN53" s="179"/>
      <c r="AO53" s="185"/>
      <c r="AP53" s="172"/>
      <c r="AQ53" s="180"/>
      <c r="AR53" s="190">
        <f t="shared" si="41"/>
        <v>37855.199999999997</v>
      </c>
      <c r="AS53" s="215">
        <f t="shared" si="42"/>
        <v>34586.339999999997</v>
      </c>
      <c r="AT53" s="177"/>
      <c r="AU53" s="161">
        <v>0</v>
      </c>
      <c r="AV53" s="161">
        <v>0</v>
      </c>
      <c r="AW53" s="218"/>
      <c r="AX53" s="218">
        <v>0</v>
      </c>
      <c r="AY53" s="218">
        <v>0</v>
      </c>
      <c r="AZ53" s="218"/>
      <c r="BA53" s="161">
        <v>0</v>
      </c>
      <c r="BB53" s="161"/>
      <c r="BC53" s="161"/>
      <c r="BD53" s="161">
        <v>0</v>
      </c>
      <c r="BE53" s="161">
        <v>0</v>
      </c>
      <c r="BF53" s="161"/>
      <c r="BG53" s="161">
        <v>0</v>
      </c>
      <c r="BH53" s="161">
        <v>0</v>
      </c>
      <c r="BI53" s="161"/>
      <c r="BJ53" s="161">
        <v>0</v>
      </c>
      <c r="BK53" s="161"/>
      <c r="BL53" s="161"/>
      <c r="BM53" s="161"/>
      <c r="BN53" s="161"/>
      <c r="BO53" s="161"/>
      <c r="BP53" s="161"/>
      <c r="BQ53" s="161"/>
      <c r="BR53" s="161"/>
      <c r="BS53" s="161"/>
      <c r="BT53" s="161"/>
      <c r="BU53" s="161"/>
      <c r="BV53" s="161"/>
      <c r="BW53" s="161"/>
      <c r="BX53" s="161"/>
      <c r="BY53" s="161">
        <f t="shared" si="43"/>
        <v>0</v>
      </c>
      <c r="BZ53" s="161">
        <f t="shared" si="44"/>
        <v>0</v>
      </c>
      <c r="CA53" s="216">
        <f t="shared" si="29"/>
        <v>0</v>
      </c>
      <c r="CC53" s="178">
        <f t="shared" si="33"/>
        <v>0</v>
      </c>
      <c r="CD53" s="178">
        <f t="shared" si="45"/>
        <v>0</v>
      </c>
      <c r="CE53" s="178">
        <f t="shared" si="34"/>
        <v>0</v>
      </c>
      <c r="CF53" s="178">
        <f t="shared" si="35"/>
        <v>0</v>
      </c>
      <c r="CG53" s="178">
        <f t="shared" si="36"/>
        <v>0</v>
      </c>
    </row>
    <row r="54" spans="1:85" ht="14.25" customHeight="1" x14ac:dyDescent="0.2">
      <c r="A54" s="361" t="str">
        <f>+_xlfn.XLOOKUP(B54,'[1]Proyectos (NO FILTRAR)'!$F:$F,'[1]Proyectos (NO FILTRAR)'!$B:$B,0,0,1)</f>
        <v>PE-MSR-UG-OTR00-151-A</v>
      </c>
      <c r="B54" s="167" t="s">
        <v>318</v>
      </c>
      <c r="C54" s="155" t="str">
        <f>+_xlfn.XLOOKUP(A54,'[1]Proyectos (NO FILTRAR)'!$B:$B,'[1]Proyectos (NO FILTRAR)'!$G:$G,"error",0,1)</f>
        <v>Perú</v>
      </c>
      <c r="D54" s="155">
        <v>2025</v>
      </c>
      <c r="E54" s="155" t="s">
        <v>358</v>
      </c>
      <c r="F54" s="155" t="s">
        <v>28</v>
      </c>
      <c r="G54" s="207"/>
      <c r="H54" s="207"/>
      <c r="I54" s="285">
        <f>+_xlfn.XLOOKUP(B54,'[1]Proyectos (NO FILTRAR)'!$F:$F,'[1]Proyectos (NO FILTRAR)'!$O:$O,"!",0,1)</f>
        <v>60000</v>
      </c>
      <c r="J54" s="156">
        <f t="shared" si="31"/>
        <v>29207</v>
      </c>
      <c r="K54" s="157">
        <f t="shared" si="38"/>
        <v>0.48678333333333335</v>
      </c>
      <c r="L54" s="158"/>
      <c r="M54" s="159">
        <f t="shared" si="39"/>
        <v>0</v>
      </c>
      <c r="N54" s="160">
        <f t="shared" si="32"/>
        <v>29207</v>
      </c>
      <c r="O54" s="159">
        <f t="shared" si="40"/>
        <v>0.48678333333333335</v>
      </c>
      <c r="P54" s="160"/>
      <c r="Q54" s="171"/>
      <c r="R54" s="199"/>
      <c r="S54" s="204"/>
      <c r="T54" s="202"/>
      <c r="U54" s="180"/>
      <c r="V54" s="179"/>
      <c r="W54" s="180"/>
      <c r="X54" s="179"/>
      <c r="Y54" s="180"/>
      <c r="Z54" s="179"/>
      <c r="AA54" s="180"/>
      <c r="AB54" s="179">
        <v>12000</v>
      </c>
      <c r="AC54" s="180">
        <v>29207</v>
      </c>
      <c r="AD54" s="179">
        <v>30000</v>
      </c>
      <c r="AE54" s="180"/>
      <c r="AF54" s="179"/>
      <c r="AG54" s="180"/>
      <c r="AH54" s="179"/>
      <c r="AI54" s="180"/>
      <c r="AJ54" s="179"/>
      <c r="AK54" s="173"/>
      <c r="AL54" s="179"/>
      <c r="AM54" s="180"/>
      <c r="AN54" s="179"/>
      <c r="AO54" s="185"/>
      <c r="AP54" s="172"/>
      <c r="AQ54" s="180"/>
      <c r="AR54" s="190">
        <f t="shared" si="41"/>
        <v>42000</v>
      </c>
      <c r="AS54" s="215">
        <f t="shared" si="42"/>
        <v>29207</v>
      </c>
      <c r="AT54" s="177"/>
      <c r="AU54" s="161">
        <v>0</v>
      </c>
      <c r="AV54" s="161">
        <v>0</v>
      </c>
      <c r="AW54" s="218"/>
      <c r="AX54" s="218">
        <v>0</v>
      </c>
      <c r="AY54" s="218">
        <v>0</v>
      </c>
      <c r="AZ54" s="218"/>
      <c r="BA54" s="161">
        <v>0</v>
      </c>
      <c r="BB54" s="161"/>
      <c r="BC54" s="161"/>
      <c r="BD54" s="161">
        <v>0</v>
      </c>
      <c r="BE54" s="161">
        <v>0</v>
      </c>
      <c r="BF54" s="161"/>
      <c r="BG54" s="161">
        <v>0</v>
      </c>
      <c r="BH54" s="161">
        <v>0</v>
      </c>
      <c r="BI54" s="161"/>
      <c r="BJ54" s="161">
        <v>0</v>
      </c>
      <c r="BK54" s="161"/>
      <c r="BL54" s="161"/>
      <c r="BM54" s="161"/>
      <c r="BN54" s="161"/>
      <c r="BO54" s="161"/>
      <c r="BP54" s="161"/>
      <c r="BQ54" s="161"/>
      <c r="BR54" s="161"/>
      <c r="BS54" s="161"/>
      <c r="BT54" s="161"/>
      <c r="BU54" s="161"/>
      <c r="BV54" s="161"/>
      <c r="BW54" s="161"/>
      <c r="BX54" s="161"/>
      <c r="BY54" s="161">
        <f t="shared" si="43"/>
        <v>0</v>
      </c>
      <c r="BZ54" s="161">
        <f t="shared" si="44"/>
        <v>0</v>
      </c>
      <c r="CA54" s="216">
        <f t="shared" si="29"/>
        <v>0</v>
      </c>
      <c r="CC54" s="178">
        <f t="shared" si="33"/>
        <v>0</v>
      </c>
      <c r="CD54" s="178">
        <f t="shared" si="45"/>
        <v>0</v>
      </c>
      <c r="CE54" s="178">
        <f t="shared" si="34"/>
        <v>0</v>
      </c>
      <c r="CF54" s="178">
        <f t="shared" si="35"/>
        <v>0</v>
      </c>
      <c r="CG54" s="178">
        <f t="shared" si="36"/>
        <v>0</v>
      </c>
    </row>
    <row r="55" spans="1:85" ht="14.25" customHeight="1" x14ac:dyDescent="0.2">
      <c r="A55" s="361" t="str">
        <f>+_xlfn.XLOOKUP(B55,'[1]Proyectos (NO FILTRAR)'!$F:$F,'[1]Proyectos (NO FILTRAR)'!$B:$B,0,0,1)</f>
        <v>OT-FNE-CS-OTR00-176-A</v>
      </c>
      <c r="B55" s="167" t="s">
        <v>425</v>
      </c>
      <c r="C55" s="155" t="str">
        <f>+_xlfn.XLOOKUP(A55,'[1]Proyectos (NO FILTRAR)'!$B:$B,'[1]Proyectos (NO FILTRAR)'!$G:$G,"error",0,1)</f>
        <v>Otros</v>
      </c>
      <c r="D55" s="155">
        <v>2025</v>
      </c>
      <c r="E55" s="155" t="s">
        <v>358</v>
      </c>
      <c r="F55" s="155" t="s">
        <v>439</v>
      </c>
      <c r="G55" s="207"/>
      <c r="H55" s="207"/>
      <c r="I55" s="285">
        <f>+_xlfn.XLOOKUP(B55,'[1]Proyectos (NO FILTRAR)'!$F:$F,'[1]Proyectos (NO FILTRAR)'!$O:$O,"!",0,1)</f>
        <v>52400</v>
      </c>
      <c r="J55" s="156">
        <f t="shared" si="31"/>
        <v>52075</v>
      </c>
      <c r="K55" s="157">
        <f t="shared" si="38"/>
        <v>0.99379770992366412</v>
      </c>
      <c r="L55" s="158"/>
      <c r="M55" s="159">
        <f t="shared" si="39"/>
        <v>0</v>
      </c>
      <c r="N55" s="160">
        <f t="shared" si="32"/>
        <v>52075</v>
      </c>
      <c r="O55" s="159">
        <f t="shared" si="40"/>
        <v>0.99379770992366412</v>
      </c>
      <c r="P55" s="160"/>
      <c r="Q55" s="171"/>
      <c r="R55" s="199"/>
      <c r="S55" s="204"/>
      <c r="T55" s="202"/>
      <c r="U55" s="180"/>
      <c r="V55" s="179"/>
      <c r="W55" s="180"/>
      <c r="X55" s="179"/>
      <c r="Y55" s="180"/>
      <c r="Z55" s="179"/>
      <c r="AA55" s="180"/>
      <c r="AB55" s="179"/>
      <c r="AC55" s="180"/>
      <c r="AD55" s="179"/>
      <c r="AE55" s="180"/>
      <c r="AF55" s="179"/>
      <c r="AG55" s="180"/>
      <c r="AH55" s="179"/>
      <c r="AI55" s="180"/>
      <c r="AJ55" s="179">
        <v>52400</v>
      </c>
      <c r="AK55" s="180"/>
      <c r="AL55" s="179">
        <v>52075</v>
      </c>
      <c r="AM55" s="182">
        <v>52075</v>
      </c>
      <c r="AN55" s="179"/>
      <c r="AO55" s="185"/>
      <c r="AP55" s="172"/>
      <c r="AQ55" s="180"/>
      <c r="AR55" s="190">
        <f t="shared" si="41"/>
        <v>104475</v>
      </c>
      <c r="AS55" s="215">
        <f t="shared" si="42"/>
        <v>52075</v>
      </c>
      <c r="AT55" s="177"/>
      <c r="AU55" s="161">
        <v>0</v>
      </c>
      <c r="AV55" s="161">
        <v>0</v>
      </c>
      <c r="AW55" s="218"/>
      <c r="AX55" s="218">
        <v>0</v>
      </c>
      <c r="AY55" s="218">
        <v>0</v>
      </c>
      <c r="AZ55" s="218"/>
      <c r="BA55" s="161">
        <v>0</v>
      </c>
      <c r="BB55" s="161"/>
      <c r="BC55" s="161"/>
      <c r="BD55" s="161">
        <v>0</v>
      </c>
      <c r="BE55" s="161">
        <v>0</v>
      </c>
      <c r="BF55" s="161"/>
      <c r="BG55" s="161">
        <v>0</v>
      </c>
      <c r="BH55" s="161">
        <v>0</v>
      </c>
      <c r="BI55" s="161"/>
      <c r="BJ55" s="161">
        <v>0</v>
      </c>
      <c r="BK55" s="161"/>
      <c r="BL55" s="161"/>
      <c r="BM55" s="161"/>
      <c r="BN55" s="161"/>
      <c r="BO55" s="161"/>
      <c r="BP55" s="161"/>
      <c r="BQ55" s="161"/>
      <c r="BR55" s="161"/>
      <c r="BS55" s="161"/>
      <c r="BT55" s="161"/>
      <c r="BU55" s="161"/>
      <c r="BV55" s="161"/>
      <c r="BW55" s="161"/>
      <c r="BX55" s="161"/>
      <c r="BY55" s="161">
        <f t="shared" si="43"/>
        <v>0</v>
      </c>
      <c r="BZ55" s="161">
        <f t="shared" si="44"/>
        <v>0</v>
      </c>
      <c r="CA55" s="216">
        <f t="shared" si="29"/>
        <v>0</v>
      </c>
      <c r="CC55" s="178">
        <f t="shared" si="33"/>
        <v>0</v>
      </c>
      <c r="CD55" s="178">
        <f t="shared" si="45"/>
        <v>0</v>
      </c>
      <c r="CE55" s="178">
        <f t="shared" si="34"/>
        <v>0</v>
      </c>
      <c r="CF55" s="178">
        <f t="shared" si="35"/>
        <v>0</v>
      </c>
      <c r="CG55" s="178">
        <f t="shared" si="36"/>
        <v>0</v>
      </c>
    </row>
    <row r="56" spans="1:85" ht="14.25" customHeight="1" x14ac:dyDescent="0.2">
      <c r="A56" s="361" t="s">
        <v>292</v>
      </c>
      <c r="B56" s="167" t="s">
        <v>290</v>
      </c>
      <c r="C56" s="155" t="str">
        <f>+_xlfn.XLOOKUP(A56,'[1]Proyectos (NO FILTRAR)'!$B:$B,'[1]Proyectos (NO FILTRAR)'!$G:$G,"error",0,1)</f>
        <v>Perú</v>
      </c>
      <c r="D56" s="155">
        <v>2024</v>
      </c>
      <c r="E56" s="155" t="s">
        <v>358</v>
      </c>
      <c r="F56" s="155" t="s">
        <v>28</v>
      </c>
      <c r="G56" s="207"/>
      <c r="H56" s="207" t="s">
        <v>29</v>
      </c>
      <c r="I56" s="285">
        <f>+_xlfn.XLOOKUP(B56,'[1]Proyectos (NO FILTRAR)'!$F:$F,'[1]Proyectos (NO FILTRAR)'!$O:$O,"!",0,1)</f>
        <v>51870</v>
      </c>
      <c r="J56" s="156">
        <f t="shared" si="31"/>
        <v>51870</v>
      </c>
      <c r="K56" s="168">
        <f t="shared" si="38"/>
        <v>1</v>
      </c>
      <c r="L56" s="158"/>
      <c r="M56" s="169">
        <f t="shared" si="39"/>
        <v>0</v>
      </c>
      <c r="N56" s="160">
        <f t="shared" si="32"/>
        <v>51870</v>
      </c>
      <c r="O56" s="169">
        <f t="shared" si="40"/>
        <v>1</v>
      </c>
      <c r="P56" s="170"/>
      <c r="Q56" s="171"/>
      <c r="R56" s="199">
        <f>+I56-Q56</f>
        <v>51870</v>
      </c>
      <c r="S56" s="204"/>
      <c r="T56" s="202">
        <v>40000</v>
      </c>
      <c r="U56" s="187"/>
      <c r="V56" s="179">
        <f>_xlfn.XLOOKUP(B56,'[4]Resumen EDP POM'!$B:$B,'[4]Resumen EDP POM'!$E:$E,"!",0,1)</f>
        <v>18424</v>
      </c>
      <c r="W56" s="187"/>
      <c r="X56" s="179">
        <v>51870</v>
      </c>
      <c r="Y56" s="180">
        <v>51870</v>
      </c>
      <c r="Z56" s="179"/>
      <c r="AA56" s="180"/>
      <c r="AB56" s="179"/>
      <c r="AC56" s="180"/>
      <c r="AD56" s="179"/>
      <c r="AE56" s="180"/>
      <c r="AF56" s="179"/>
      <c r="AG56" s="180"/>
      <c r="AH56" s="179"/>
      <c r="AI56" s="180"/>
      <c r="AJ56" s="179"/>
      <c r="AK56" s="173"/>
      <c r="AL56" s="179"/>
      <c r="AM56" s="180"/>
      <c r="AN56" s="179"/>
      <c r="AO56" s="180"/>
      <c r="AP56" s="172"/>
      <c r="AQ56" s="180"/>
      <c r="AR56" s="190">
        <f t="shared" si="41"/>
        <v>110294</v>
      </c>
      <c r="AS56" s="215">
        <f t="shared" si="42"/>
        <v>51870</v>
      </c>
      <c r="AT56" s="177"/>
      <c r="AU56" s="161">
        <v>0</v>
      </c>
      <c r="AV56" s="161">
        <v>0</v>
      </c>
      <c r="AW56" s="218"/>
      <c r="AX56" s="218">
        <v>0</v>
      </c>
      <c r="AY56" s="218">
        <v>0</v>
      </c>
      <c r="AZ56" s="218"/>
      <c r="BA56" s="161">
        <v>0</v>
      </c>
      <c r="BB56" s="161"/>
      <c r="BC56" s="161"/>
      <c r="BD56" s="161">
        <v>0</v>
      </c>
      <c r="BE56" s="161">
        <v>0</v>
      </c>
      <c r="BF56" s="161"/>
      <c r="BG56" s="161">
        <v>0</v>
      </c>
      <c r="BH56" s="161">
        <v>0</v>
      </c>
      <c r="BI56" s="161"/>
      <c r="BJ56" s="161">
        <v>0</v>
      </c>
      <c r="BK56" s="161"/>
      <c r="BL56" s="161"/>
      <c r="BM56" s="161"/>
      <c r="BN56" s="161"/>
      <c r="BO56" s="161"/>
      <c r="BP56" s="161"/>
      <c r="BQ56" s="161"/>
      <c r="BR56" s="161"/>
      <c r="BS56" s="161"/>
      <c r="BT56" s="161"/>
      <c r="BU56" s="161"/>
      <c r="BV56" s="161"/>
      <c r="BW56" s="161"/>
      <c r="BX56" s="161"/>
      <c r="BY56" s="161">
        <f t="shared" si="43"/>
        <v>0</v>
      </c>
      <c r="BZ56" s="161">
        <f t="shared" si="44"/>
        <v>0</v>
      </c>
      <c r="CA56" s="216">
        <f t="shared" si="29"/>
        <v>0</v>
      </c>
      <c r="CC56" s="178">
        <f t="shared" si="33"/>
        <v>0</v>
      </c>
      <c r="CD56" s="178">
        <f t="shared" si="45"/>
        <v>0</v>
      </c>
      <c r="CE56" s="178">
        <f t="shared" si="34"/>
        <v>0</v>
      </c>
      <c r="CF56" s="178">
        <f t="shared" si="35"/>
        <v>0</v>
      </c>
      <c r="CG56" s="178">
        <f t="shared" si="36"/>
        <v>0</v>
      </c>
    </row>
    <row r="57" spans="1:85" ht="14.25" customHeight="1" x14ac:dyDescent="0.2">
      <c r="A57" s="361" t="str">
        <f>+_xlfn.XLOOKUP(B57,'[1]Proyectos (NO FILTRAR)'!$F:$F,'[1]Proyectos (NO FILTRAR)'!$B:$B,0,0,1)</f>
        <v>OT-RES-CS-OTR00-150-A</v>
      </c>
      <c r="B57" s="167" t="s">
        <v>317</v>
      </c>
      <c r="C57" s="155" t="str">
        <f>+_xlfn.XLOOKUP(A57,'[1]Proyectos (NO FILTRAR)'!$B:$B,'[1]Proyectos (NO FILTRAR)'!$G:$G,"error",0,1)</f>
        <v>Otros</v>
      </c>
      <c r="D57" s="155">
        <v>2025</v>
      </c>
      <c r="E57" s="155" t="s">
        <v>358</v>
      </c>
      <c r="F57" s="155" t="s">
        <v>315</v>
      </c>
      <c r="G57" s="207"/>
      <c r="H57" s="207"/>
      <c r="I57" s="285">
        <f>+_xlfn.XLOOKUP(B57,'[1]Proyectos (NO FILTRAR)'!$F:$F,'[1]Proyectos (NO FILTRAR)'!$O:$O,"!",0,1)</f>
        <v>47808</v>
      </c>
      <c r="J57" s="156">
        <f t="shared" si="31"/>
        <v>47808</v>
      </c>
      <c r="K57" s="157">
        <f t="shared" si="38"/>
        <v>1</v>
      </c>
      <c r="L57" s="158"/>
      <c r="M57" s="159">
        <f t="shared" si="39"/>
        <v>0</v>
      </c>
      <c r="N57" s="160">
        <f t="shared" si="32"/>
        <v>47808</v>
      </c>
      <c r="O57" s="159">
        <f t="shared" si="40"/>
        <v>1</v>
      </c>
      <c r="P57" s="160"/>
      <c r="Q57" s="171"/>
      <c r="R57" s="199"/>
      <c r="S57" s="204"/>
      <c r="T57" s="202"/>
      <c r="U57" s="180"/>
      <c r="V57" s="179"/>
      <c r="W57" s="180"/>
      <c r="X57" s="179"/>
      <c r="Y57" s="180"/>
      <c r="Z57" s="179"/>
      <c r="AA57" s="180"/>
      <c r="AB57" s="179">
        <v>49800</v>
      </c>
      <c r="AC57" s="180">
        <v>47808</v>
      </c>
      <c r="AD57" s="179"/>
      <c r="AE57" s="180"/>
      <c r="AF57" s="179"/>
      <c r="AG57" s="180"/>
      <c r="AH57" s="179"/>
      <c r="AI57" s="180"/>
      <c r="AJ57" s="179"/>
      <c r="AK57" s="180"/>
      <c r="AL57" s="179"/>
      <c r="AM57" s="180"/>
      <c r="AN57" s="179"/>
      <c r="AO57" s="185"/>
      <c r="AP57" s="172"/>
      <c r="AQ57" s="180"/>
      <c r="AR57" s="190">
        <f t="shared" si="41"/>
        <v>49800</v>
      </c>
      <c r="AS57" s="215">
        <f t="shared" si="42"/>
        <v>47808</v>
      </c>
      <c r="AT57" s="177"/>
      <c r="AU57" s="161">
        <v>0</v>
      </c>
      <c r="AV57" s="161">
        <v>0</v>
      </c>
      <c r="AW57" s="218"/>
      <c r="AX57" s="218">
        <v>0</v>
      </c>
      <c r="AY57" s="218">
        <v>0</v>
      </c>
      <c r="AZ57" s="218"/>
      <c r="BA57" s="161">
        <v>0</v>
      </c>
      <c r="BB57" s="161"/>
      <c r="BC57" s="161"/>
      <c r="BD57" s="161">
        <v>0</v>
      </c>
      <c r="BE57" s="161">
        <v>0</v>
      </c>
      <c r="BF57" s="161"/>
      <c r="BG57" s="161">
        <v>0</v>
      </c>
      <c r="BH57" s="161">
        <v>0</v>
      </c>
      <c r="BI57" s="161"/>
      <c r="BJ57" s="161">
        <v>0</v>
      </c>
      <c r="BK57" s="161"/>
      <c r="BL57" s="161"/>
      <c r="BM57" s="161"/>
      <c r="BN57" s="161"/>
      <c r="BO57" s="161"/>
      <c r="BP57" s="161"/>
      <c r="BQ57" s="161"/>
      <c r="BR57" s="161"/>
      <c r="BS57" s="161"/>
      <c r="BT57" s="161"/>
      <c r="BU57" s="161"/>
      <c r="BV57" s="161"/>
      <c r="BW57" s="161"/>
      <c r="BX57" s="161"/>
      <c r="BY57" s="161">
        <f t="shared" si="43"/>
        <v>0</v>
      </c>
      <c r="BZ57" s="161">
        <f t="shared" si="44"/>
        <v>0</v>
      </c>
      <c r="CA57" s="216">
        <f t="shared" si="29"/>
        <v>0</v>
      </c>
      <c r="CC57" s="178">
        <f t="shared" si="33"/>
        <v>0</v>
      </c>
      <c r="CD57" s="178">
        <f t="shared" si="45"/>
        <v>0</v>
      </c>
      <c r="CE57" s="178">
        <f t="shared" si="34"/>
        <v>0</v>
      </c>
      <c r="CF57" s="178">
        <f t="shared" si="35"/>
        <v>0</v>
      </c>
      <c r="CG57" s="178">
        <f t="shared" si="36"/>
        <v>0</v>
      </c>
    </row>
    <row r="58" spans="1:85" ht="14.25" customHeight="1" x14ac:dyDescent="0.2">
      <c r="A58" s="361" t="str">
        <f>+_xlfn.XLOOKUP(B58,'[1]Proyectos (NO FILTRAR)'!$F:$F,'[1]Proyectos (NO FILTRAR)'!$B:$B,0,0,1)</f>
        <v>CH-BHP-OP-OTR00-145-A</v>
      </c>
      <c r="B58" s="167" t="s">
        <v>302</v>
      </c>
      <c r="C58" s="155" t="str">
        <f>+_xlfn.XLOOKUP(A58,'[1]Proyectos (NO FILTRAR)'!$B:$B,'[1]Proyectos (NO FILTRAR)'!$G:$G,"error",0,1)</f>
        <v>Chile</v>
      </c>
      <c r="D58" s="155">
        <v>2025</v>
      </c>
      <c r="E58" s="155" t="s">
        <v>358</v>
      </c>
      <c r="F58" s="155" t="s">
        <v>32</v>
      </c>
      <c r="G58" s="207"/>
      <c r="H58" s="207" t="s">
        <v>29</v>
      </c>
      <c r="I58" s="285">
        <f>+_xlfn.XLOOKUP(B58,'[1]Proyectos (NO FILTRAR)'!$F:$F,'[1]Proyectos (NO FILTRAR)'!$O:$O,"!",0,1)</f>
        <v>47590</v>
      </c>
      <c r="J58" s="156">
        <f t="shared" si="31"/>
        <v>47590</v>
      </c>
      <c r="K58" s="157">
        <f t="shared" si="38"/>
        <v>1</v>
      </c>
      <c r="L58" s="158"/>
      <c r="M58" s="159">
        <f t="shared" si="39"/>
        <v>0</v>
      </c>
      <c r="N58" s="160">
        <f t="shared" si="32"/>
        <v>47590</v>
      </c>
      <c r="O58" s="159">
        <f t="shared" si="40"/>
        <v>1</v>
      </c>
      <c r="P58" s="160"/>
      <c r="Q58" s="171"/>
      <c r="R58" s="199"/>
      <c r="S58" s="204"/>
      <c r="T58" s="202"/>
      <c r="U58" s="180"/>
      <c r="V58" s="179"/>
      <c r="W58" s="187">
        <v>29950</v>
      </c>
      <c r="X58" s="179">
        <v>19000</v>
      </c>
      <c r="Y58" s="180"/>
      <c r="Z58" s="179">
        <v>6410</v>
      </c>
      <c r="AA58" s="180">
        <v>11230</v>
      </c>
      <c r="AB58" s="179"/>
      <c r="AC58" s="181">
        <v>6410</v>
      </c>
      <c r="AD58" s="179"/>
      <c r="AE58" s="180"/>
      <c r="AF58" s="179"/>
      <c r="AG58" s="180"/>
      <c r="AH58" s="179"/>
      <c r="AI58" s="180"/>
      <c r="AJ58" s="179"/>
      <c r="AK58" s="180"/>
      <c r="AL58" s="179"/>
      <c r="AM58" s="180"/>
      <c r="AN58" s="179"/>
      <c r="AO58" s="185"/>
      <c r="AP58" s="172"/>
      <c r="AQ58" s="180"/>
      <c r="AR58" s="190">
        <f t="shared" si="41"/>
        <v>25410</v>
      </c>
      <c r="AS58" s="215">
        <f t="shared" si="42"/>
        <v>47590</v>
      </c>
      <c r="AT58" s="177"/>
      <c r="AU58" s="161">
        <v>0</v>
      </c>
      <c r="AV58" s="161">
        <v>0</v>
      </c>
      <c r="AW58" s="218"/>
      <c r="AX58" s="218">
        <v>0</v>
      </c>
      <c r="AY58" s="218">
        <v>0</v>
      </c>
      <c r="AZ58" s="218"/>
      <c r="BA58" s="161">
        <v>0</v>
      </c>
      <c r="BB58" s="161"/>
      <c r="BC58" s="161"/>
      <c r="BD58" s="161">
        <v>0</v>
      </c>
      <c r="BE58" s="161">
        <v>0</v>
      </c>
      <c r="BF58" s="161"/>
      <c r="BG58" s="161">
        <v>0</v>
      </c>
      <c r="BH58" s="161">
        <v>0</v>
      </c>
      <c r="BI58" s="161"/>
      <c r="BJ58" s="161">
        <v>0</v>
      </c>
      <c r="BK58" s="161"/>
      <c r="BL58" s="161"/>
      <c r="BM58" s="161"/>
      <c r="BN58" s="161"/>
      <c r="BO58" s="161"/>
      <c r="BP58" s="161"/>
      <c r="BQ58" s="161"/>
      <c r="BR58" s="161"/>
      <c r="BS58" s="161"/>
      <c r="BT58" s="161"/>
      <c r="BU58" s="161"/>
      <c r="BV58" s="161"/>
      <c r="BW58" s="161"/>
      <c r="BX58" s="161"/>
      <c r="BY58" s="161">
        <f t="shared" si="43"/>
        <v>0</v>
      </c>
      <c r="BZ58" s="161">
        <f t="shared" si="44"/>
        <v>0</v>
      </c>
      <c r="CA58" s="216">
        <f t="shared" si="29"/>
        <v>0</v>
      </c>
      <c r="CC58" s="178">
        <f t="shared" si="33"/>
        <v>0</v>
      </c>
      <c r="CD58" s="178">
        <f t="shared" si="45"/>
        <v>0</v>
      </c>
      <c r="CE58" s="178">
        <f t="shared" si="34"/>
        <v>0</v>
      </c>
      <c r="CF58" s="178">
        <f t="shared" si="35"/>
        <v>0</v>
      </c>
      <c r="CG58" s="178">
        <f t="shared" si="36"/>
        <v>0</v>
      </c>
    </row>
    <row r="59" spans="1:85" ht="14.25" customHeight="1" x14ac:dyDescent="0.2">
      <c r="A59" s="361" t="str">
        <f>+_xlfn.XLOOKUP(B59,'[1]Proyectos (NO FILTRAR)'!$F:$F,'[1]Proyectos (NO FILTRAR)'!$B:$B,0,0,1)</f>
        <v>PE-VLC-GM-FEL00-166-A</v>
      </c>
      <c r="B59" s="167" t="s">
        <v>346</v>
      </c>
      <c r="C59" s="155" t="str">
        <f>+_xlfn.XLOOKUP(A59,'[1]Proyectos (NO FILTRAR)'!$B:$B,'[1]Proyectos (NO FILTRAR)'!$G:$G,"error",0,1)</f>
        <v>Perú</v>
      </c>
      <c r="D59" s="155">
        <v>2025</v>
      </c>
      <c r="E59" s="155" t="s">
        <v>358</v>
      </c>
      <c r="F59" s="155" t="s">
        <v>162</v>
      </c>
      <c r="G59" s="207"/>
      <c r="H59" s="207"/>
      <c r="I59" s="285">
        <f>+_xlfn.XLOOKUP(B59,'[1]Proyectos (NO FILTRAR)'!$F:$F,'[1]Proyectos (NO FILTRAR)'!$O:$O,"!",0,1)</f>
        <v>38209</v>
      </c>
      <c r="J59" s="156">
        <f t="shared" si="31"/>
        <v>38209.1</v>
      </c>
      <c r="K59" s="157">
        <f t="shared" si="38"/>
        <v>1.000002617184433</v>
      </c>
      <c r="L59" s="158"/>
      <c r="M59" s="159">
        <f t="shared" si="39"/>
        <v>0</v>
      </c>
      <c r="N59" s="160">
        <f t="shared" si="32"/>
        <v>38209.1</v>
      </c>
      <c r="O59" s="159">
        <f t="shared" si="40"/>
        <v>1.000002617184433</v>
      </c>
      <c r="P59" s="160"/>
      <c r="Q59" s="171"/>
      <c r="R59" s="199"/>
      <c r="S59" s="204"/>
      <c r="T59" s="202"/>
      <c r="U59" s="180"/>
      <c r="V59" s="179"/>
      <c r="W59" s="180"/>
      <c r="X59" s="179"/>
      <c r="Y59" s="180"/>
      <c r="Z59" s="179"/>
      <c r="AA59" s="180"/>
      <c r="AB59" s="179"/>
      <c r="AC59" s="180"/>
      <c r="AD59" s="179"/>
      <c r="AE59" s="180"/>
      <c r="AF59" s="179"/>
      <c r="AG59" s="180"/>
      <c r="AH59" s="179">
        <v>19000</v>
      </c>
      <c r="AI59" s="182">
        <v>34388.1</v>
      </c>
      <c r="AJ59" s="179">
        <v>3500</v>
      </c>
      <c r="AK59" s="180"/>
      <c r="AL59" s="179">
        <v>3820.9000000000015</v>
      </c>
      <c r="AM59" s="182">
        <v>3821</v>
      </c>
      <c r="AN59" s="179"/>
      <c r="AO59" s="185"/>
      <c r="AP59" s="172"/>
      <c r="AQ59" s="180"/>
      <c r="AR59" s="190">
        <f t="shared" si="41"/>
        <v>26320.9</v>
      </c>
      <c r="AS59" s="215">
        <f t="shared" si="42"/>
        <v>38209.1</v>
      </c>
      <c r="AT59" s="177"/>
      <c r="AU59" s="161">
        <v>0</v>
      </c>
      <c r="AV59" s="161">
        <v>0</v>
      </c>
      <c r="AW59" s="218"/>
      <c r="AX59" s="218">
        <v>0</v>
      </c>
      <c r="AY59" s="218">
        <v>0</v>
      </c>
      <c r="AZ59" s="218"/>
      <c r="BA59" s="161">
        <v>0</v>
      </c>
      <c r="BB59" s="161"/>
      <c r="BC59" s="161"/>
      <c r="BD59" s="161">
        <v>0</v>
      </c>
      <c r="BE59" s="161">
        <v>0</v>
      </c>
      <c r="BF59" s="161"/>
      <c r="BG59" s="161">
        <v>0</v>
      </c>
      <c r="BH59" s="161">
        <v>0</v>
      </c>
      <c r="BI59" s="161"/>
      <c r="BJ59" s="161">
        <v>0</v>
      </c>
      <c r="BK59" s="161"/>
      <c r="BL59" s="161"/>
      <c r="BM59" s="161"/>
      <c r="BN59" s="161"/>
      <c r="BO59" s="161"/>
      <c r="BP59" s="161"/>
      <c r="BQ59" s="161"/>
      <c r="BR59" s="161"/>
      <c r="BS59" s="161"/>
      <c r="BT59" s="161"/>
      <c r="BU59" s="161"/>
      <c r="BV59" s="161"/>
      <c r="BW59" s="161"/>
      <c r="BX59" s="161"/>
      <c r="BY59" s="161">
        <f t="shared" si="43"/>
        <v>0</v>
      </c>
      <c r="BZ59" s="161">
        <f t="shared" si="44"/>
        <v>0</v>
      </c>
      <c r="CA59" s="216">
        <f t="shared" si="29"/>
        <v>0</v>
      </c>
      <c r="CC59" s="178">
        <f t="shared" si="33"/>
        <v>0</v>
      </c>
      <c r="CD59" s="178">
        <f t="shared" si="45"/>
        <v>0</v>
      </c>
      <c r="CE59" s="178">
        <f t="shared" si="34"/>
        <v>0</v>
      </c>
      <c r="CF59" s="178">
        <f t="shared" si="35"/>
        <v>0</v>
      </c>
      <c r="CG59" s="178">
        <f t="shared" si="36"/>
        <v>0</v>
      </c>
    </row>
    <row r="60" spans="1:85" ht="14.25" customHeight="1" x14ac:dyDescent="0.2">
      <c r="A60" s="361" t="str">
        <f>+_xlfn.XLOOKUP(B60,'[1]Proyectos (NO FILTRAR)'!$F:$F,'[1]Proyectos (NO FILTRAR)'!$B:$B,0,0,1)</f>
        <v>CH-BHP-OP-OTR00-140-A</v>
      </c>
      <c r="B60" s="167" t="s">
        <v>299</v>
      </c>
      <c r="C60" s="155" t="str">
        <f>+_xlfn.XLOOKUP(A60,'[1]Proyectos (NO FILTRAR)'!$B:$B,'[1]Proyectos (NO FILTRAR)'!$G:$G,"error",0,1)</f>
        <v>Chile</v>
      </c>
      <c r="D60" s="155">
        <v>2025</v>
      </c>
      <c r="E60" s="155" t="s">
        <v>358</v>
      </c>
      <c r="F60" s="155" t="s">
        <v>32</v>
      </c>
      <c r="G60" s="207"/>
      <c r="H60" s="207"/>
      <c r="I60" s="285">
        <f>+_xlfn.XLOOKUP(B60,'[1]Proyectos (NO FILTRAR)'!$F:$F,'[1]Proyectos (NO FILTRAR)'!$O:$O,"!",0,1)</f>
        <v>37400</v>
      </c>
      <c r="J60" s="156">
        <f t="shared" si="31"/>
        <v>37400</v>
      </c>
      <c r="K60" s="157">
        <f t="shared" si="38"/>
        <v>1</v>
      </c>
      <c r="L60" s="158"/>
      <c r="M60" s="159">
        <f t="shared" si="39"/>
        <v>0</v>
      </c>
      <c r="N60" s="160">
        <f t="shared" si="32"/>
        <v>37400</v>
      </c>
      <c r="O60" s="159">
        <f t="shared" si="40"/>
        <v>1</v>
      </c>
      <c r="P60" s="160"/>
      <c r="Q60" s="171"/>
      <c r="R60" s="199"/>
      <c r="S60" s="204"/>
      <c r="T60" s="202"/>
      <c r="U60" s="180"/>
      <c r="V60" s="179"/>
      <c r="W60" s="181">
        <v>37400</v>
      </c>
      <c r="X60" s="179"/>
      <c r="Y60" s="180"/>
      <c r="Z60" s="179"/>
      <c r="AA60" s="180"/>
      <c r="AB60" s="179"/>
      <c r="AC60" s="180"/>
      <c r="AD60" s="179"/>
      <c r="AE60" s="180"/>
      <c r="AF60" s="179"/>
      <c r="AG60" s="180"/>
      <c r="AH60" s="179"/>
      <c r="AI60" s="180"/>
      <c r="AJ60" s="179"/>
      <c r="AK60" s="180"/>
      <c r="AL60" s="179"/>
      <c r="AM60" s="180"/>
      <c r="AN60" s="179"/>
      <c r="AO60" s="185"/>
      <c r="AP60" s="172"/>
      <c r="AQ60" s="180"/>
      <c r="AR60" s="190">
        <f t="shared" si="41"/>
        <v>0</v>
      </c>
      <c r="AS60" s="215">
        <f t="shared" si="42"/>
        <v>37400</v>
      </c>
      <c r="AT60" s="177"/>
      <c r="AU60" s="161">
        <v>0</v>
      </c>
      <c r="AV60" s="161">
        <v>0</v>
      </c>
      <c r="AW60" s="218"/>
      <c r="AX60" s="218">
        <v>0</v>
      </c>
      <c r="AY60" s="218">
        <v>0</v>
      </c>
      <c r="AZ60" s="218"/>
      <c r="BA60" s="161">
        <v>0</v>
      </c>
      <c r="BB60" s="161"/>
      <c r="BC60" s="161"/>
      <c r="BD60" s="161">
        <v>0</v>
      </c>
      <c r="BE60" s="161">
        <v>0</v>
      </c>
      <c r="BF60" s="161"/>
      <c r="BG60" s="161">
        <v>0</v>
      </c>
      <c r="BH60" s="161">
        <v>0</v>
      </c>
      <c r="BI60" s="161"/>
      <c r="BJ60" s="161">
        <v>0</v>
      </c>
      <c r="BK60" s="161"/>
      <c r="BL60" s="161"/>
      <c r="BM60" s="161"/>
      <c r="BN60" s="161"/>
      <c r="BO60" s="161"/>
      <c r="BP60" s="161"/>
      <c r="BQ60" s="161"/>
      <c r="BR60" s="161"/>
      <c r="BS60" s="161"/>
      <c r="BT60" s="161"/>
      <c r="BU60" s="161"/>
      <c r="BV60" s="161"/>
      <c r="BW60" s="161"/>
      <c r="BX60" s="161"/>
      <c r="BY60" s="161">
        <f t="shared" si="43"/>
        <v>0</v>
      </c>
      <c r="BZ60" s="161">
        <f t="shared" si="44"/>
        <v>0</v>
      </c>
      <c r="CA60" s="216">
        <f t="shared" si="29"/>
        <v>0</v>
      </c>
      <c r="CC60" s="178">
        <f t="shared" si="33"/>
        <v>0</v>
      </c>
      <c r="CD60" s="178">
        <f t="shared" si="45"/>
        <v>0</v>
      </c>
      <c r="CE60" s="178">
        <f t="shared" si="34"/>
        <v>0</v>
      </c>
      <c r="CF60" s="178">
        <f t="shared" si="35"/>
        <v>0</v>
      </c>
      <c r="CG60" s="178">
        <f t="shared" si="36"/>
        <v>0</v>
      </c>
    </row>
    <row r="61" spans="1:85" ht="14.25" customHeight="1" x14ac:dyDescent="0.2">
      <c r="A61" s="361" t="str">
        <f>+_xlfn.XLOOKUP(B61,'[1]Proyectos (NO FILTRAR)'!$F:$F,'[1]Proyectos (NO FILTRAR)'!$B:$B,0,0,1)</f>
        <v>PE-HUD-GM-FEL00-153-A</v>
      </c>
      <c r="B61" s="167" t="s">
        <v>320</v>
      </c>
      <c r="C61" s="155" t="str">
        <f>+_xlfn.XLOOKUP(A61,'[1]Proyectos (NO FILTRAR)'!$B:$B,'[1]Proyectos (NO FILTRAR)'!$G:$G,"error",0,1)</f>
        <v>Perú</v>
      </c>
      <c r="D61" s="155">
        <v>2025</v>
      </c>
      <c r="E61" s="155" t="s">
        <v>358</v>
      </c>
      <c r="F61" s="155" t="s">
        <v>162</v>
      </c>
      <c r="G61" s="207"/>
      <c r="H61" s="207"/>
      <c r="I61" s="285">
        <f>+_xlfn.XLOOKUP(B61,'[1]Proyectos (NO FILTRAR)'!$F:$F,'[1]Proyectos (NO FILTRAR)'!$O:$O,"!",0,1)</f>
        <v>36720</v>
      </c>
      <c r="J61" s="156">
        <f t="shared" si="31"/>
        <v>36720</v>
      </c>
      <c r="K61" s="157">
        <f t="shared" si="38"/>
        <v>1</v>
      </c>
      <c r="L61" s="158"/>
      <c r="M61" s="159">
        <f t="shared" si="39"/>
        <v>0</v>
      </c>
      <c r="N61" s="160">
        <f t="shared" si="32"/>
        <v>36720</v>
      </c>
      <c r="O61" s="159">
        <f t="shared" si="40"/>
        <v>1</v>
      </c>
      <c r="P61" s="160"/>
      <c r="Q61" s="171"/>
      <c r="R61" s="199"/>
      <c r="S61" s="204"/>
      <c r="T61" s="202"/>
      <c r="U61" s="180"/>
      <c r="V61" s="179"/>
      <c r="W61" s="180"/>
      <c r="X61" s="179"/>
      <c r="Y61" s="180"/>
      <c r="Z61" s="179"/>
      <c r="AA61" s="180"/>
      <c r="AB61" s="179">
        <v>38720</v>
      </c>
      <c r="AC61" s="180">
        <v>36720</v>
      </c>
      <c r="AD61" s="179"/>
      <c r="AE61" s="180"/>
      <c r="AF61" s="179"/>
      <c r="AG61" s="180"/>
      <c r="AH61" s="179"/>
      <c r="AI61" s="180"/>
      <c r="AJ61" s="179"/>
      <c r="AK61" s="180"/>
      <c r="AL61" s="179"/>
      <c r="AM61" s="180"/>
      <c r="AN61" s="179"/>
      <c r="AO61" s="185"/>
      <c r="AP61" s="172"/>
      <c r="AQ61" s="180"/>
      <c r="AR61" s="190">
        <f t="shared" si="41"/>
        <v>38720</v>
      </c>
      <c r="AS61" s="215">
        <f t="shared" si="42"/>
        <v>36720</v>
      </c>
      <c r="AT61" s="177"/>
      <c r="AU61" s="161">
        <v>0</v>
      </c>
      <c r="AV61" s="161">
        <v>0</v>
      </c>
      <c r="AW61" s="218"/>
      <c r="AX61" s="218">
        <v>0</v>
      </c>
      <c r="AY61" s="218">
        <v>0</v>
      </c>
      <c r="AZ61" s="218"/>
      <c r="BA61" s="161">
        <v>0</v>
      </c>
      <c r="BB61" s="161"/>
      <c r="BC61" s="161"/>
      <c r="BD61" s="161">
        <v>0</v>
      </c>
      <c r="BE61" s="161">
        <v>0</v>
      </c>
      <c r="BF61" s="161"/>
      <c r="BG61" s="161">
        <v>0</v>
      </c>
      <c r="BH61" s="161">
        <v>0</v>
      </c>
      <c r="BI61" s="161"/>
      <c r="BJ61" s="161">
        <v>0</v>
      </c>
      <c r="BK61" s="161"/>
      <c r="BL61" s="161"/>
      <c r="BM61" s="161"/>
      <c r="BN61" s="161"/>
      <c r="BO61" s="161"/>
      <c r="BP61" s="161"/>
      <c r="BQ61" s="161"/>
      <c r="BR61" s="161"/>
      <c r="BS61" s="161"/>
      <c r="BT61" s="161"/>
      <c r="BU61" s="161"/>
      <c r="BV61" s="161"/>
      <c r="BW61" s="161"/>
      <c r="BX61" s="161"/>
      <c r="BY61" s="161">
        <f t="shared" si="43"/>
        <v>0</v>
      </c>
      <c r="BZ61" s="161">
        <f t="shared" si="44"/>
        <v>0</v>
      </c>
      <c r="CA61" s="216">
        <f t="shared" si="29"/>
        <v>0</v>
      </c>
      <c r="CC61" s="178">
        <f t="shared" si="33"/>
        <v>0</v>
      </c>
      <c r="CD61" s="178">
        <f t="shared" si="45"/>
        <v>0</v>
      </c>
      <c r="CE61" s="178">
        <f t="shared" si="34"/>
        <v>0</v>
      </c>
      <c r="CF61" s="178">
        <f t="shared" si="35"/>
        <v>0</v>
      </c>
      <c r="CG61" s="178">
        <f t="shared" si="36"/>
        <v>0</v>
      </c>
    </row>
    <row r="62" spans="1:85" ht="14.25" customHeight="1" x14ac:dyDescent="0.2">
      <c r="A62" s="361" t="str">
        <f>+_xlfn.XLOOKUP(B62,'[1]Proyectos (NO FILTRAR)'!$F:$F,'[1]Proyectos (NO FILTRAR)'!$B:$B,0,0,1)</f>
        <v>CH-COD-CS-OTR00-128-A</v>
      </c>
      <c r="B62" s="167" t="s">
        <v>278</v>
      </c>
      <c r="C62" s="155" t="str">
        <f>+_xlfn.XLOOKUP(A62,'[1]Proyectos (NO FILTRAR)'!$B:$B,'[1]Proyectos (NO FILTRAR)'!$G:$G,"error",0,1)</f>
        <v>Chile</v>
      </c>
      <c r="D62" s="155">
        <v>2024</v>
      </c>
      <c r="E62" s="155" t="s">
        <v>358</v>
      </c>
      <c r="F62" s="155" t="s">
        <v>34</v>
      </c>
      <c r="G62" s="207"/>
      <c r="H62" s="207" t="s">
        <v>258</v>
      </c>
      <c r="I62" s="285">
        <f>+_xlfn.XLOOKUP(B62,'[1]Proyectos (NO FILTRAR)'!$F:$F,'[1]Proyectos (NO FILTRAR)'!$O:$O,"!",0,1)</f>
        <v>36418</v>
      </c>
      <c r="J62" s="156">
        <f t="shared" si="31"/>
        <v>36418</v>
      </c>
      <c r="K62" s="157">
        <f t="shared" si="38"/>
        <v>1</v>
      </c>
      <c r="L62" s="158"/>
      <c r="M62" s="159">
        <f t="shared" si="39"/>
        <v>0</v>
      </c>
      <c r="N62" s="160">
        <f t="shared" si="32"/>
        <v>36418</v>
      </c>
      <c r="O62" s="159">
        <f t="shared" si="40"/>
        <v>1</v>
      </c>
      <c r="P62" s="186"/>
      <c r="Q62" s="171">
        <v>29155</v>
      </c>
      <c r="R62" s="199">
        <f>+I62-Q62</f>
        <v>7263</v>
      </c>
      <c r="S62" s="204"/>
      <c r="T62" s="202">
        <v>7623</v>
      </c>
      <c r="U62" s="180">
        <v>7263</v>
      </c>
      <c r="V62" s="179"/>
      <c r="W62" s="180"/>
      <c r="X62" s="179"/>
      <c r="Y62" s="180"/>
      <c r="Z62" s="179"/>
      <c r="AA62" s="180"/>
      <c r="AB62" s="179"/>
      <c r="AC62" s="180"/>
      <c r="AD62" s="179"/>
      <c r="AE62" s="180"/>
      <c r="AF62" s="179"/>
      <c r="AG62" s="180"/>
      <c r="AH62" s="179"/>
      <c r="AI62" s="180"/>
      <c r="AJ62" s="179"/>
      <c r="AK62" s="180"/>
      <c r="AL62" s="179"/>
      <c r="AM62" s="180"/>
      <c r="AN62" s="179"/>
      <c r="AO62" s="185"/>
      <c r="AP62" s="172"/>
      <c r="AQ62" s="180"/>
      <c r="AR62" s="190">
        <f t="shared" si="41"/>
        <v>7623</v>
      </c>
      <c r="AS62" s="215">
        <f t="shared" si="42"/>
        <v>7263</v>
      </c>
      <c r="AT62" s="177"/>
      <c r="AU62" s="161">
        <v>0</v>
      </c>
      <c r="AV62" s="161">
        <v>0</v>
      </c>
      <c r="AW62" s="218"/>
      <c r="AX62" s="218">
        <v>0</v>
      </c>
      <c r="AY62" s="218">
        <v>0</v>
      </c>
      <c r="AZ62" s="218"/>
      <c r="BA62" s="161">
        <v>0</v>
      </c>
      <c r="BB62" s="161"/>
      <c r="BC62" s="161"/>
      <c r="BD62" s="161">
        <v>0</v>
      </c>
      <c r="BE62" s="161">
        <v>0</v>
      </c>
      <c r="BF62" s="161"/>
      <c r="BG62" s="161">
        <v>0</v>
      </c>
      <c r="BH62" s="161">
        <v>0</v>
      </c>
      <c r="BI62" s="161"/>
      <c r="BJ62" s="161">
        <v>0</v>
      </c>
      <c r="BK62" s="161"/>
      <c r="BL62" s="161"/>
      <c r="BM62" s="161"/>
      <c r="BN62" s="161"/>
      <c r="BO62" s="161"/>
      <c r="BP62" s="161"/>
      <c r="BQ62" s="161"/>
      <c r="BR62" s="161"/>
      <c r="BS62" s="161"/>
      <c r="BT62" s="161"/>
      <c r="BU62" s="161"/>
      <c r="BV62" s="161"/>
      <c r="BW62" s="161"/>
      <c r="BX62" s="161"/>
      <c r="BY62" s="161">
        <f t="shared" si="43"/>
        <v>0</v>
      </c>
      <c r="BZ62" s="161">
        <f t="shared" si="44"/>
        <v>0</v>
      </c>
      <c r="CA62" s="216">
        <f t="shared" si="29"/>
        <v>0</v>
      </c>
      <c r="CC62" s="178">
        <f t="shared" si="33"/>
        <v>0</v>
      </c>
      <c r="CD62" s="178">
        <f t="shared" si="45"/>
        <v>0</v>
      </c>
      <c r="CE62" s="178">
        <f t="shared" si="34"/>
        <v>0</v>
      </c>
      <c r="CF62" s="178">
        <f t="shared" si="35"/>
        <v>0</v>
      </c>
      <c r="CG62" s="178">
        <f t="shared" si="36"/>
        <v>0</v>
      </c>
    </row>
    <row r="63" spans="1:85" ht="14.25" customHeight="1" x14ac:dyDescent="0.2">
      <c r="A63" s="361" t="str">
        <f>+_xlfn.XLOOKUP(B63,'[1]Proyectos (NO FILTRAR)'!$F:$F,'[1]Proyectos (NO FILTRAR)'!$B:$B,0,0,1)</f>
        <v>PE-MSR-UG-OTR00-162-A</v>
      </c>
      <c r="B63" s="167" t="s">
        <v>348</v>
      </c>
      <c r="C63" s="155" t="str">
        <f>+_xlfn.XLOOKUP(A63,'[1]Proyectos (NO FILTRAR)'!$B:$B,'[1]Proyectos (NO FILTRAR)'!$G:$G,"error",0,1)</f>
        <v>Perú</v>
      </c>
      <c r="D63" s="155">
        <v>2025</v>
      </c>
      <c r="E63" s="155" t="s">
        <v>358</v>
      </c>
      <c r="F63" s="155" t="s">
        <v>39</v>
      </c>
      <c r="G63" s="207"/>
      <c r="H63" s="207"/>
      <c r="I63" s="285">
        <f>+_xlfn.XLOOKUP(B63,'[1]Proyectos (NO FILTRAR)'!$F:$F,'[1]Proyectos (NO FILTRAR)'!$O:$O,"!",0,1)</f>
        <v>35690</v>
      </c>
      <c r="J63" s="156">
        <f t="shared" si="31"/>
        <v>35690</v>
      </c>
      <c r="K63" s="157">
        <f t="shared" si="38"/>
        <v>1</v>
      </c>
      <c r="L63" s="158"/>
      <c r="M63" s="159">
        <f t="shared" si="39"/>
        <v>0</v>
      </c>
      <c r="N63" s="160">
        <f t="shared" si="32"/>
        <v>35690</v>
      </c>
      <c r="O63" s="159">
        <f t="shared" si="40"/>
        <v>1</v>
      </c>
      <c r="P63" s="160"/>
      <c r="Q63" s="171"/>
      <c r="R63" s="199"/>
      <c r="S63" s="204"/>
      <c r="T63" s="202"/>
      <c r="U63" s="180"/>
      <c r="V63" s="179"/>
      <c r="W63" s="180"/>
      <c r="X63" s="179"/>
      <c r="Y63" s="180"/>
      <c r="Z63" s="179"/>
      <c r="AA63" s="180"/>
      <c r="AB63" s="179"/>
      <c r="AC63" s="180"/>
      <c r="AD63" s="179"/>
      <c r="AE63" s="180"/>
      <c r="AF63" s="179"/>
      <c r="AG63" s="184">
        <v>35690</v>
      </c>
      <c r="AH63" s="179"/>
      <c r="AI63" s="180"/>
      <c r="AJ63" s="179"/>
      <c r="AK63" s="173"/>
      <c r="AL63" s="179"/>
      <c r="AM63" s="180"/>
      <c r="AN63" s="179"/>
      <c r="AO63" s="185"/>
      <c r="AP63" s="172"/>
      <c r="AQ63" s="180"/>
      <c r="AR63" s="190">
        <f t="shared" si="41"/>
        <v>0</v>
      </c>
      <c r="AS63" s="215">
        <f t="shared" si="42"/>
        <v>35690</v>
      </c>
      <c r="AT63" s="177"/>
      <c r="AU63" s="161">
        <v>0</v>
      </c>
      <c r="AV63" s="161">
        <v>0</v>
      </c>
      <c r="AW63" s="218"/>
      <c r="AX63" s="218">
        <v>0</v>
      </c>
      <c r="AY63" s="218">
        <v>0</v>
      </c>
      <c r="AZ63" s="218"/>
      <c r="BA63" s="161">
        <v>0</v>
      </c>
      <c r="BB63" s="161"/>
      <c r="BC63" s="161"/>
      <c r="BD63" s="161">
        <v>0</v>
      </c>
      <c r="BE63" s="161">
        <v>0</v>
      </c>
      <c r="BF63" s="161"/>
      <c r="BG63" s="161">
        <v>0</v>
      </c>
      <c r="BH63" s="161">
        <v>0</v>
      </c>
      <c r="BI63" s="161"/>
      <c r="BJ63" s="161">
        <v>0</v>
      </c>
      <c r="BK63" s="161"/>
      <c r="BL63" s="161"/>
      <c r="BM63" s="161"/>
      <c r="BN63" s="161"/>
      <c r="BO63" s="161"/>
      <c r="BP63" s="161"/>
      <c r="BQ63" s="161"/>
      <c r="BR63" s="161"/>
      <c r="BS63" s="161"/>
      <c r="BT63" s="161"/>
      <c r="BU63" s="161"/>
      <c r="BV63" s="161"/>
      <c r="BW63" s="161"/>
      <c r="BX63" s="161"/>
      <c r="BY63" s="161">
        <f t="shared" si="43"/>
        <v>0</v>
      </c>
      <c r="BZ63" s="161">
        <f t="shared" si="44"/>
        <v>0</v>
      </c>
      <c r="CA63" s="216">
        <f t="shared" si="29"/>
        <v>0</v>
      </c>
      <c r="CC63" s="178">
        <f t="shared" si="33"/>
        <v>0</v>
      </c>
      <c r="CD63" s="178">
        <f t="shared" si="45"/>
        <v>0</v>
      </c>
      <c r="CE63" s="178">
        <f t="shared" si="34"/>
        <v>0</v>
      </c>
      <c r="CF63" s="178">
        <f t="shared" si="35"/>
        <v>0</v>
      </c>
      <c r="CG63" s="178">
        <f t="shared" si="36"/>
        <v>0</v>
      </c>
    </row>
    <row r="64" spans="1:85" ht="14.25" customHeight="1" x14ac:dyDescent="0.2">
      <c r="A64" s="361" t="str">
        <f>+_xlfn.XLOOKUP(B64,'[1]Proyectos (NO FILTRAR)'!$F:$F,'[1]Proyectos (NO FILTRAR)'!$B:$B,0,0,1)</f>
        <v>PE-NEX-CS-OTR00-168-A</v>
      </c>
      <c r="B64" s="167" t="s">
        <v>355</v>
      </c>
      <c r="C64" s="155" t="str">
        <f>+_xlfn.XLOOKUP(A64,'[1]Proyectos (NO FILTRAR)'!$B:$B,'[1]Proyectos (NO FILTRAR)'!$G:$G,"error",0,1)</f>
        <v>Perú</v>
      </c>
      <c r="D64" s="155">
        <v>2025</v>
      </c>
      <c r="E64" s="155" t="s">
        <v>358</v>
      </c>
      <c r="F64" s="155" t="s">
        <v>162</v>
      </c>
      <c r="G64" s="207"/>
      <c r="H64" s="207"/>
      <c r="I64" s="285">
        <f>+_xlfn.XLOOKUP(B64,'[1]Proyectos (NO FILTRAR)'!$F:$F,'[1]Proyectos (NO FILTRAR)'!$O:$O,"!",0,1)</f>
        <v>29716</v>
      </c>
      <c r="J64" s="156">
        <f t="shared" si="31"/>
        <v>29716</v>
      </c>
      <c r="K64" s="157">
        <f t="shared" si="38"/>
        <v>1</v>
      </c>
      <c r="L64" s="158"/>
      <c r="M64" s="159">
        <f t="shared" si="39"/>
        <v>0</v>
      </c>
      <c r="N64" s="160">
        <f t="shared" si="32"/>
        <v>29716</v>
      </c>
      <c r="O64" s="159">
        <f t="shared" si="40"/>
        <v>1</v>
      </c>
      <c r="P64" s="160"/>
      <c r="Q64" s="171"/>
      <c r="R64" s="199"/>
      <c r="S64" s="204"/>
      <c r="T64" s="202"/>
      <c r="U64" s="180"/>
      <c r="V64" s="179"/>
      <c r="W64" s="180"/>
      <c r="X64" s="179"/>
      <c r="Y64" s="180"/>
      <c r="Z64" s="179"/>
      <c r="AA64" s="180"/>
      <c r="AB64" s="179"/>
      <c r="AC64" s="180"/>
      <c r="AD64" s="179"/>
      <c r="AE64" s="180"/>
      <c r="AF64" s="179"/>
      <c r="AG64" s="180"/>
      <c r="AH64" s="179"/>
      <c r="AI64" s="180"/>
      <c r="AJ64" s="179">
        <v>29716</v>
      </c>
      <c r="AK64" s="180"/>
      <c r="AL64" s="179">
        <v>29716</v>
      </c>
      <c r="AM64" s="182">
        <v>29716</v>
      </c>
      <c r="AN64" s="179"/>
      <c r="AO64" s="185"/>
      <c r="AP64" s="172"/>
      <c r="AQ64" s="180"/>
      <c r="AR64" s="190">
        <f t="shared" si="41"/>
        <v>59432</v>
      </c>
      <c r="AS64" s="215">
        <f t="shared" si="42"/>
        <v>29716</v>
      </c>
      <c r="AT64" s="177"/>
      <c r="AU64" s="161">
        <v>0</v>
      </c>
      <c r="AV64" s="161">
        <v>0</v>
      </c>
      <c r="AW64" s="218"/>
      <c r="AX64" s="218">
        <v>0</v>
      </c>
      <c r="AY64" s="218">
        <v>0</v>
      </c>
      <c r="AZ64" s="218"/>
      <c r="BA64" s="161">
        <v>0</v>
      </c>
      <c r="BB64" s="161"/>
      <c r="BC64" s="161"/>
      <c r="BD64" s="161">
        <v>0</v>
      </c>
      <c r="BE64" s="161">
        <v>0</v>
      </c>
      <c r="BF64" s="161"/>
      <c r="BG64" s="161">
        <v>0</v>
      </c>
      <c r="BH64" s="161">
        <v>0</v>
      </c>
      <c r="BI64" s="161"/>
      <c r="BJ64" s="161">
        <v>0</v>
      </c>
      <c r="BK64" s="161"/>
      <c r="BL64" s="161"/>
      <c r="BM64" s="161"/>
      <c r="BN64" s="161"/>
      <c r="BO64" s="161"/>
      <c r="BP64" s="161"/>
      <c r="BQ64" s="161"/>
      <c r="BR64" s="161"/>
      <c r="BS64" s="161"/>
      <c r="BT64" s="161"/>
      <c r="BU64" s="161"/>
      <c r="BV64" s="161"/>
      <c r="BW64" s="161"/>
      <c r="BX64" s="161"/>
      <c r="BY64" s="161">
        <f t="shared" si="43"/>
        <v>0</v>
      </c>
      <c r="BZ64" s="161">
        <f t="shared" si="44"/>
        <v>0</v>
      </c>
      <c r="CA64" s="216">
        <f t="shared" si="29"/>
        <v>0</v>
      </c>
      <c r="CC64" s="178">
        <f t="shared" si="33"/>
        <v>0</v>
      </c>
      <c r="CD64" s="178">
        <f t="shared" si="45"/>
        <v>0</v>
      </c>
      <c r="CE64" s="178">
        <f t="shared" si="34"/>
        <v>0</v>
      </c>
      <c r="CF64" s="178">
        <f t="shared" si="35"/>
        <v>0</v>
      </c>
      <c r="CG64" s="178">
        <f t="shared" si="36"/>
        <v>0</v>
      </c>
    </row>
    <row r="65" spans="1:85" ht="14.25" customHeight="1" x14ac:dyDescent="0.2">
      <c r="A65" s="361" t="str">
        <f>+_xlfn.XLOOKUP(B65,'[1]Proyectos (NO FILTRAR)'!$F:$F,'[1]Proyectos (NO FILTRAR)'!$B:$B,0,0,1)</f>
        <v>PE-VLC-GM-FEL00-157-A</v>
      </c>
      <c r="B65" s="167" t="s">
        <v>324</v>
      </c>
      <c r="C65" s="155" t="str">
        <f>+_xlfn.XLOOKUP(A65,'[1]Proyectos (NO FILTRAR)'!$B:$B,'[1]Proyectos (NO FILTRAR)'!$G:$G,"error",0,1)</f>
        <v>Perú</v>
      </c>
      <c r="D65" s="155">
        <v>2025</v>
      </c>
      <c r="E65" s="155" t="s">
        <v>358</v>
      </c>
      <c r="F65" s="155" t="s">
        <v>162</v>
      </c>
      <c r="G65" s="207"/>
      <c r="H65" s="207"/>
      <c r="I65" s="285">
        <f>+_xlfn.XLOOKUP(B65,'[1]Proyectos (NO FILTRAR)'!$F:$F,'[1]Proyectos (NO FILTRAR)'!$O:$O,"!",0,1)</f>
        <v>24440</v>
      </c>
      <c r="J65" s="156">
        <f t="shared" si="31"/>
        <v>24440</v>
      </c>
      <c r="K65" s="157">
        <f t="shared" si="38"/>
        <v>1</v>
      </c>
      <c r="L65" s="158"/>
      <c r="M65" s="159">
        <f t="shared" si="39"/>
        <v>0</v>
      </c>
      <c r="N65" s="160">
        <f t="shared" si="32"/>
        <v>24440</v>
      </c>
      <c r="O65" s="159">
        <f t="shared" si="40"/>
        <v>1</v>
      </c>
      <c r="P65" s="160"/>
      <c r="Q65" s="171"/>
      <c r="R65" s="199"/>
      <c r="S65" s="204"/>
      <c r="T65" s="202"/>
      <c r="U65" s="180"/>
      <c r="V65" s="179"/>
      <c r="W65" s="180"/>
      <c r="X65" s="179"/>
      <c r="Y65" s="180"/>
      <c r="Z65" s="179"/>
      <c r="AA65" s="180"/>
      <c r="AB65" s="179"/>
      <c r="AC65" s="180"/>
      <c r="AD65" s="179"/>
      <c r="AE65" s="180"/>
      <c r="AF65" s="179">
        <v>24440</v>
      </c>
      <c r="AG65" s="180"/>
      <c r="AH65" s="179">
        <v>24440</v>
      </c>
      <c r="AI65" s="180"/>
      <c r="AJ65" s="179">
        <v>24400</v>
      </c>
      <c r="AK65" s="182">
        <v>24440</v>
      </c>
      <c r="AL65" s="179"/>
      <c r="AM65" s="180"/>
      <c r="AN65" s="179"/>
      <c r="AO65" s="185"/>
      <c r="AP65" s="172"/>
      <c r="AQ65" s="180"/>
      <c r="AR65" s="190">
        <f t="shared" si="41"/>
        <v>73280</v>
      </c>
      <c r="AS65" s="215">
        <f t="shared" si="42"/>
        <v>24440</v>
      </c>
      <c r="AT65" s="177"/>
      <c r="AU65" s="161">
        <v>0</v>
      </c>
      <c r="AV65" s="161">
        <v>0</v>
      </c>
      <c r="AW65" s="218"/>
      <c r="AX65" s="218">
        <v>0</v>
      </c>
      <c r="AY65" s="218">
        <v>0</v>
      </c>
      <c r="AZ65" s="218"/>
      <c r="BA65" s="161">
        <v>0</v>
      </c>
      <c r="BB65" s="161"/>
      <c r="BC65" s="161"/>
      <c r="BD65" s="161">
        <v>0</v>
      </c>
      <c r="BE65" s="161">
        <v>0</v>
      </c>
      <c r="BF65" s="161"/>
      <c r="BG65" s="161">
        <v>0</v>
      </c>
      <c r="BH65" s="161">
        <v>0</v>
      </c>
      <c r="BI65" s="161"/>
      <c r="BJ65" s="161">
        <v>0</v>
      </c>
      <c r="BK65" s="161"/>
      <c r="BL65" s="161"/>
      <c r="BM65" s="161"/>
      <c r="BN65" s="161"/>
      <c r="BO65" s="161"/>
      <c r="BP65" s="161"/>
      <c r="BQ65" s="161"/>
      <c r="BR65" s="161"/>
      <c r="BS65" s="161"/>
      <c r="BT65" s="161"/>
      <c r="BU65" s="161"/>
      <c r="BV65" s="161"/>
      <c r="BW65" s="161"/>
      <c r="BX65" s="161"/>
      <c r="BY65" s="161">
        <f t="shared" si="43"/>
        <v>0</v>
      </c>
      <c r="BZ65" s="161">
        <f t="shared" si="44"/>
        <v>0</v>
      </c>
      <c r="CA65" s="216">
        <f t="shared" si="29"/>
        <v>0</v>
      </c>
      <c r="CC65" s="178">
        <f t="shared" si="33"/>
        <v>0</v>
      </c>
      <c r="CD65" s="178">
        <f t="shared" si="45"/>
        <v>0</v>
      </c>
      <c r="CE65" s="178">
        <f t="shared" si="34"/>
        <v>0</v>
      </c>
      <c r="CF65" s="178">
        <f t="shared" si="35"/>
        <v>0</v>
      </c>
      <c r="CG65" s="178">
        <f t="shared" si="36"/>
        <v>0</v>
      </c>
    </row>
    <row r="66" spans="1:85" ht="14.25" customHeight="1" x14ac:dyDescent="0.2">
      <c r="A66" s="361" t="str">
        <f>+_xlfn.XLOOKUP(B66,'[1]Proyectos (NO FILTRAR)'!$F:$F,'[1]Proyectos (NO FILTRAR)'!$B:$B,0,0,1)</f>
        <v>CH-CMP-OP-FEL00-155-A</v>
      </c>
      <c r="B66" s="167" t="s">
        <v>322</v>
      </c>
      <c r="C66" s="155" t="str">
        <f>+_xlfn.XLOOKUP(A66,'[1]Proyectos (NO FILTRAR)'!$B:$B,'[1]Proyectos (NO FILTRAR)'!$G:$G,"error",0,1)</f>
        <v>Chile</v>
      </c>
      <c r="D66" s="155">
        <v>2025</v>
      </c>
      <c r="E66" s="155" t="s">
        <v>358</v>
      </c>
      <c r="F66" s="155" t="s">
        <v>32</v>
      </c>
      <c r="G66" s="207"/>
      <c r="H66" s="207"/>
      <c r="I66" s="285">
        <f>+_xlfn.XLOOKUP(B66,'[1]Proyectos (NO FILTRAR)'!$F:$F,'[1]Proyectos (NO FILTRAR)'!$O:$O,"!",0,1)</f>
        <v>20733</v>
      </c>
      <c r="J66" s="156">
        <f t="shared" si="31"/>
        <v>20733</v>
      </c>
      <c r="K66" s="157">
        <f t="shared" si="38"/>
        <v>1</v>
      </c>
      <c r="L66" s="158"/>
      <c r="M66" s="159">
        <f t="shared" si="39"/>
        <v>0</v>
      </c>
      <c r="N66" s="160">
        <f t="shared" si="32"/>
        <v>20733</v>
      </c>
      <c r="O66" s="159">
        <f t="shared" si="40"/>
        <v>1</v>
      </c>
      <c r="P66" s="160"/>
      <c r="Q66" s="171"/>
      <c r="R66" s="199"/>
      <c r="S66" s="204"/>
      <c r="T66" s="202"/>
      <c r="U66" s="180"/>
      <c r="V66" s="179"/>
      <c r="W66" s="180"/>
      <c r="X66" s="179"/>
      <c r="Y66" s="180"/>
      <c r="Z66" s="179"/>
      <c r="AA66" s="180"/>
      <c r="AB66" s="179"/>
      <c r="AC66" s="180"/>
      <c r="AD66" s="179"/>
      <c r="AE66" s="187">
        <v>5398</v>
      </c>
      <c r="AF66" s="179">
        <v>15389.59</v>
      </c>
      <c r="AG66" s="184"/>
      <c r="AH66" s="179">
        <v>6679.6900000000005</v>
      </c>
      <c r="AI66" s="180"/>
      <c r="AJ66" s="179">
        <v>15000</v>
      </c>
      <c r="AK66" s="176">
        <v>15335</v>
      </c>
      <c r="AL66" s="179"/>
      <c r="AM66" s="180"/>
      <c r="AN66" s="179"/>
      <c r="AO66" s="185"/>
      <c r="AP66" s="172"/>
      <c r="AQ66" s="180"/>
      <c r="AR66" s="190">
        <f t="shared" si="41"/>
        <v>37069.279999999999</v>
      </c>
      <c r="AS66" s="215">
        <f t="shared" si="42"/>
        <v>20733</v>
      </c>
      <c r="AT66" s="177"/>
      <c r="AU66" s="161">
        <v>0</v>
      </c>
      <c r="AV66" s="161">
        <v>0</v>
      </c>
      <c r="AW66" s="218"/>
      <c r="AX66" s="218">
        <v>0</v>
      </c>
      <c r="AY66" s="218">
        <v>0</v>
      </c>
      <c r="AZ66" s="218"/>
      <c r="BA66" s="161">
        <v>0</v>
      </c>
      <c r="BB66" s="161"/>
      <c r="BC66" s="161"/>
      <c r="BD66" s="161">
        <v>0</v>
      </c>
      <c r="BE66" s="161">
        <v>0</v>
      </c>
      <c r="BF66" s="161"/>
      <c r="BG66" s="161">
        <v>0</v>
      </c>
      <c r="BH66" s="161">
        <v>0</v>
      </c>
      <c r="BI66" s="161"/>
      <c r="BJ66" s="161">
        <v>0</v>
      </c>
      <c r="BK66" s="161"/>
      <c r="BL66" s="161"/>
      <c r="BM66" s="161"/>
      <c r="BN66" s="161"/>
      <c r="BO66" s="161"/>
      <c r="BP66" s="161"/>
      <c r="BQ66" s="161"/>
      <c r="BR66" s="161"/>
      <c r="BS66" s="161"/>
      <c r="BT66" s="161"/>
      <c r="BU66" s="161"/>
      <c r="BV66" s="161"/>
      <c r="BW66" s="161"/>
      <c r="BX66" s="161"/>
      <c r="BY66" s="161">
        <f t="shared" si="43"/>
        <v>0</v>
      </c>
      <c r="BZ66" s="161">
        <f t="shared" si="44"/>
        <v>0</v>
      </c>
      <c r="CA66" s="216">
        <f t="shared" si="29"/>
        <v>0</v>
      </c>
      <c r="CC66" s="178">
        <f t="shared" si="33"/>
        <v>0</v>
      </c>
      <c r="CD66" s="178">
        <f t="shared" si="45"/>
        <v>0</v>
      </c>
      <c r="CE66" s="178">
        <f t="shared" si="34"/>
        <v>0</v>
      </c>
      <c r="CF66" s="178">
        <f t="shared" si="35"/>
        <v>0</v>
      </c>
      <c r="CG66" s="178">
        <f t="shared" si="36"/>
        <v>0</v>
      </c>
    </row>
    <row r="67" spans="1:85" ht="14.25" customHeight="1" x14ac:dyDescent="0.2">
      <c r="A67" s="361" t="str">
        <f>+_xlfn.XLOOKUP(B67,'[1]Proyectos (NO FILTRAR)'!$F:$F,'[1]Proyectos (NO FILTRAR)'!$B:$B,0,0,1)</f>
        <v>CH-PUC-CS-OTR00-170-A</v>
      </c>
      <c r="B67" s="167" t="s">
        <v>357</v>
      </c>
      <c r="C67" s="155" t="str">
        <f>+_xlfn.XLOOKUP(A67,'[1]Proyectos (NO FILTRAR)'!$B:$B,'[1]Proyectos (NO FILTRAR)'!$G:$G,"error",0,1)</f>
        <v>Chile</v>
      </c>
      <c r="D67" s="155">
        <v>2025</v>
      </c>
      <c r="E67" s="155" t="s">
        <v>358</v>
      </c>
      <c r="F67" s="155" t="s">
        <v>32</v>
      </c>
      <c r="G67" s="207"/>
      <c r="H67" s="207"/>
      <c r="I67" s="285">
        <f>+_xlfn.XLOOKUP(B67,'[1]Proyectos (NO FILTRAR)'!$F:$F,'[1]Proyectos (NO FILTRAR)'!$O:$O,"!",0,1)</f>
        <v>20350</v>
      </c>
      <c r="J67" s="156">
        <f t="shared" si="31"/>
        <v>10175</v>
      </c>
      <c r="K67" s="157">
        <f t="shared" si="38"/>
        <v>0.5</v>
      </c>
      <c r="L67" s="158"/>
      <c r="M67" s="159">
        <f t="shared" si="39"/>
        <v>0</v>
      </c>
      <c r="N67" s="160">
        <f t="shared" si="32"/>
        <v>10175</v>
      </c>
      <c r="O67" s="159">
        <f t="shared" si="40"/>
        <v>0.5</v>
      </c>
      <c r="P67" s="160"/>
      <c r="Q67" s="171"/>
      <c r="R67" s="199"/>
      <c r="S67" s="204"/>
      <c r="T67" s="202"/>
      <c r="U67" s="180"/>
      <c r="V67" s="179"/>
      <c r="W67" s="180"/>
      <c r="X67" s="179"/>
      <c r="Y67" s="180"/>
      <c r="Z67" s="179"/>
      <c r="AA67" s="180"/>
      <c r="AB67" s="179"/>
      <c r="AC67" s="180"/>
      <c r="AD67" s="179"/>
      <c r="AE67" s="180"/>
      <c r="AF67" s="179"/>
      <c r="AG67" s="180"/>
      <c r="AH67" s="179"/>
      <c r="AI67" s="180"/>
      <c r="AJ67" s="179">
        <v>12000</v>
      </c>
      <c r="AK67" s="176">
        <v>10175</v>
      </c>
      <c r="AL67" s="179"/>
      <c r="AM67" s="180"/>
      <c r="AN67" s="179"/>
      <c r="AO67" s="185"/>
      <c r="AP67" s="172"/>
      <c r="AQ67" s="180"/>
      <c r="AR67" s="190">
        <f t="shared" si="41"/>
        <v>12000</v>
      </c>
      <c r="AS67" s="215">
        <f t="shared" si="42"/>
        <v>10175</v>
      </c>
      <c r="AT67" s="177"/>
      <c r="AU67" s="161">
        <v>0</v>
      </c>
      <c r="AV67" s="161">
        <v>0</v>
      </c>
      <c r="AW67" s="218"/>
      <c r="AX67" s="218">
        <v>0</v>
      </c>
      <c r="AY67" s="218">
        <v>0</v>
      </c>
      <c r="AZ67" s="218"/>
      <c r="BA67" s="161">
        <v>0</v>
      </c>
      <c r="BB67" s="161"/>
      <c r="BC67" s="161"/>
      <c r="BD67" s="161">
        <v>0</v>
      </c>
      <c r="BE67" s="161">
        <v>0</v>
      </c>
      <c r="BF67" s="161"/>
      <c r="BG67" s="161">
        <v>0</v>
      </c>
      <c r="BH67" s="161">
        <v>0</v>
      </c>
      <c r="BI67" s="161"/>
      <c r="BJ67" s="161">
        <v>0</v>
      </c>
      <c r="BK67" s="161"/>
      <c r="BL67" s="161"/>
      <c r="BM67" s="161"/>
      <c r="BN67" s="161"/>
      <c r="BO67" s="161"/>
      <c r="BP67" s="161"/>
      <c r="BQ67" s="161"/>
      <c r="BR67" s="161"/>
      <c r="BS67" s="161"/>
      <c r="BT67" s="161"/>
      <c r="BU67" s="161"/>
      <c r="BV67" s="161"/>
      <c r="BW67" s="161"/>
      <c r="BX67" s="161"/>
      <c r="BY67" s="161">
        <f t="shared" si="43"/>
        <v>0</v>
      </c>
      <c r="BZ67" s="161">
        <f t="shared" si="44"/>
        <v>0</v>
      </c>
      <c r="CA67" s="216">
        <f t="shared" si="29"/>
        <v>0</v>
      </c>
      <c r="CC67" s="178">
        <f t="shared" si="33"/>
        <v>0</v>
      </c>
      <c r="CD67" s="178">
        <f t="shared" si="45"/>
        <v>0</v>
      </c>
      <c r="CE67" s="178">
        <f t="shared" si="34"/>
        <v>0</v>
      </c>
      <c r="CF67" s="178">
        <f t="shared" si="35"/>
        <v>0</v>
      </c>
      <c r="CG67" s="178">
        <f t="shared" si="36"/>
        <v>0</v>
      </c>
    </row>
    <row r="68" spans="1:85" ht="14.25" customHeight="1" x14ac:dyDescent="0.2">
      <c r="A68" s="361" t="str">
        <f>+_xlfn.XLOOKUP(B68,'[1]Proyectos (NO FILTRAR)'!$F:$F,'[1]Proyectos (NO FILTRAR)'!$B:$B,0,0,1)</f>
        <v>CH-COL-CS-OTR00-180-A</v>
      </c>
      <c r="B68" s="167" t="s">
        <v>438</v>
      </c>
      <c r="C68" s="155" t="str">
        <f>+_xlfn.XLOOKUP(A68,'[1]Proyectos (NO FILTRAR)'!$B:$B,'[1]Proyectos (NO FILTRAR)'!$G:$G,"error",0,1)</f>
        <v>Chile</v>
      </c>
      <c r="D68" s="155">
        <v>2025</v>
      </c>
      <c r="E68" s="155" t="s">
        <v>358</v>
      </c>
      <c r="F68" s="155" t="s">
        <v>32</v>
      </c>
      <c r="G68" s="207"/>
      <c r="H68" s="207"/>
      <c r="I68" s="285">
        <f>+_xlfn.XLOOKUP(B68,'[1]Proyectos (NO FILTRAR)'!$F:$F,'[1]Proyectos (NO FILTRAR)'!$O:$O,"!",0,1)</f>
        <v>52492</v>
      </c>
      <c r="J68" s="156">
        <f t="shared" si="31"/>
        <v>54266</v>
      </c>
      <c r="K68" s="157">
        <f t="shared" si="38"/>
        <v>1.0337956260001524</v>
      </c>
      <c r="L68" s="158"/>
      <c r="M68" s="159">
        <f t="shared" si="39"/>
        <v>0</v>
      </c>
      <c r="N68" s="160">
        <f t="shared" si="32"/>
        <v>54266</v>
      </c>
      <c r="O68" s="159">
        <f t="shared" si="40"/>
        <v>1.0337956260001524</v>
      </c>
      <c r="P68" s="160"/>
      <c r="Q68" s="171"/>
      <c r="R68" s="199"/>
      <c r="S68" s="204"/>
      <c r="T68" s="202"/>
      <c r="U68" s="180"/>
      <c r="V68" s="179"/>
      <c r="W68" s="180"/>
      <c r="X68" s="179"/>
      <c r="Y68" s="180"/>
      <c r="Z68" s="179"/>
      <c r="AA68" s="180"/>
      <c r="AB68" s="179"/>
      <c r="AC68" s="180"/>
      <c r="AD68" s="179"/>
      <c r="AE68" s="180"/>
      <c r="AF68" s="179"/>
      <c r="AG68" s="180"/>
      <c r="AH68" s="179"/>
      <c r="AI68" s="180"/>
      <c r="AJ68" s="179"/>
      <c r="AK68" s="173"/>
      <c r="AL68" s="179">
        <v>20000</v>
      </c>
      <c r="AM68" s="182">
        <v>33407</v>
      </c>
      <c r="AN68" s="179">
        <v>7000</v>
      </c>
      <c r="AO68" s="182">
        <v>7599</v>
      </c>
      <c r="AP68" s="172">
        <v>7000</v>
      </c>
      <c r="AQ68" s="189">
        <f>7767+5493</f>
        <v>13260</v>
      </c>
      <c r="AR68" s="190">
        <f t="shared" si="41"/>
        <v>34000</v>
      </c>
      <c r="AS68" s="215">
        <f t="shared" si="42"/>
        <v>54266</v>
      </c>
      <c r="AT68" s="177"/>
      <c r="AU68" s="161">
        <v>0</v>
      </c>
      <c r="AV68" s="161">
        <v>0</v>
      </c>
      <c r="AW68" s="218"/>
      <c r="AX68" s="218">
        <v>0</v>
      </c>
      <c r="AY68" s="218">
        <v>0</v>
      </c>
      <c r="AZ68" s="218"/>
      <c r="BA68" s="161">
        <v>0</v>
      </c>
      <c r="BB68" s="161"/>
      <c r="BC68" s="161"/>
      <c r="BD68" s="161">
        <v>0</v>
      </c>
      <c r="BE68" s="161">
        <v>0</v>
      </c>
      <c r="BF68" s="161"/>
      <c r="BG68" s="161">
        <v>0</v>
      </c>
      <c r="BH68" s="161">
        <v>0</v>
      </c>
      <c r="BI68" s="161"/>
      <c r="BJ68" s="161">
        <v>0</v>
      </c>
      <c r="BK68" s="161"/>
      <c r="BL68" s="161"/>
      <c r="BM68" s="161"/>
      <c r="BN68" s="161"/>
      <c r="BO68" s="161"/>
      <c r="BP68" s="161"/>
      <c r="BQ68" s="161"/>
      <c r="BR68" s="161"/>
      <c r="BS68" s="161"/>
      <c r="BT68" s="161"/>
      <c r="BU68" s="161"/>
      <c r="BV68" s="161"/>
      <c r="BW68" s="161"/>
      <c r="BX68" s="161"/>
      <c r="BY68" s="161">
        <f t="shared" si="43"/>
        <v>0</v>
      </c>
      <c r="BZ68" s="161">
        <f t="shared" si="44"/>
        <v>0</v>
      </c>
      <c r="CA68" s="216">
        <f t="shared" si="29"/>
        <v>0</v>
      </c>
      <c r="CC68" s="178">
        <f t="shared" si="33"/>
        <v>0</v>
      </c>
      <c r="CD68" s="178">
        <f t="shared" si="45"/>
        <v>0</v>
      </c>
      <c r="CE68" s="178">
        <f t="shared" si="34"/>
        <v>0</v>
      </c>
      <c r="CF68" s="178">
        <f t="shared" si="35"/>
        <v>0</v>
      </c>
      <c r="CG68" s="178">
        <f t="shared" si="36"/>
        <v>0</v>
      </c>
    </row>
    <row r="69" spans="1:85" ht="14.25" customHeight="1" x14ac:dyDescent="0.2">
      <c r="A69" s="361" t="str">
        <f>+_xlfn.XLOOKUP(B69,'[1]Proyectos (NO FILTRAR)'!$F:$F,'[1]Proyectos (NO FILTRAR)'!$B:$B,0,0,1)</f>
        <v>CH-CRF-CS-FEL00-169-A</v>
      </c>
      <c r="B69" s="167" t="s">
        <v>356</v>
      </c>
      <c r="C69" s="155" t="str">
        <f>+_xlfn.XLOOKUP(A69,'[1]Proyectos (NO FILTRAR)'!$B:$B,'[1]Proyectos (NO FILTRAR)'!$G:$G,"error",0,1)</f>
        <v>Chile</v>
      </c>
      <c r="D69" s="155">
        <v>2025</v>
      </c>
      <c r="E69" s="155" t="s">
        <v>358</v>
      </c>
      <c r="F69" s="155" t="s">
        <v>315</v>
      </c>
      <c r="G69" s="207" t="s">
        <v>463</v>
      </c>
      <c r="H69" s="207"/>
      <c r="I69" s="285">
        <f>+_xlfn.XLOOKUP(B69,'[1]Proyectos (NO FILTRAR)'!$F:$F,'[1]Proyectos (NO FILTRAR)'!$O:$O,"!",0,1)</f>
        <v>40000</v>
      </c>
      <c r="J69" s="156">
        <f t="shared" si="31"/>
        <v>41838</v>
      </c>
      <c r="K69" s="157">
        <f t="shared" si="38"/>
        <v>1.0459499999999999</v>
      </c>
      <c r="L69" s="158"/>
      <c r="M69" s="159">
        <f t="shared" si="39"/>
        <v>0</v>
      </c>
      <c r="N69" s="160">
        <f t="shared" si="32"/>
        <v>41838</v>
      </c>
      <c r="O69" s="159">
        <f t="shared" si="40"/>
        <v>1.0459499999999999</v>
      </c>
      <c r="P69" s="160"/>
      <c r="Q69" s="171"/>
      <c r="R69" s="199"/>
      <c r="S69" s="204"/>
      <c r="T69" s="202"/>
      <c r="U69" s="180"/>
      <c r="V69" s="179"/>
      <c r="W69" s="180"/>
      <c r="X69" s="179"/>
      <c r="Y69" s="180"/>
      <c r="Z69" s="179"/>
      <c r="AA69" s="180"/>
      <c r="AB69" s="179"/>
      <c r="AC69" s="180"/>
      <c r="AD69" s="179"/>
      <c r="AE69" s="180"/>
      <c r="AF69" s="179"/>
      <c r="AG69" s="180"/>
      <c r="AH69" s="179"/>
      <c r="AI69" s="180"/>
      <c r="AJ69" s="179">
        <v>25000</v>
      </c>
      <c r="AK69" s="173"/>
      <c r="AL69" s="179">
        <v>38000</v>
      </c>
      <c r="AM69" s="180"/>
      <c r="AN69" s="179">
        <v>30000</v>
      </c>
      <c r="AO69" s="185"/>
      <c r="AP69" s="172">
        <v>37000</v>
      </c>
      <c r="AQ69" s="189">
        <v>41838</v>
      </c>
      <c r="AR69" s="190">
        <f t="shared" si="41"/>
        <v>130000</v>
      </c>
      <c r="AS69" s="215">
        <f t="shared" si="42"/>
        <v>41838</v>
      </c>
      <c r="AT69" s="177"/>
      <c r="AU69" s="161">
        <v>0</v>
      </c>
      <c r="AV69" s="161">
        <v>0</v>
      </c>
      <c r="AW69" s="218"/>
      <c r="AX69" s="218">
        <v>0</v>
      </c>
      <c r="AY69" s="218">
        <v>0</v>
      </c>
      <c r="AZ69" s="218"/>
      <c r="BA69" s="161">
        <v>0</v>
      </c>
      <c r="BB69" s="161"/>
      <c r="BC69" s="161"/>
      <c r="BD69" s="161">
        <v>0</v>
      </c>
      <c r="BE69" s="161">
        <v>0</v>
      </c>
      <c r="BF69" s="161"/>
      <c r="BG69" s="161">
        <v>0</v>
      </c>
      <c r="BH69" s="161">
        <v>0</v>
      </c>
      <c r="BI69" s="161"/>
      <c r="BJ69" s="161">
        <v>0</v>
      </c>
      <c r="BK69" s="161"/>
      <c r="BL69" s="161"/>
      <c r="BM69" s="161"/>
      <c r="BN69" s="161"/>
      <c r="BO69" s="161"/>
      <c r="BP69" s="161"/>
      <c r="BQ69" s="161"/>
      <c r="BR69" s="161"/>
      <c r="BS69" s="161"/>
      <c r="BT69" s="161"/>
      <c r="BU69" s="161"/>
      <c r="BV69" s="161"/>
      <c r="BW69" s="161"/>
      <c r="BX69" s="161"/>
      <c r="BY69" s="161">
        <f t="shared" si="43"/>
        <v>0</v>
      </c>
      <c r="BZ69" s="161">
        <f t="shared" si="44"/>
        <v>0</v>
      </c>
      <c r="CA69" s="216">
        <f t="shared" si="29"/>
        <v>0</v>
      </c>
      <c r="CC69" s="178">
        <f t="shared" si="33"/>
        <v>0</v>
      </c>
      <c r="CD69" s="178">
        <f t="shared" si="45"/>
        <v>0</v>
      </c>
      <c r="CE69" s="178">
        <f t="shared" si="34"/>
        <v>0</v>
      </c>
      <c r="CF69" s="178">
        <f t="shared" si="35"/>
        <v>0</v>
      </c>
      <c r="CG69" s="178">
        <f t="shared" si="36"/>
        <v>0</v>
      </c>
    </row>
    <row r="70" spans="1:85" ht="14.25" customHeight="1" x14ac:dyDescent="0.2">
      <c r="A70" s="361" t="str">
        <f>+_xlfn.XLOOKUP(B70,'[1]Proyectos (NO FILTRAR)'!$F:$F,'[1]Proyectos (NO FILTRAR)'!$B:$B,0,0,1)</f>
        <v>CH-GLE-CS-OTR00-183-A</v>
      </c>
      <c r="B70" s="167" t="s">
        <v>447</v>
      </c>
      <c r="C70" s="155" t="str">
        <f>+_xlfn.XLOOKUP(A70,'[1]Proyectos (NO FILTRAR)'!$B:$B,'[1]Proyectos (NO FILTRAR)'!$G:$G,"error",0,1)</f>
        <v>Chile</v>
      </c>
      <c r="D70" s="155">
        <v>2025</v>
      </c>
      <c r="E70" s="155" t="s">
        <v>358</v>
      </c>
      <c r="F70" s="155" t="s">
        <v>450</v>
      </c>
      <c r="G70" s="207" t="s">
        <v>463</v>
      </c>
      <c r="H70" s="207"/>
      <c r="I70" s="285">
        <f>+_xlfn.XLOOKUP(B70,'[1]Proyectos (NO FILTRAR)'!$F:$F,'[1]Proyectos (NO FILTRAR)'!$O:$O,"!",0,1)</f>
        <v>198640</v>
      </c>
      <c r="J70" s="156">
        <f t="shared" si="31"/>
        <v>198640</v>
      </c>
      <c r="K70" s="157">
        <f t="shared" si="38"/>
        <v>1</v>
      </c>
      <c r="L70" s="158"/>
      <c r="M70" s="159">
        <f t="shared" si="39"/>
        <v>0</v>
      </c>
      <c r="N70" s="160">
        <f t="shared" si="32"/>
        <v>198640</v>
      </c>
      <c r="O70" s="159">
        <f t="shared" si="40"/>
        <v>1</v>
      </c>
      <c r="P70" s="160"/>
      <c r="Q70" s="171"/>
      <c r="R70" s="199"/>
      <c r="S70" s="204"/>
      <c r="T70" s="202"/>
      <c r="U70" s="180"/>
      <c r="V70" s="179"/>
      <c r="W70" s="180"/>
      <c r="X70" s="179"/>
      <c r="Y70" s="180"/>
      <c r="Z70" s="179"/>
      <c r="AA70" s="180"/>
      <c r="AB70" s="179"/>
      <c r="AC70" s="180"/>
      <c r="AD70" s="179"/>
      <c r="AE70" s="180"/>
      <c r="AF70" s="179"/>
      <c r="AG70" s="180"/>
      <c r="AH70" s="179"/>
      <c r="AI70" s="180"/>
      <c r="AJ70" s="179"/>
      <c r="AK70" s="173"/>
      <c r="AL70" s="179"/>
      <c r="AM70" s="180"/>
      <c r="AN70" s="179">
        <v>73644</v>
      </c>
      <c r="AO70" s="182">
        <v>87783</v>
      </c>
      <c r="AP70" s="172">
        <v>70500</v>
      </c>
      <c r="AQ70" s="189">
        <v>110857</v>
      </c>
      <c r="AR70" s="190">
        <f t="shared" si="41"/>
        <v>144144</v>
      </c>
      <c r="AS70" s="215">
        <f t="shared" si="42"/>
        <v>198640</v>
      </c>
      <c r="AT70" s="177"/>
      <c r="AU70" s="161">
        <v>0</v>
      </c>
      <c r="AV70" s="161">
        <v>0</v>
      </c>
      <c r="AW70" s="218"/>
      <c r="AX70" s="218">
        <v>0</v>
      </c>
      <c r="AY70" s="218">
        <v>0</v>
      </c>
      <c r="AZ70" s="218"/>
      <c r="BA70" s="161">
        <v>0</v>
      </c>
      <c r="BB70" s="161"/>
      <c r="BC70" s="161"/>
      <c r="BD70" s="161">
        <v>0</v>
      </c>
      <c r="BE70" s="161">
        <v>0</v>
      </c>
      <c r="BF70" s="161"/>
      <c r="BG70" s="161">
        <v>0</v>
      </c>
      <c r="BH70" s="161">
        <v>0</v>
      </c>
      <c r="BI70" s="161"/>
      <c r="BJ70" s="161">
        <v>0</v>
      </c>
      <c r="BK70" s="161"/>
      <c r="BL70" s="161"/>
      <c r="BM70" s="161"/>
      <c r="BN70" s="161"/>
      <c r="BO70" s="161"/>
      <c r="BP70" s="161"/>
      <c r="BQ70" s="161"/>
      <c r="BR70" s="161"/>
      <c r="BS70" s="161"/>
      <c r="BT70" s="161"/>
      <c r="BU70" s="161"/>
      <c r="BV70" s="161"/>
      <c r="BW70" s="161"/>
      <c r="BX70" s="161"/>
      <c r="BY70" s="161">
        <f t="shared" si="43"/>
        <v>0</v>
      </c>
      <c r="BZ70" s="161">
        <f t="shared" si="44"/>
        <v>0</v>
      </c>
      <c r="CA70" s="216">
        <f t="shared" si="29"/>
        <v>0</v>
      </c>
      <c r="CC70" s="178">
        <f t="shared" si="33"/>
        <v>0</v>
      </c>
      <c r="CD70" s="178">
        <f t="shared" si="45"/>
        <v>0</v>
      </c>
      <c r="CE70" s="178">
        <f t="shared" si="34"/>
        <v>0</v>
      </c>
      <c r="CF70" s="178">
        <f t="shared" si="35"/>
        <v>0</v>
      </c>
      <c r="CG70" s="178">
        <f t="shared" si="36"/>
        <v>0</v>
      </c>
    </row>
    <row r="71" spans="1:85" ht="14.25" customHeight="1" x14ac:dyDescent="0.2">
      <c r="A71" s="361" t="str">
        <f>+_xlfn.XLOOKUP(B71,'[1]Proyectos (NO FILTRAR)'!$F:$F,'[1]Proyectos (NO FILTRAR)'!$B:$B,0,0,1)</f>
        <v>PE-NEX-GM-FEL00-167-A</v>
      </c>
      <c r="B71" s="167" t="s">
        <v>347</v>
      </c>
      <c r="C71" s="155" t="str">
        <f>+_xlfn.XLOOKUP(A71,'[1]Proyectos (NO FILTRAR)'!$B:$B,'[1]Proyectos (NO FILTRAR)'!$G:$G,"error",0,1)</f>
        <v>Perú</v>
      </c>
      <c r="D71" s="155">
        <v>2025</v>
      </c>
      <c r="E71" s="155" t="s">
        <v>358</v>
      </c>
      <c r="F71" s="155" t="s">
        <v>162</v>
      </c>
      <c r="G71" s="207" t="s">
        <v>464</v>
      </c>
      <c r="H71" s="207"/>
      <c r="I71" s="285">
        <f>+_xlfn.XLOOKUP(B71,'[1]Proyectos (NO FILTRAR)'!$F:$F,'[1]Proyectos (NO FILTRAR)'!$O:$O,"!",0,1)</f>
        <v>80283</v>
      </c>
      <c r="J71" s="156">
        <f t="shared" si="31"/>
        <v>80282</v>
      </c>
      <c r="K71" s="157">
        <f t="shared" si="38"/>
        <v>0.9999875440628776</v>
      </c>
      <c r="L71" s="158"/>
      <c r="M71" s="159">
        <f t="shared" si="39"/>
        <v>0</v>
      </c>
      <c r="N71" s="160">
        <f t="shared" si="32"/>
        <v>80282</v>
      </c>
      <c r="O71" s="159">
        <f t="shared" si="40"/>
        <v>0.9999875440628776</v>
      </c>
      <c r="P71" s="160"/>
      <c r="Q71" s="171"/>
      <c r="R71" s="199"/>
      <c r="S71" s="204"/>
      <c r="T71" s="202"/>
      <c r="U71" s="180"/>
      <c r="V71" s="179"/>
      <c r="W71" s="180"/>
      <c r="X71" s="179"/>
      <c r="Y71" s="180"/>
      <c r="Z71" s="179"/>
      <c r="AA71" s="180"/>
      <c r="AB71" s="179"/>
      <c r="AC71" s="180"/>
      <c r="AD71" s="179"/>
      <c r="AE71" s="180"/>
      <c r="AF71" s="179"/>
      <c r="AG71" s="180"/>
      <c r="AH71" s="179">
        <v>20000</v>
      </c>
      <c r="AI71" s="180">
        <v>0</v>
      </c>
      <c r="AJ71" s="179">
        <v>20000</v>
      </c>
      <c r="AK71" s="173"/>
      <c r="AL71" s="179">
        <v>20000</v>
      </c>
      <c r="AM71" s="182">
        <v>20759</v>
      </c>
      <c r="AN71" s="179">
        <v>30000</v>
      </c>
      <c r="AO71" s="182">
        <v>42800</v>
      </c>
      <c r="AP71" s="172">
        <v>16724</v>
      </c>
      <c r="AQ71" s="189">
        <v>16723</v>
      </c>
      <c r="AR71" s="190">
        <f t="shared" si="41"/>
        <v>106724</v>
      </c>
      <c r="AS71" s="215">
        <f t="shared" si="42"/>
        <v>80282</v>
      </c>
      <c r="AT71" s="177"/>
      <c r="AU71" s="161">
        <v>0</v>
      </c>
      <c r="AV71" s="161">
        <v>0</v>
      </c>
      <c r="AW71" s="218"/>
      <c r="AX71" s="218">
        <v>0</v>
      </c>
      <c r="AY71" s="218">
        <v>0</v>
      </c>
      <c r="AZ71" s="218"/>
      <c r="BA71" s="161">
        <v>0</v>
      </c>
      <c r="BB71" s="161"/>
      <c r="BC71" s="288"/>
      <c r="BD71" s="161">
        <v>0</v>
      </c>
      <c r="BE71" s="161">
        <v>0</v>
      </c>
      <c r="BF71" s="161"/>
      <c r="BG71" s="161">
        <v>0</v>
      </c>
      <c r="BH71" s="161">
        <v>0</v>
      </c>
      <c r="BI71" s="161"/>
      <c r="BJ71" s="161">
        <v>0</v>
      </c>
      <c r="BK71" s="161"/>
      <c r="BL71" s="161"/>
      <c r="BM71" s="161"/>
      <c r="BN71" s="161"/>
      <c r="BO71" s="161"/>
      <c r="BP71" s="161"/>
      <c r="BQ71" s="161"/>
      <c r="BR71" s="161"/>
      <c r="BS71" s="161"/>
      <c r="BT71" s="161"/>
      <c r="BU71" s="161"/>
      <c r="BV71" s="161"/>
      <c r="BW71" s="161"/>
      <c r="BX71" s="161"/>
      <c r="BY71" s="161">
        <f t="shared" si="43"/>
        <v>0</v>
      </c>
      <c r="BZ71" s="161">
        <f t="shared" si="44"/>
        <v>0</v>
      </c>
      <c r="CA71" s="216">
        <f t="shared" si="29"/>
        <v>0</v>
      </c>
      <c r="CC71" s="178">
        <f t="shared" si="33"/>
        <v>0</v>
      </c>
      <c r="CD71" s="178">
        <f t="shared" si="45"/>
        <v>0</v>
      </c>
      <c r="CE71" s="178">
        <f t="shared" si="34"/>
        <v>0</v>
      </c>
      <c r="CF71" s="178">
        <f t="shared" si="35"/>
        <v>0</v>
      </c>
      <c r="CG71" s="178">
        <f t="shared" si="36"/>
        <v>0</v>
      </c>
    </row>
    <row r="72" spans="1:85" ht="14.25" customHeight="1" x14ac:dyDescent="0.2">
      <c r="A72" s="361" t="str">
        <f>+_xlfn.XLOOKUP(B72,'[1]Proyectos (NO FILTRAR)'!$F:$F,'[1]Proyectos (NO FILTRAR)'!$B:$B,0,0,1)</f>
        <v>PE-MSR-UG-FEL00-142-A</v>
      </c>
      <c r="B72" s="167" t="s">
        <v>305</v>
      </c>
      <c r="C72" s="155" t="str">
        <f>+_xlfn.XLOOKUP(A72,'[1]Proyectos (NO FILTRAR)'!$B:$B,'[1]Proyectos (NO FILTRAR)'!$G:$G,"error",0,1)</f>
        <v>Perú</v>
      </c>
      <c r="D72" s="155">
        <v>2025</v>
      </c>
      <c r="E72" s="155" t="s">
        <v>358</v>
      </c>
      <c r="F72" s="155" t="s">
        <v>109</v>
      </c>
      <c r="G72" s="207" t="s">
        <v>462</v>
      </c>
      <c r="H72" s="207"/>
      <c r="I72" s="285">
        <f>+_xlfn.XLOOKUP(B72,'[1]Proyectos (NO FILTRAR)'!$F:$F,'[1]Proyectos (NO FILTRAR)'!$O:$O,"!",0,1)</f>
        <v>248031</v>
      </c>
      <c r="J72" s="156">
        <f t="shared" si="31"/>
        <v>239635</v>
      </c>
      <c r="K72" s="157">
        <f t="shared" si="38"/>
        <v>0.96614939261624555</v>
      </c>
      <c r="L72" s="158"/>
      <c r="M72" s="159">
        <f t="shared" si="39"/>
        <v>0</v>
      </c>
      <c r="N72" s="160">
        <f t="shared" si="32"/>
        <v>239635</v>
      </c>
      <c r="O72" s="159">
        <f t="shared" si="40"/>
        <v>0.96614939261624555</v>
      </c>
      <c r="P72" s="160"/>
      <c r="Q72" s="171"/>
      <c r="R72" s="199"/>
      <c r="S72" s="204"/>
      <c r="T72" s="202"/>
      <c r="U72" s="180"/>
      <c r="V72" s="179"/>
      <c r="W72" s="180"/>
      <c r="X72" s="179">
        <v>30000</v>
      </c>
      <c r="Y72" s="180"/>
      <c r="Z72" s="179"/>
      <c r="AA72" s="180">
        <v>76361</v>
      </c>
      <c r="AB72" s="179">
        <v>100000</v>
      </c>
      <c r="AC72" s="181"/>
      <c r="AD72" s="179">
        <v>59234</v>
      </c>
      <c r="AE72" s="180">
        <v>114681</v>
      </c>
      <c r="AF72" s="179">
        <v>30000</v>
      </c>
      <c r="AG72" s="180"/>
      <c r="AH72" s="179">
        <v>52138</v>
      </c>
      <c r="AI72" s="182">
        <v>23019</v>
      </c>
      <c r="AJ72" s="179">
        <v>33970</v>
      </c>
      <c r="AK72" s="217">
        <v>8564</v>
      </c>
      <c r="AL72" s="179">
        <v>25000</v>
      </c>
      <c r="AM72" s="217">
        <v>17010</v>
      </c>
      <c r="AN72" s="179">
        <v>8396</v>
      </c>
      <c r="AO72" s="185"/>
      <c r="AP72" s="172"/>
      <c r="AQ72" s="180"/>
      <c r="AR72" s="190">
        <f t="shared" si="41"/>
        <v>338738</v>
      </c>
      <c r="AS72" s="215">
        <f t="shared" si="42"/>
        <v>239635</v>
      </c>
      <c r="AT72" s="177"/>
      <c r="AU72" s="161">
        <v>0</v>
      </c>
      <c r="AV72" s="161">
        <v>0</v>
      </c>
      <c r="AW72" s="218"/>
      <c r="AX72" s="218">
        <v>0</v>
      </c>
      <c r="AY72" s="218">
        <v>0</v>
      </c>
      <c r="AZ72" s="218"/>
      <c r="BA72" s="161">
        <v>0</v>
      </c>
      <c r="BB72" s="161"/>
      <c r="BC72" s="161"/>
      <c r="BD72" s="161">
        <v>0</v>
      </c>
      <c r="BE72" s="161">
        <v>0</v>
      </c>
      <c r="BF72" s="161"/>
      <c r="BG72" s="161">
        <v>0</v>
      </c>
      <c r="BH72" s="161">
        <v>0</v>
      </c>
      <c r="BI72" s="161"/>
      <c r="BJ72" s="161">
        <v>0</v>
      </c>
      <c r="BK72" s="161"/>
      <c r="BL72" s="161"/>
      <c r="BM72" s="161"/>
      <c r="BN72" s="161"/>
      <c r="BO72" s="161"/>
      <c r="BP72" s="161"/>
      <c r="BQ72" s="161"/>
      <c r="BR72" s="161"/>
      <c r="BS72" s="161"/>
      <c r="BT72" s="161"/>
      <c r="BU72" s="161"/>
      <c r="BV72" s="161"/>
      <c r="BW72" s="161"/>
      <c r="BX72" s="161"/>
      <c r="BY72" s="161">
        <f t="shared" si="43"/>
        <v>0</v>
      </c>
      <c r="BZ72" s="161">
        <f t="shared" si="44"/>
        <v>0</v>
      </c>
      <c r="CA72" s="216">
        <f t="shared" si="29"/>
        <v>0</v>
      </c>
      <c r="CC72" s="178">
        <f t="shared" si="33"/>
        <v>0</v>
      </c>
      <c r="CD72" s="178">
        <f t="shared" si="45"/>
        <v>0</v>
      </c>
      <c r="CE72" s="178">
        <f t="shared" si="34"/>
        <v>0</v>
      </c>
      <c r="CF72" s="178">
        <f t="shared" si="35"/>
        <v>0</v>
      </c>
      <c r="CG72" s="178">
        <f t="shared" si="36"/>
        <v>0</v>
      </c>
    </row>
    <row r="73" spans="1:85" ht="14.25" customHeight="1" x14ac:dyDescent="0.2">
      <c r="A73" s="361" t="str">
        <f>+_xlfn.XLOOKUP(B73,'[1]Proyectos (NO FILTRAR)'!$F:$F,'[1]Proyectos (NO FILTRAR)'!$B:$B,0,0,1)</f>
        <v>PE-MMG-UG-FEL2A-143-A</v>
      </c>
      <c r="B73" s="167" t="s">
        <v>306</v>
      </c>
      <c r="C73" s="155" t="str">
        <f>+_xlfn.XLOOKUP(A73,'[1]Proyectos (NO FILTRAR)'!$B:$B,'[1]Proyectos (NO FILTRAR)'!$G:$G,"error",0,1)</f>
        <v>Perú</v>
      </c>
      <c r="D73" s="155">
        <v>2025</v>
      </c>
      <c r="E73" s="155" t="s">
        <v>358</v>
      </c>
      <c r="F73" s="155" t="s">
        <v>35</v>
      </c>
      <c r="G73" s="207" t="s">
        <v>462</v>
      </c>
      <c r="H73" s="207"/>
      <c r="I73" s="285">
        <f>+_xlfn.XLOOKUP(B73,'[1]Proyectos (NO FILTRAR)'!$F:$F,'[1]Proyectos (NO FILTRAR)'!$O:$O,"!",0,1)</f>
        <v>1061121</v>
      </c>
      <c r="J73" s="156">
        <f t="shared" si="31"/>
        <v>998209.59000000008</v>
      </c>
      <c r="K73" s="157">
        <f t="shared" si="38"/>
        <v>0.94071231273342071</v>
      </c>
      <c r="L73" s="158"/>
      <c r="M73" s="159">
        <f t="shared" si="39"/>
        <v>0</v>
      </c>
      <c r="N73" s="160">
        <f t="shared" si="32"/>
        <v>998209.59000000008</v>
      </c>
      <c r="O73" s="159">
        <f t="shared" si="40"/>
        <v>0.94071231273342071</v>
      </c>
      <c r="P73" s="160"/>
      <c r="Q73" s="171"/>
      <c r="R73" s="199"/>
      <c r="S73" s="204"/>
      <c r="T73" s="202"/>
      <c r="U73" s="180"/>
      <c r="V73" s="179"/>
      <c r="W73" s="180"/>
      <c r="X73" s="179">
        <v>50000</v>
      </c>
      <c r="Y73" s="180">
        <v>58150</v>
      </c>
      <c r="Z73" s="179">
        <v>30000</v>
      </c>
      <c r="AA73" s="180"/>
      <c r="AB73" s="179">
        <v>110000</v>
      </c>
      <c r="AC73" s="181"/>
      <c r="AD73" s="179">
        <v>300000</v>
      </c>
      <c r="AE73" s="181">
        <v>453390.59</v>
      </c>
      <c r="AF73" s="179">
        <v>200000</v>
      </c>
      <c r="AG73" s="180"/>
      <c r="AH73" s="179">
        <v>150000</v>
      </c>
      <c r="AI73" s="182">
        <v>153520</v>
      </c>
      <c r="AJ73" s="179">
        <v>150000</v>
      </c>
      <c r="AK73" s="180"/>
      <c r="AL73" s="179">
        <v>81200</v>
      </c>
      <c r="AM73" s="182">
        <v>205079</v>
      </c>
      <c r="AN73" s="179"/>
      <c r="AO73" s="182">
        <v>119590</v>
      </c>
      <c r="AP73" s="172"/>
      <c r="AQ73" s="182">
        <v>8480</v>
      </c>
      <c r="AR73" s="190">
        <f t="shared" si="41"/>
        <v>1071200</v>
      </c>
      <c r="AS73" s="215">
        <f t="shared" si="42"/>
        <v>998209.59000000008</v>
      </c>
      <c r="AT73" s="177"/>
      <c r="AU73" s="161">
        <v>0</v>
      </c>
      <c r="AV73" s="161">
        <v>0</v>
      </c>
      <c r="AW73" s="218"/>
      <c r="AX73" s="218">
        <v>0</v>
      </c>
      <c r="AY73" s="218">
        <v>0</v>
      </c>
      <c r="AZ73" s="218"/>
      <c r="BA73" s="161">
        <v>0</v>
      </c>
      <c r="BB73" s="161"/>
      <c r="BC73" s="161"/>
      <c r="BD73" s="161">
        <v>0</v>
      </c>
      <c r="BE73" s="161">
        <v>0</v>
      </c>
      <c r="BF73" s="161"/>
      <c r="BG73" s="161">
        <v>0</v>
      </c>
      <c r="BH73" s="161">
        <v>0</v>
      </c>
      <c r="BI73" s="161"/>
      <c r="BJ73" s="161">
        <v>0</v>
      </c>
      <c r="BK73" s="161"/>
      <c r="BL73" s="161"/>
      <c r="BM73" s="161"/>
      <c r="BN73" s="161"/>
      <c r="BO73" s="161"/>
      <c r="BP73" s="161"/>
      <c r="BQ73" s="161"/>
      <c r="BR73" s="161"/>
      <c r="BS73" s="161"/>
      <c r="BT73" s="161"/>
      <c r="BU73" s="161"/>
      <c r="BV73" s="161"/>
      <c r="BW73" s="161"/>
      <c r="BX73" s="161"/>
      <c r="BY73" s="161">
        <f t="shared" si="43"/>
        <v>0</v>
      </c>
      <c r="BZ73" s="161">
        <f t="shared" si="44"/>
        <v>0</v>
      </c>
      <c r="CA73" s="216">
        <f t="shared" si="29"/>
        <v>0</v>
      </c>
      <c r="CC73" s="178">
        <f t="shared" si="33"/>
        <v>0</v>
      </c>
      <c r="CD73" s="178">
        <f t="shared" si="45"/>
        <v>0</v>
      </c>
      <c r="CE73" s="178">
        <f t="shared" si="34"/>
        <v>0</v>
      </c>
      <c r="CF73" s="178">
        <f t="shared" si="35"/>
        <v>0</v>
      </c>
      <c r="CG73" s="178">
        <f t="shared" si="36"/>
        <v>0</v>
      </c>
    </row>
    <row r="74" spans="1:85" ht="14.25" customHeight="1" x14ac:dyDescent="0.2">
      <c r="A74" s="361" t="str">
        <f>+_xlfn.XLOOKUP(B74,'[1]Proyectos (NO FILTRAR)'!$F:$F,'[1]Proyectos (NO FILTRAR)'!$B:$B,0,0,1)</f>
        <v>BR-EQG-UG-FEL03-172-A</v>
      </c>
      <c r="B74" s="167" t="s">
        <v>410</v>
      </c>
      <c r="C74" s="155" t="str">
        <f>+_xlfn.XLOOKUP(A74,'[1]Proyectos (NO FILTRAR)'!$B:$B,'[1]Proyectos (NO FILTRAR)'!$G:$G,"error",0,1)</f>
        <v>Brasil</v>
      </c>
      <c r="D74" s="155">
        <v>2025</v>
      </c>
      <c r="E74" s="155" t="s">
        <v>358</v>
      </c>
      <c r="F74" s="155" t="s">
        <v>33</v>
      </c>
      <c r="G74" s="207" t="s">
        <v>463</v>
      </c>
      <c r="H74" s="207"/>
      <c r="I74" s="285">
        <f>+_xlfn.XLOOKUP(B74,'[1]Proyectos (NO FILTRAR)'!$F:$F,'[1]Proyectos (NO FILTRAR)'!$O:$O,"!",0,1)</f>
        <v>353992.61</v>
      </c>
      <c r="J74" s="156">
        <f t="shared" si="31"/>
        <v>353993</v>
      </c>
      <c r="K74" s="157">
        <f t="shared" si="38"/>
        <v>1.0000011017179145</v>
      </c>
      <c r="L74" s="329"/>
      <c r="M74" s="159">
        <f t="shared" si="39"/>
        <v>0</v>
      </c>
      <c r="N74" s="160">
        <f t="shared" si="32"/>
        <v>353993</v>
      </c>
      <c r="O74" s="159">
        <f t="shared" si="40"/>
        <v>1.0000011017179145</v>
      </c>
      <c r="P74" s="160"/>
      <c r="Q74" s="171"/>
      <c r="R74" s="199"/>
      <c r="S74" s="204"/>
      <c r="T74" s="202"/>
      <c r="U74" s="180"/>
      <c r="V74" s="179"/>
      <c r="W74" s="180"/>
      <c r="X74" s="179"/>
      <c r="Y74" s="180"/>
      <c r="Z74" s="179"/>
      <c r="AA74" s="180"/>
      <c r="AB74" s="179"/>
      <c r="AC74" s="180"/>
      <c r="AD74" s="179"/>
      <c r="AE74" s="180"/>
      <c r="AF74" s="179"/>
      <c r="AG74" s="180"/>
      <c r="AH74" s="179"/>
      <c r="AI74" s="180"/>
      <c r="AJ74" s="179"/>
      <c r="AK74" s="182">
        <v>12415</v>
      </c>
      <c r="AL74" s="179">
        <v>50598</v>
      </c>
      <c r="AM74" s="182">
        <v>50598</v>
      </c>
      <c r="AN74" s="179">
        <v>134423</v>
      </c>
      <c r="AO74" s="182">
        <v>146624</v>
      </c>
      <c r="AP74" s="172">
        <v>99490.482000000004</v>
      </c>
      <c r="AQ74" s="189">
        <v>97211</v>
      </c>
      <c r="AR74" s="190">
        <f t="shared" si="41"/>
        <v>284511.48200000002</v>
      </c>
      <c r="AS74" s="215">
        <f t="shared" si="42"/>
        <v>306848</v>
      </c>
      <c r="AT74" s="177"/>
      <c r="AU74" s="161">
        <v>45167.686199999996</v>
      </c>
      <c r="AV74" s="161">
        <v>45167.686199999996</v>
      </c>
      <c r="AW74" s="287">
        <v>47145</v>
      </c>
      <c r="AX74" s="218">
        <v>0</v>
      </c>
      <c r="AY74" s="218">
        <v>0</v>
      </c>
      <c r="AZ74" s="218"/>
      <c r="BA74" s="161">
        <v>0</v>
      </c>
      <c r="BB74" s="161"/>
      <c r="BC74" s="161"/>
      <c r="BD74" s="161">
        <v>0</v>
      </c>
      <c r="BE74" s="161">
        <v>0</v>
      </c>
      <c r="BF74" s="161"/>
      <c r="BG74" s="161">
        <v>0</v>
      </c>
      <c r="BH74" s="161">
        <v>0</v>
      </c>
      <c r="BI74" s="161"/>
      <c r="BJ74" s="161">
        <v>0</v>
      </c>
      <c r="BK74" s="161"/>
      <c r="BL74" s="161"/>
      <c r="BM74" s="161"/>
      <c r="BN74" s="161"/>
      <c r="BO74" s="161"/>
      <c r="BP74" s="161"/>
      <c r="BQ74" s="161"/>
      <c r="BR74" s="161"/>
      <c r="BS74" s="161"/>
      <c r="BT74" s="161"/>
      <c r="BU74" s="161"/>
      <c r="BV74" s="161"/>
      <c r="BW74" s="161"/>
      <c r="BX74" s="161"/>
      <c r="BY74" s="161">
        <f t="shared" si="43"/>
        <v>45167.686199999996</v>
      </c>
      <c r="BZ74" s="161">
        <f t="shared" si="44"/>
        <v>45167.686199999996</v>
      </c>
      <c r="CA74" s="216">
        <f t="shared" si="29"/>
        <v>47145</v>
      </c>
      <c r="CC74" s="178">
        <f t="shared" si="33"/>
        <v>1</v>
      </c>
      <c r="CD74" s="178">
        <f t="shared" si="45"/>
        <v>0</v>
      </c>
      <c r="CE74" s="178">
        <f t="shared" si="34"/>
        <v>0</v>
      </c>
      <c r="CF74" s="178">
        <f t="shared" si="35"/>
        <v>0</v>
      </c>
      <c r="CG74" s="178">
        <f t="shared" si="36"/>
        <v>0</v>
      </c>
    </row>
    <row r="75" spans="1:85" ht="14.25" customHeight="1" x14ac:dyDescent="0.2">
      <c r="A75" s="361" t="str">
        <f>+_xlfn.XLOOKUP(B75,'[1]Proyectos (NO FILTRAR)'!$F:$F,'[1]Proyectos (NO FILTRAR)'!$B:$B,0,0,1)</f>
        <v>CH-AMS-OP-FEL00-171-A</v>
      </c>
      <c r="B75" s="167" t="s">
        <v>409</v>
      </c>
      <c r="C75" s="155" t="str">
        <f>+_xlfn.XLOOKUP(A75,'[1]Proyectos (NO FILTRAR)'!$B:$B,'[1]Proyectos (NO FILTRAR)'!$G:$G,"error",0,1)</f>
        <v>Chile</v>
      </c>
      <c r="D75" s="155">
        <v>2025</v>
      </c>
      <c r="E75" s="155" t="s">
        <v>358</v>
      </c>
      <c r="F75" s="155" t="s">
        <v>32</v>
      </c>
      <c r="G75" s="207" t="s">
        <v>462</v>
      </c>
      <c r="H75" s="207"/>
      <c r="I75" s="285">
        <f>+_xlfn.XLOOKUP(B75,'[1]Proyectos (NO FILTRAR)'!$F:$F,'[1]Proyectos (NO FILTRAR)'!$O:$O,"!",0,1)</f>
        <v>153605.26</v>
      </c>
      <c r="J75" s="156">
        <f t="shared" si="31"/>
        <v>153605</v>
      </c>
      <c r="K75" s="157">
        <f t="shared" si="38"/>
        <v>0.99999830734963102</v>
      </c>
      <c r="L75" s="158"/>
      <c r="M75" s="159">
        <f t="shared" si="39"/>
        <v>0</v>
      </c>
      <c r="N75" s="160">
        <f t="shared" si="32"/>
        <v>153605</v>
      </c>
      <c r="O75" s="159">
        <f t="shared" si="40"/>
        <v>0.99999830734963102</v>
      </c>
      <c r="P75" s="160"/>
      <c r="Q75" s="171"/>
      <c r="R75" s="199"/>
      <c r="S75" s="204"/>
      <c r="T75" s="202"/>
      <c r="U75" s="180"/>
      <c r="V75" s="179"/>
      <c r="W75" s="180"/>
      <c r="X75" s="179"/>
      <c r="Y75" s="180"/>
      <c r="Z75" s="179"/>
      <c r="AA75" s="180"/>
      <c r="AB75" s="179"/>
      <c r="AC75" s="180"/>
      <c r="AD75" s="179"/>
      <c r="AE75" s="180"/>
      <c r="AF75" s="179"/>
      <c r="AG75" s="180"/>
      <c r="AH75" s="179"/>
      <c r="AI75" s="180"/>
      <c r="AJ75" s="179">
        <v>45000</v>
      </c>
      <c r="AK75" s="173"/>
      <c r="AL75" s="179"/>
      <c r="AM75" s="180"/>
      <c r="AN75" s="179">
        <v>50000</v>
      </c>
      <c r="AO75" s="185"/>
      <c r="AP75" s="172"/>
      <c r="AQ75" s="189">
        <v>129692</v>
      </c>
      <c r="AR75" s="190">
        <f t="shared" si="41"/>
        <v>95000</v>
      </c>
      <c r="AS75" s="215">
        <f t="shared" si="42"/>
        <v>129692</v>
      </c>
      <c r="AT75" s="177"/>
      <c r="AU75" s="161">
        <v>11964</v>
      </c>
      <c r="AV75" s="161">
        <v>11964</v>
      </c>
      <c r="AW75" s="218"/>
      <c r="AX75" s="218">
        <v>0</v>
      </c>
      <c r="AY75" s="218">
        <v>23913</v>
      </c>
      <c r="AZ75" s="287">
        <v>23913</v>
      </c>
      <c r="BA75" s="161">
        <v>0</v>
      </c>
      <c r="BB75" s="161"/>
      <c r="BC75" s="161"/>
      <c r="BD75" s="161">
        <v>0</v>
      </c>
      <c r="BE75" s="161">
        <v>0</v>
      </c>
      <c r="BF75" s="161"/>
      <c r="BG75" s="161">
        <v>0</v>
      </c>
      <c r="BH75" s="161">
        <v>0</v>
      </c>
      <c r="BI75" s="161"/>
      <c r="BJ75" s="161">
        <v>0</v>
      </c>
      <c r="BK75" s="161"/>
      <c r="BL75" s="161"/>
      <c r="BM75" s="161"/>
      <c r="BN75" s="161"/>
      <c r="BO75" s="161"/>
      <c r="BP75" s="161"/>
      <c r="BQ75" s="161"/>
      <c r="BR75" s="161"/>
      <c r="BS75" s="161"/>
      <c r="BT75" s="161"/>
      <c r="BU75" s="161"/>
      <c r="BV75" s="161"/>
      <c r="BW75" s="161"/>
      <c r="BX75" s="161"/>
      <c r="BY75" s="161">
        <f t="shared" si="43"/>
        <v>11964</v>
      </c>
      <c r="BZ75" s="161">
        <f t="shared" si="44"/>
        <v>35877</v>
      </c>
      <c r="CA75" s="216">
        <f t="shared" si="29"/>
        <v>23913</v>
      </c>
      <c r="CC75" s="178">
        <f t="shared" si="33"/>
        <v>0</v>
      </c>
      <c r="CD75" s="178">
        <f t="shared" si="45"/>
        <v>0</v>
      </c>
      <c r="CE75" s="178">
        <f t="shared" si="34"/>
        <v>0</v>
      </c>
      <c r="CF75" s="178">
        <f t="shared" si="35"/>
        <v>0</v>
      </c>
      <c r="CG75" s="178">
        <f t="shared" si="36"/>
        <v>0</v>
      </c>
    </row>
    <row r="76" spans="1:85" ht="14.25" customHeight="1" x14ac:dyDescent="0.2">
      <c r="A76" s="361" t="str">
        <f>+_xlfn.XLOOKUP(B76,'[1]Proyectos (NO FILTRAR)'!$F:$F,'[1]Proyectos (NO FILTRAR)'!$B:$B,0,0,1)</f>
        <v>PE-SPM-UG-FEL03-160-A</v>
      </c>
      <c r="B76" s="167" t="s">
        <v>327</v>
      </c>
      <c r="C76" s="155" t="str">
        <f>+_xlfn.XLOOKUP(A76,'[1]Proyectos (NO FILTRAR)'!$B:$B,'[1]Proyectos (NO FILTRAR)'!$G:$G,"error",0,1)</f>
        <v>Perú</v>
      </c>
      <c r="D76" s="155">
        <v>2025</v>
      </c>
      <c r="E76" s="155" t="s">
        <v>358</v>
      </c>
      <c r="F76" s="155" t="s">
        <v>37</v>
      </c>
      <c r="G76" s="207" t="s">
        <v>463</v>
      </c>
      <c r="H76" s="207"/>
      <c r="I76" s="285">
        <f>+_xlfn.XLOOKUP(B76,'[1]Proyectos (NO FILTRAR)'!$F:$F,'[1]Proyectos (NO FILTRAR)'!$O:$O,"!",0,1)</f>
        <v>122239</v>
      </c>
      <c r="J76" s="156">
        <f t="shared" si="31"/>
        <v>122239.29000000001</v>
      </c>
      <c r="K76" s="157">
        <f t="shared" si="38"/>
        <v>1.0000023724016067</v>
      </c>
      <c r="L76" s="158"/>
      <c r="M76" s="159">
        <f t="shared" si="39"/>
        <v>0</v>
      </c>
      <c r="N76" s="160">
        <f t="shared" si="32"/>
        <v>122239.29000000001</v>
      </c>
      <c r="O76" s="159">
        <f t="shared" si="40"/>
        <v>1.0000023724016067</v>
      </c>
      <c r="P76" s="160"/>
      <c r="Q76" s="171"/>
      <c r="R76" s="199"/>
      <c r="S76" s="204"/>
      <c r="T76" s="202"/>
      <c r="U76" s="180"/>
      <c r="V76" s="179"/>
      <c r="W76" s="180"/>
      <c r="X76" s="179"/>
      <c r="Y76" s="180"/>
      <c r="Z76" s="179"/>
      <c r="AA76" s="180"/>
      <c r="AB76" s="179"/>
      <c r="AC76" s="180"/>
      <c r="AD76" s="179"/>
      <c r="AE76" s="180"/>
      <c r="AF76" s="179">
        <v>30000</v>
      </c>
      <c r="AG76" s="180"/>
      <c r="AH76" s="179">
        <v>30000</v>
      </c>
      <c r="AI76" s="180"/>
      <c r="AJ76" s="179">
        <v>30000</v>
      </c>
      <c r="AK76" s="173"/>
      <c r="AL76" s="179"/>
      <c r="AM76" s="182">
        <v>20803</v>
      </c>
      <c r="AN76" s="179">
        <v>48068.098390163213</v>
      </c>
      <c r="AO76" s="182">
        <v>39809</v>
      </c>
      <c r="AP76" s="172"/>
      <c r="AQ76" s="189">
        <v>33598</v>
      </c>
      <c r="AR76" s="190">
        <f t="shared" si="41"/>
        <v>138068.09839016321</v>
      </c>
      <c r="AS76" s="215">
        <f t="shared" si="42"/>
        <v>94210</v>
      </c>
      <c r="AT76" s="177"/>
      <c r="AU76" s="161">
        <v>5034</v>
      </c>
      <c r="AV76" s="161">
        <v>5034</v>
      </c>
      <c r="AW76" s="218"/>
      <c r="AX76" s="218">
        <v>0</v>
      </c>
      <c r="AY76" s="218">
        <v>0</v>
      </c>
      <c r="AZ76" s="218"/>
      <c r="BA76" s="161">
        <v>15500</v>
      </c>
      <c r="BB76" s="161"/>
      <c r="BC76" s="161"/>
      <c r="BD76" s="161">
        <v>13000</v>
      </c>
      <c r="BE76" s="161">
        <v>28000</v>
      </c>
      <c r="BF76" s="161">
        <f>22995+5034.29</f>
        <v>28029.29</v>
      </c>
      <c r="BG76" s="161">
        <v>0</v>
      </c>
      <c r="BH76" s="161">
        <v>0</v>
      </c>
      <c r="BI76" s="161"/>
      <c r="BJ76" s="161">
        <v>0</v>
      </c>
      <c r="BK76" s="161"/>
      <c r="BL76" s="161"/>
      <c r="BM76" s="161"/>
      <c r="BN76" s="161"/>
      <c r="BO76" s="161"/>
      <c r="BP76" s="161"/>
      <c r="BQ76" s="161"/>
      <c r="BR76" s="161"/>
      <c r="BS76" s="161"/>
      <c r="BT76" s="161"/>
      <c r="BU76" s="161"/>
      <c r="BV76" s="161"/>
      <c r="BW76" s="161"/>
      <c r="BX76" s="161"/>
      <c r="BY76" s="161">
        <f t="shared" si="43"/>
        <v>33534</v>
      </c>
      <c r="BZ76" s="161">
        <f t="shared" si="44"/>
        <v>5034</v>
      </c>
      <c r="CA76" s="216">
        <f t="shared" si="29"/>
        <v>28029.29</v>
      </c>
      <c r="CC76" s="178">
        <f t="shared" si="33"/>
        <v>0</v>
      </c>
      <c r="CD76" s="178">
        <f t="shared" si="45"/>
        <v>0</v>
      </c>
      <c r="CE76" s="178">
        <f t="shared" si="34"/>
        <v>0</v>
      </c>
      <c r="CF76" s="178">
        <f t="shared" si="35"/>
        <v>1</v>
      </c>
      <c r="CG76" s="178">
        <f t="shared" si="36"/>
        <v>0</v>
      </c>
    </row>
    <row r="77" spans="1:85" ht="14.25" customHeight="1" x14ac:dyDescent="0.2">
      <c r="A77" s="361" t="str">
        <f>+_xlfn.XLOOKUP(B77,'[1]Proyectos (NO FILTRAR)'!$F:$F,'[1]Proyectos (NO FILTRAR)'!$B:$B,0,0,1)</f>
        <v>CH-COD-UG-FEL00-174-A</v>
      </c>
      <c r="B77" s="167" t="s">
        <v>412</v>
      </c>
      <c r="C77" s="155" t="str">
        <f>+_xlfn.XLOOKUP(A77,'[1]Proyectos (NO FILTRAR)'!$B:$B,'[1]Proyectos (NO FILTRAR)'!$G:$G,"error",0,1)</f>
        <v>Chile</v>
      </c>
      <c r="D77" s="155">
        <v>2025</v>
      </c>
      <c r="E77" s="155" t="s">
        <v>358</v>
      </c>
      <c r="F77" s="155" t="s">
        <v>35</v>
      </c>
      <c r="G77" s="207" t="s">
        <v>463</v>
      </c>
      <c r="H77" s="207"/>
      <c r="I77" s="285">
        <f>+_xlfn.XLOOKUP(B77,'[1]Proyectos (NO FILTRAR)'!$F:$F,'[1]Proyectos (NO FILTRAR)'!$O:$O,"!",0,1)</f>
        <v>85371</v>
      </c>
      <c r="J77" s="156">
        <f t="shared" si="31"/>
        <v>85370.751999999993</v>
      </c>
      <c r="K77" s="157">
        <f t="shared" si="38"/>
        <v>0.99999709503227086</v>
      </c>
      <c r="L77" s="158"/>
      <c r="M77" s="159">
        <f t="shared" si="39"/>
        <v>0</v>
      </c>
      <c r="N77" s="160">
        <f t="shared" si="32"/>
        <v>85370.751999999993</v>
      </c>
      <c r="O77" s="159">
        <f t="shared" si="40"/>
        <v>0.99999709503227086</v>
      </c>
      <c r="P77" s="160"/>
      <c r="Q77" s="171"/>
      <c r="R77" s="199"/>
      <c r="S77" s="204"/>
      <c r="T77" s="202"/>
      <c r="U77" s="180"/>
      <c r="V77" s="179"/>
      <c r="W77" s="180"/>
      <c r="X77" s="179"/>
      <c r="Y77" s="180"/>
      <c r="Z77" s="179"/>
      <c r="AA77" s="180"/>
      <c r="AB77" s="179"/>
      <c r="AC77" s="180"/>
      <c r="AD77" s="179"/>
      <c r="AE77" s="180"/>
      <c r="AF77" s="179"/>
      <c r="AG77" s="180"/>
      <c r="AH77" s="179"/>
      <c r="AI77" s="180"/>
      <c r="AJ77" s="179">
        <v>26000</v>
      </c>
      <c r="AK77" s="182">
        <f>23507*0.8985</f>
        <v>21121.039499999999</v>
      </c>
      <c r="AL77" s="179">
        <v>26000</v>
      </c>
      <c r="AM77" s="182">
        <f>26258*0.8985</f>
        <v>23592.812999999998</v>
      </c>
      <c r="AN77" s="179">
        <v>28235</v>
      </c>
      <c r="AO77" s="182">
        <f>26267*0.8985</f>
        <v>23600.8995</v>
      </c>
      <c r="AP77" s="172">
        <v>3968</v>
      </c>
      <c r="AQ77" s="180">
        <v>0</v>
      </c>
      <c r="AR77" s="190">
        <f t="shared" si="41"/>
        <v>84203</v>
      </c>
      <c r="AS77" s="215">
        <f t="shared" si="42"/>
        <v>68314.751999999993</v>
      </c>
      <c r="AT77" s="177"/>
      <c r="AU77" s="161">
        <v>17056</v>
      </c>
      <c r="AV77" s="161">
        <v>17056</v>
      </c>
      <c r="AW77" s="218"/>
      <c r="AX77" s="218"/>
      <c r="AY77" s="218">
        <v>17056.248000000007</v>
      </c>
      <c r="AZ77" s="287">
        <v>17056</v>
      </c>
      <c r="BA77" s="161">
        <v>0</v>
      </c>
      <c r="BB77" s="161"/>
      <c r="BC77" s="161"/>
      <c r="BD77" s="161">
        <v>0</v>
      </c>
      <c r="BE77" s="161">
        <v>0</v>
      </c>
      <c r="BF77" s="161"/>
      <c r="BG77" s="161">
        <v>0</v>
      </c>
      <c r="BH77" s="161">
        <v>0</v>
      </c>
      <c r="BI77" s="161"/>
      <c r="BJ77" s="161">
        <v>0</v>
      </c>
      <c r="BK77" s="161"/>
      <c r="BL77" s="161"/>
      <c r="BM77" s="161"/>
      <c r="BN77" s="161"/>
      <c r="BO77" s="161"/>
      <c r="BP77" s="161"/>
      <c r="BQ77" s="161"/>
      <c r="BR77" s="161"/>
      <c r="BS77" s="161"/>
      <c r="BT77" s="161"/>
      <c r="BU77" s="161"/>
      <c r="BV77" s="161"/>
      <c r="BW77" s="161"/>
      <c r="BX77" s="161"/>
      <c r="BY77" s="161">
        <f t="shared" si="43"/>
        <v>17056</v>
      </c>
      <c r="BZ77" s="161">
        <f t="shared" si="44"/>
        <v>34112.248000000007</v>
      </c>
      <c r="CA77" s="216">
        <f t="shared" si="29"/>
        <v>17056</v>
      </c>
      <c r="CC77" s="178">
        <f t="shared" si="33"/>
        <v>0</v>
      </c>
      <c r="CD77" s="178">
        <f t="shared" si="45"/>
        <v>0</v>
      </c>
      <c r="CE77" s="178">
        <f t="shared" si="34"/>
        <v>0</v>
      </c>
      <c r="CF77" s="178">
        <f t="shared" si="35"/>
        <v>0</v>
      </c>
      <c r="CG77" s="178">
        <f t="shared" si="36"/>
        <v>0</v>
      </c>
    </row>
    <row r="78" spans="1:85" ht="14.25" customHeight="1" x14ac:dyDescent="0.2">
      <c r="A78" s="361" t="str">
        <f>+_xlfn.XLOOKUP(B78,'[1]Proyectos (NO FILTRAR)'!$F:$F,'[1]Proyectos (NO FILTRAR)'!$B:$B,0,0,1)</f>
        <v>BR-ERC-UG-FEL00-152-A</v>
      </c>
      <c r="B78" s="167" t="s">
        <v>319</v>
      </c>
      <c r="C78" s="155" t="str">
        <f>+_xlfn.XLOOKUP(A78,'[1]Proyectos (NO FILTRAR)'!$B:$B,'[1]Proyectos (NO FILTRAR)'!$G:$G,"error",0,1)</f>
        <v>Brasil</v>
      </c>
      <c r="D78" s="155">
        <v>2025</v>
      </c>
      <c r="E78" s="155" t="s">
        <v>358</v>
      </c>
      <c r="F78" s="155" t="s">
        <v>33</v>
      </c>
      <c r="G78" s="207" t="s">
        <v>463</v>
      </c>
      <c r="H78" s="207"/>
      <c r="I78" s="285">
        <f>+_xlfn.XLOOKUP(B78,'[1]Proyectos (NO FILTRAR)'!$F:$F,'[1]Proyectos (NO FILTRAR)'!$O:$O,"!",0,1)</f>
        <v>562180</v>
      </c>
      <c r="J78" s="156">
        <f t="shared" si="31"/>
        <v>553762.09667654987</v>
      </c>
      <c r="K78" s="157">
        <f t="shared" si="38"/>
        <v>0.98502632017601099</v>
      </c>
      <c r="L78" s="329"/>
      <c r="M78" s="159">
        <f t="shared" si="39"/>
        <v>0</v>
      </c>
      <c r="N78" s="160">
        <f t="shared" si="32"/>
        <v>553762.09667654987</v>
      </c>
      <c r="O78" s="159">
        <f t="shared" si="40"/>
        <v>0.98502632017601099</v>
      </c>
      <c r="P78" s="160">
        <f>+I78-N78</f>
        <v>8417.9033234501258</v>
      </c>
      <c r="Q78" s="171"/>
      <c r="R78" s="199"/>
      <c r="S78" s="204"/>
      <c r="T78" s="202"/>
      <c r="U78" s="180"/>
      <c r="V78" s="179"/>
      <c r="W78" s="180"/>
      <c r="X78" s="179"/>
      <c r="Y78" s="180"/>
      <c r="Z78" s="179"/>
      <c r="AA78" s="180"/>
      <c r="AB78" s="179"/>
      <c r="AC78" s="180"/>
      <c r="AD78" s="179">
        <v>42000</v>
      </c>
      <c r="AE78" s="180">
        <v>86279.595471698107</v>
      </c>
      <c r="AF78" s="179">
        <v>20000</v>
      </c>
      <c r="AG78" s="184">
        <v>23873.155943396225</v>
      </c>
      <c r="AH78" s="179">
        <v>70000</v>
      </c>
      <c r="AI78" s="182">
        <v>74156.001226415086</v>
      </c>
      <c r="AJ78" s="179">
        <v>63649.320521143018</v>
      </c>
      <c r="AK78" s="176">
        <v>68993.162358490576</v>
      </c>
      <c r="AL78" s="179">
        <v>34500</v>
      </c>
      <c r="AM78" s="182">
        <v>39205.773773584908</v>
      </c>
      <c r="AN78" s="179">
        <v>54500</v>
      </c>
      <c r="AO78" s="182">
        <v>61666.713867924518</v>
      </c>
      <c r="AP78" s="172">
        <v>50000</v>
      </c>
      <c r="AQ78" s="189">
        <v>52319.196320754709</v>
      </c>
      <c r="AR78" s="190">
        <f t="shared" si="41"/>
        <v>334649.32052114303</v>
      </c>
      <c r="AS78" s="215">
        <f t="shared" si="42"/>
        <v>406493.59896226414</v>
      </c>
      <c r="AT78" s="177"/>
      <c r="AU78" s="161">
        <v>47000</v>
      </c>
      <c r="AV78" s="161">
        <v>47000</v>
      </c>
      <c r="AW78" s="288">
        <v>46571.709904761905</v>
      </c>
      <c r="AX78" s="218">
        <v>59681.1224489796</v>
      </c>
      <c r="AY78" s="218">
        <v>61000</v>
      </c>
      <c r="AZ78" s="287">
        <v>70943.787809523827</v>
      </c>
      <c r="BA78" s="161">
        <v>23621</v>
      </c>
      <c r="BB78" s="161"/>
      <c r="BC78" s="287">
        <v>29753</v>
      </c>
      <c r="BD78" s="161">
        <v>0</v>
      </c>
      <c r="BE78" s="161">
        <v>0</v>
      </c>
      <c r="BF78" s="161"/>
      <c r="BG78" s="161">
        <v>0</v>
      </c>
      <c r="BH78" s="161">
        <v>0</v>
      </c>
      <c r="BI78" s="161"/>
      <c r="BJ78" s="161">
        <v>0</v>
      </c>
      <c r="BK78" s="161"/>
      <c r="BL78" s="161"/>
      <c r="BM78" s="161"/>
      <c r="BN78" s="161"/>
      <c r="BO78" s="161"/>
      <c r="BP78" s="161"/>
      <c r="BQ78" s="161"/>
      <c r="BR78" s="161"/>
      <c r="BS78" s="161"/>
      <c r="BT78" s="161"/>
      <c r="BU78" s="161"/>
      <c r="BV78" s="161"/>
      <c r="BW78" s="161"/>
      <c r="BX78" s="161"/>
      <c r="BY78" s="161">
        <f t="shared" si="43"/>
        <v>130302.1224489796</v>
      </c>
      <c r="BZ78" s="161">
        <f t="shared" si="44"/>
        <v>108000</v>
      </c>
      <c r="CA78" s="216">
        <f t="shared" si="29"/>
        <v>147268.49771428574</v>
      </c>
      <c r="CC78" s="178">
        <f t="shared" si="33"/>
        <v>0.99088744478216817</v>
      </c>
      <c r="CD78" s="178">
        <f t="shared" si="45"/>
        <v>1</v>
      </c>
      <c r="CE78" s="178">
        <f t="shared" si="34"/>
        <v>1</v>
      </c>
      <c r="CF78" s="178">
        <f t="shared" si="35"/>
        <v>0</v>
      </c>
      <c r="CG78" s="178">
        <f t="shared" si="36"/>
        <v>0</v>
      </c>
    </row>
    <row r="79" spans="1:85" ht="14.25" customHeight="1" x14ac:dyDescent="0.2">
      <c r="A79" s="361" t="str">
        <f>+_xlfn.XLOOKUP(B79,'[1]Proyectos (NO FILTRAR)'!$F:$F,'[1]Proyectos (NO FILTRAR)'!$B:$B,0,0,1)</f>
        <v>PE-ECR-UG-FEL00-188-A</v>
      </c>
      <c r="B79" s="154" t="s">
        <v>454</v>
      </c>
      <c r="C79" s="155" t="str">
        <f>+_xlfn.XLOOKUP(A79,'[1]Proyectos (NO FILTRAR)'!$B:$B,'[1]Proyectos (NO FILTRAR)'!$G:$G,"error",0,1)</f>
        <v>Perú</v>
      </c>
      <c r="D79" s="155">
        <v>2026</v>
      </c>
      <c r="E79" s="155" t="s">
        <v>360</v>
      </c>
      <c r="F79" s="155" t="s">
        <v>455</v>
      </c>
      <c r="G79" s="207" t="s">
        <v>464</v>
      </c>
      <c r="H79" s="207"/>
      <c r="I79" s="285">
        <f>+_xlfn.XLOOKUP(B79,'[1]Proyectos (NO FILTRAR)'!$F:$F,'[1]Proyectos (NO FILTRAR)'!$O:$O,"!",0,1)</f>
        <v>187113</v>
      </c>
      <c r="J79" s="156">
        <f t="shared" si="31"/>
        <v>183496</v>
      </c>
      <c r="K79" s="157">
        <f t="shared" si="38"/>
        <v>0.98066943504727089</v>
      </c>
      <c r="L79" s="329">
        <f t="shared" ref="L79:L100" si="46">+I79-J79</f>
        <v>3617</v>
      </c>
      <c r="M79" s="159">
        <f t="shared" si="39"/>
        <v>1.9330564952729098E-2</v>
      </c>
      <c r="N79" s="160">
        <f t="shared" si="32"/>
        <v>183496</v>
      </c>
      <c r="O79" s="159">
        <f t="shared" si="40"/>
        <v>0.98066943504727089</v>
      </c>
      <c r="P79" s="160">
        <f>+I79-N79</f>
        <v>3617</v>
      </c>
      <c r="Q79" s="171"/>
      <c r="R79" s="199"/>
      <c r="S79" s="204"/>
      <c r="T79" s="202"/>
      <c r="U79" s="180"/>
      <c r="V79" s="179"/>
      <c r="W79" s="180"/>
      <c r="X79" s="179"/>
      <c r="Y79" s="180"/>
      <c r="Z79" s="179"/>
      <c r="AA79" s="180"/>
      <c r="AB79" s="179"/>
      <c r="AC79" s="180"/>
      <c r="AD79" s="179"/>
      <c r="AE79" s="180"/>
      <c r="AF79" s="179"/>
      <c r="AG79" s="180"/>
      <c r="AH79" s="179"/>
      <c r="AI79" s="180"/>
      <c r="AJ79" s="179"/>
      <c r="AK79" s="173"/>
      <c r="AL79" s="179"/>
      <c r="AM79" s="180"/>
      <c r="AN79" s="179"/>
      <c r="AO79" s="185"/>
      <c r="AP79" s="172"/>
      <c r="AQ79" s="180"/>
      <c r="AR79" s="190">
        <f t="shared" si="41"/>
        <v>0</v>
      </c>
      <c r="AS79" s="215">
        <f t="shared" si="42"/>
        <v>0</v>
      </c>
      <c r="AT79" s="177"/>
      <c r="AU79" s="161">
        <v>67000</v>
      </c>
      <c r="AV79" s="161">
        <v>0</v>
      </c>
      <c r="AW79" s="218"/>
      <c r="AX79" s="218">
        <v>45169.569202566447</v>
      </c>
      <c r="AY79" s="218">
        <v>65000</v>
      </c>
      <c r="AZ79" s="287">
        <v>66050</v>
      </c>
      <c r="BA79" s="161">
        <v>62000</v>
      </c>
      <c r="BB79" s="161"/>
      <c r="BC79" s="287">
        <v>60047</v>
      </c>
      <c r="BD79" s="161">
        <v>42403</v>
      </c>
      <c r="BE79" s="161">
        <v>42403</v>
      </c>
      <c r="BF79" s="161">
        <f>45903+11496</f>
        <v>57399</v>
      </c>
      <c r="BG79" s="161">
        <v>0</v>
      </c>
      <c r="BH79" s="161">
        <v>0</v>
      </c>
      <c r="BI79" s="161"/>
      <c r="BJ79" s="161">
        <v>0</v>
      </c>
      <c r="BK79" s="161"/>
      <c r="BL79" s="161"/>
      <c r="BM79" s="161"/>
      <c r="BN79" s="161"/>
      <c r="BO79" s="161"/>
      <c r="BP79" s="161"/>
      <c r="BQ79" s="161"/>
      <c r="BR79" s="161"/>
      <c r="BS79" s="161"/>
      <c r="BT79" s="161"/>
      <c r="BU79" s="161"/>
      <c r="BV79" s="161"/>
      <c r="BW79" s="161"/>
      <c r="BX79" s="161"/>
      <c r="BY79" s="161">
        <f t="shared" si="43"/>
        <v>216572.56920256646</v>
      </c>
      <c r="BZ79" s="161">
        <f t="shared" si="44"/>
        <v>65000</v>
      </c>
      <c r="CA79" s="216">
        <f t="shared" si="29"/>
        <v>183496</v>
      </c>
      <c r="CC79" s="178">
        <f t="shared" si="33"/>
        <v>0</v>
      </c>
      <c r="CD79" s="178">
        <f t="shared" si="45"/>
        <v>1</v>
      </c>
      <c r="CE79" s="178">
        <f t="shared" si="34"/>
        <v>0.96850000000000003</v>
      </c>
      <c r="CF79" s="178">
        <f t="shared" si="35"/>
        <v>1</v>
      </c>
      <c r="CG79" s="178">
        <f t="shared" si="36"/>
        <v>0</v>
      </c>
    </row>
    <row r="80" spans="1:85" ht="14.25" customHeight="1" x14ac:dyDescent="0.2">
      <c r="A80" s="361" t="str">
        <f>+_xlfn.XLOOKUP(B80,'[1]Proyectos (NO FILTRAR)'!$F:$F,'[1]Proyectos (NO FILTRAR)'!$B:$B,0,0,1)</f>
        <v>CH-COD-CS-OTR00-193-A</v>
      </c>
      <c r="B80" s="154" t="s">
        <v>460</v>
      </c>
      <c r="C80" s="155" t="str">
        <f>+_xlfn.XLOOKUP(A80,'[1]Proyectos (NO FILTRAR)'!$B:$B,'[1]Proyectos (NO FILTRAR)'!$G:$G,"error",0,1)</f>
        <v>Chile</v>
      </c>
      <c r="D80" s="155">
        <v>2025</v>
      </c>
      <c r="E80" s="155" t="s">
        <v>358</v>
      </c>
      <c r="F80" s="155"/>
      <c r="G80" s="207" t="s">
        <v>463</v>
      </c>
      <c r="H80" s="207"/>
      <c r="I80" s="285">
        <f>+_xlfn.XLOOKUP(B80,'[1]Proyectos (NO FILTRAR)'!$F:$F,'[1]Proyectos (NO FILTRAR)'!$O:$O,"!",0,1)</f>
        <v>257988</v>
      </c>
      <c r="J80" s="156">
        <f t="shared" si="31"/>
        <v>257988</v>
      </c>
      <c r="K80" s="157">
        <f t="shared" ref="K80:K100" si="47">+IFERROR(J80/I80,0)</f>
        <v>1</v>
      </c>
      <c r="L80" s="158"/>
      <c r="M80" s="159">
        <f t="shared" ref="M80:M100" si="48">+IFERROR(L80/I80,0)</f>
        <v>0</v>
      </c>
      <c r="N80" s="160">
        <f t="shared" si="32"/>
        <v>257988</v>
      </c>
      <c r="O80" s="159">
        <f t="shared" ref="O80:O98" si="49">IFERROR(N80/I80,0)</f>
        <v>1</v>
      </c>
      <c r="P80" s="160"/>
      <c r="Q80" s="171"/>
      <c r="R80" s="199"/>
      <c r="S80" s="204"/>
      <c r="T80" s="202"/>
      <c r="U80" s="180"/>
      <c r="V80" s="179"/>
      <c r="W80" s="180"/>
      <c r="X80" s="179"/>
      <c r="Y80" s="180"/>
      <c r="Z80" s="179"/>
      <c r="AA80" s="180"/>
      <c r="AB80" s="179"/>
      <c r="AC80" s="180"/>
      <c r="AD80" s="179"/>
      <c r="AE80" s="180"/>
      <c r="AF80" s="179"/>
      <c r="AG80" s="180"/>
      <c r="AH80" s="179"/>
      <c r="AI80" s="180"/>
      <c r="AJ80" s="179"/>
      <c r="AK80" s="182"/>
      <c r="AL80" s="179"/>
      <c r="AM80" s="180"/>
      <c r="AN80" s="179"/>
      <c r="AO80" s="185"/>
      <c r="AP80" s="172"/>
      <c r="AQ80" s="180"/>
      <c r="AR80" s="190">
        <f t="shared" ref="AR80:AR93" si="50">+SUM(T80,V80,X80,Z80,AB80,AD80,AF80,AH80,AJ80,AL80,AN80,AP80)</f>
        <v>0</v>
      </c>
      <c r="AS80" s="215">
        <f t="shared" ref="AS80:AS93" si="51">+SUM(U80,W80,Y80,AA80,AC80,AE80,AG80,AI80,AK80,AM80,AO80,AQ80)</f>
        <v>0</v>
      </c>
      <c r="AT80" s="177"/>
      <c r="AU80" s="330">
        <v>0</v>
      </c>
      <c r="AV80" s="330">
        <v>5000</v>
      </c>
      <c r="AW80" s="218"/>
      <c r="AX80" s="218">
        <v>132678.81739893439</v>
      </c>
      <c r="AY80" s="218">
        <v>100000</v>
      </c>
      <c r="AZ80" s="287">
        <v>103193</v>
      </c>
      <c r="BA80" s="161">
        <v>154795</v>
      </c>
      <c r="BB80" s="161"/>
      <c r="BC80" s="287">
        <v>94715</v>
      </c>
      <c r="BD80" s="161">
        <v>60080</v>
      </c>
      <c r="BE80" s="161">
        <v>60080</v>
      </c>
      <c r="BF80" s="360">
        <v>60080</v>
      </c>
      <c r="BG80" s="161">
        <v>0</v>
      </c>
      <c r="BH80" s="161">
        <v>0</v>
      </c>
      <c r="BI80" s="161"/>
      <c r="BJ80" s="161">
        <v>0</v>
      </c>
      <c r="BK80" s="161"/>
      <c r="BL80" s="161"/>
      <c r="BM80" s="161"/>
      <c r="BN80" s="161"/>
      <c r="BO80" s="161"/>
      <c r="BP80" s="161"/>
      <c r="BQ80" s="161"/>
      <c r="BR80" s="161"/>
      <c r="BS80" s="161"/>
      <c r="BT80" s="161"/>
      <c r="BU80" s="161"/>
      <c r="BV80" s="161"/>
      <c r="BW80" s="161"/>
      <c r="BX80" s="161"/>
      <c r="BY80" s="161">
        <f t="shared" ref="BY80:BY95" si="52">+SUM(AU80,AX80,BA80,BD80,BG80,BJ80,BM80,BO80,BQ80,BS80,BU80,BW80)</f>
        <v>347553.81739893439</v>
      </c>
      <c r="BZ80" s="161">
        <f t="shared" ref="BZ80:BZ96" si="53">+AV80+AY80</f>
        <v>105000</v>
      </c>
      <c r="CA80" s="216">
        <f t="shared" ref="CA80:CA121" si="54">+SUM(AW80,AZ80,BC80,BF80,BI80,BL80,BN80,BP80,BR80,BT80,BV80,BX80)</f>
        <v>257988</v>
      </c>
      <c r="CC80" s="178">
        <f t="shared" si="33"/>
        <v>0</v>
      </c>
      <c r="CD80" s="178">
        <f t="shared" si="45"/>
        <v>0.77776544909744416</v>
      </c>
      <c r="CE80" s="178">
        <f t="shared" si="34"/>
        <v>0.61187376853257536</v>
      </c>
      <c r="CF80" s="178">
        <f t="shared" si="35"/>
        <v>1</v>
      </c>
      <c r="CG80" s="178">
        <f t="shared" si="36"/>
        <v>0</v>
      </c>
    </row>
    <row r="81" spans="1:85" ht="14.25" customHeight="1" x14ac:dyDescent="0.2">
      <c r="A81" s="361" t="str">
        <f>+_xlfn.XLOOKUP(B81,'[1]Proyectos (NO FILTRAR)'!$F:$F,'[1]Proyectos (NO FILTRAR)'!$B:$B,0,0,1)</f>
        <v>BR-AUM-UG-FEL2A-181-A</v>
      </c>
      <c r="B81" s="154" t="s">
        <v>448</v>
      </c>
      <c r="C81" s="155" t="str">
        <f>+_xlfn.XLOOKUP(A81,'[1]Proyectos (NO FILTRAR)'!$B:$B,'[1]Proyectos (NO FILTRAR)'!$G:$G,"error",0,1)</f>
        <v>Brasil</v>
      </c>
      <c r="D81" s="155">
        <v>2025</v>
      </c>
      <c r="E81" s="155" t="s">
        <v>358</v>
      </c>
      <c r="F81" s="155" t="s">
        <v>33</v>
      </c>
      <c r="G81" s="207" t="s">
        <v>463</v>
      </c>
      <c r="H81" s="207"/>
      <c r="I81" s="285">
        <f>+_xlfn.XLOOKUP(B81,'[1]Proyectos (NO FILTRAR)'!$F:$F,'[1]Proyectos (NO FILTRAR)'!$O:$O,"!",0,1)</f>
        <v>192082.19</v>
      </c>
      <c r="J81" s="156">
        <f t="shared" ref="J81:J121" si="55">+Q81+U81+W81+Y81+AA81+AC81+AE81+AG81+AI81+AK81+AM81+AO81+AQ81+AW81+AZ81+BC81+BF81+BI81</f>
        <v>192082.2</v>
      </c>
      <c r="K81" s="157">
        <f t="shared" si="47"/>
        <v>1.0000000520610475</v>
      </c>
      <c r="L81" s="329"/>
      <c r="M81" s="159">
        <f t="shared" si="48"/>
        <v>0</v>
      </c>
      <c r="N81" s="160">
        <f t="shared" ref="N81:N121" si="56">+J81+BJ81</f>
        <v>192082.2</v>
      </c>
      <c r="O81" s="159">
        <f t="shared" si="49"/>
        <v>1.0000000520610475</v>
      </c>
      <c r="P81" s="160"/>
      <c r="Q81" s="171"/>
      <c r="R81" s="199"/>
      <c r="S81" s="204"/>
      <c r="T81" s="202"/>
      <c r="U81" s="180"/>
      <c r="V81" s="179"/>
      <c r="W81" s="180"/>
      <c r="X81" s="179"/>
      <c r="Y81" s="180"/>
      <c r="Z81" s="179"/>
      <c r="AA81" s="180"/>
      <c r="AB81" s="179"/>
      <c r="AC81" s="180"/>
      <c r="AD81" s="179"/>
      <c r="AE81" s="180"/>
      <c r="AF81" s="179"/>
      <c r="AG81" s="180"/>
      <c r="AH81" s="179"/>
      <c r="AI81" s="180"/>
      <c r="AJ81" s="179"/>
      <c r="AK81" s="180"/>
      <c r="AL81" s="179"/>
      <c r="AM81" s="180"/>
      <c r="AN81" s="179">
        <v>10000</v>
      </c>
      <c r="AO81" s="182">
        <v>8652</v>
      </c>
      <c r="AP81" s="172">
        <v>30000</v>
      </c>
      <c r="AQ81" s="189">
        <v>23872</v>
      </c>
      <c r="AR81" s="190">
        <f t="shared" si="50"/>
        <v>40000</v>
      </c>
      <c r="AS81" s="215">
        <f t="shared" si="51"/>
        <v>32524</v>
      </c>
      <c r="AT81" s="177"/>
      <c r="AU81" s="161">
        <v>18000</v>
      </c>
      <c r="AV81" s="161">
        <v>18000</v>
      </c>
      <c r="AW81" s="287">
        <v>15152</v>
      </c>
      <c r="AX81" s="218">
        <v>75316.205533596862</v>
      </c>
      <c r="AY81" s="218">
        <v>69500</v>
      </c>
      <c r="AZ81" s="287">
        <v>69222</v>
      </c>
      <c r="BA81" s="161">
        <v>60000</v>
      </c>
      <c r="BB81" s="161"/>
      <c r="BC81" s="287">
        <v>61931.199999999997</v>
      </c>
      <c r="BD81" s="161">
        <v>13252.989999999991</v>
      </c>
      <c r="BE81" s="161">
        <v>13253</v>
      </c>
      <c r="BF81" s="161">
        <v>0</v>
      </c>
      <c r="BG81" s="161">
        <v>0</v>
      </c>
      <c r="BH81" s="161">
        <v>0</v>
      </c>
      <c r="BI81" s="287">
        <v>13253</v>
      </c>
      <c r="BJ81" s="161">
        <v>0</v>
      </c>
      <c r="BK81" s="161"/>
      <c r="BL81" s="161"/>
      <c r="BM81" s="161"/>
      <c r="BN81" s="161"/>
      <c r="BO81" s="161"/>
      <c r="BP81" s="161"/>
      <c r="BQ81" s="161"/>
      <c r="BR81" s="161"/>
      <c r="BS81" s="161"/>
      <c r="BT81" s="161"/>
      <c r="BU81" s="161"/>
      <c r="BV81" s="161"/>
      <c r="BW81" s="161"/>
      <c r="BX81" s="161"/>
      <c r="BY81" s="161">
        <f t="shared" si="52"/>
        <v>166569.19553359685</v>
      </c>
      <c r="BZ81" s="161">
        <f t="shared" si="53"/>
        <v>87500</v>
      </c>
      <c r="CA81" s="216">
        <f t="shared" si="54"/>
        <v>159558.20000000001</v>
      </c>
      <c r="CC81" s="178">
        <f t="shared" ref="CC81:CC102" si="57">+IF(AND(AU81&gt;0,AW81=0),0,IF(AU81=0,0,IF(AW81&gt;=AU81,1,AW81/AU81)))</f>
        <v>0.84177777777777774</v>
      </c>
      <c r="CD81" s="178">
        <f t="shared" si="45"/>
        <v>0.91908506953555469</v>
      </c>
      <c r="CE81" s="178">
        <f t="shared" ref="CE81:CE102" si="58">+IF(AND(BA81&gt;0,BC81=0),0,IF(BA81=0,0,IF(BC81&gt;=BA81,1,BC81/BA81)))</f>
        <v>1</v>
      </c>
      <c r="CF81" s="178">
        <f t="shared" ref="CF81:CF110" si="59">+IF(AND(BD81&gt;0,BF81=0),0,IF(BD81=0,0,IF(BF81&gt;=BD81,1,BF81/BD81)))</f>
        <v>0</v>
      </c>
      <c r="CG81" s="178">
        <f t="shared" ref="CG81:CG121" si="60">+IF(AND(BG81&gt;0,BI81=0),0,IF(BG81=0,0,IF(BI81&gt;=BG81,1,BI81/BG81)))</f>
        <v>0</v>
      </c>
    </row>
    <row r="82" spans="1:85" ht="14.25" customHeight="1" x14ac:dyDescent="0.2">
      <c r="A82" s="361" t="str">
        <f>+_xlfn.XLOOKUP(B82,'[1]Proyectos (NO FILTRAR)'!$F:$F,'[1]Proyectos (NO FILTRAR)'!$B:$B,0,0,1)</f>
        <v>PE-ALP-GM-FEL00-156-A</v>
      </c>
      <c r="B82" s="167" t="s">
        <v>323</v>
      </c>
      <c r="C82" s="155" t="str">
        <f>+_xlfn.XLOOKUP(A82,'[1]Proyectos (NO FILTRAR)'!$B:$B,'[1]Proyectos (NO FILTRAR)'!$G:$G,"error",0,1)</f>
        <v>Perú</v>
      </c>
      <c r="D82" s="155">
        <v>2025</v>
      </c>
      <c r="E82" s="155" t="s">
        <v>358</v>
      </c>
      <c r="F82" s="155" t="s">
        <v>162</v>
      </c>
      <c r="G82" s="207" t="s">
        <v>464</v>
      </c>
      <c r="H82" s="207"/>
      <c r="I82" s="285">
        <f>+_xlfn.XLOOKUP(B82,'[1]Proyectos (NO FILTRAR)'!$F:$F,'[1]Proyectos (NO FILTRAR)'!$O:$O,"!",0,1)</f>
        <v>187619</v>
      </c>
      <c r="J82" s="156">
        <f t="shared" si="55"/>
        <v>187619</v>
      </c>
      <c r="K82" s="157">
        <f t="shared" si="47"/>
        <v>1</v>
      </c>
      <c r="L82" s="158"/>
      <c r="M82" s="159">
        <f t="shared" si="48"/>
        <v>0</v>
      </c>
      <c r="N82" s="160">
        <f t="shared" si="56"/>
        <v>187619</v>
      </c>
      <c r="O82" s="159">
        <f t="shared" si="49"/>
        <v>1</v>
      </c>
      <c r="P82" s="160"/>
      <c r="Q82" s="171"/>
      <c r="R82" s="199"/>
      <c r="S82" s="204"/>
      <c r="T82" s="202"/>
      <c r="U82" s="180"/>
      <c r="V82" s="179"/>
      <c r="W82" s="180"/>
      <c r="X82" s="179"/>
      <c r="Y82" s="180"/>
      <c r="Z82" s="179"/>
      <c r="AA82" s="180"/>
      <c r="AB82" s="179"/>
      <c r="AC82" s="180"/>
      <c r="AD82" s="179"/>
      <c r="AE82" s="180"/>
      <c r="AF82" s="179">
        <v>15000</v>
      </c>
      <c r="AG82" s="184">
        <v>14455</v>
      </c>
      <c r="AH82" s="179">
        <v>31000</v>
      </c>
      <c r="AI82" s="182">
        <v>13779</v>
      </c>
      <c r="AJ82" s="179">
        <v>24120</v>
      </c>
      <c r="AK82" s="182">
        <v>15554</v>
      </c>
      <c r="AL82" s="179">
        <v>15500</v>
      </c>
      <c r="AM82" s="182">
        <v>20205</v>
      </c>
      <c r="AN82" s="179">
        <v>30000</v>
      </c>
      <c r="AO82" s="182">
        <v>34300</v>
      </c>
      <c r="AP82" s="172">
        <v>40000</v>
      </c>
      <c r="AQ82" s="189">
        <v>33020</v>
      </c>
      <c r="AR82" s="190">
        <f t="shared" si="50"/>
        <v>155620</v>
      </c>
      <c r="AS82" s="215">
        <f t="shared" si="51"/>
        <v>131313</v>
      </c>
      <c r="AT82" s="177"/>
      <c r="AU82" s="161">
        <v>40000</v>
      </c>
      <c r="AV82" s="161">
        <v>40000</v>
      </c>
      <c r="AW82" s="287">
        <v>36078</v>
      </c>
      <c r="AX82" s="218">
        <v>0</v>
      </c>
      <c r="AY82" s="218">
        <v>20228</v>
      </c>
      <c r="AZ82" s="287">
        <v>20228</v>
      </c>
      <c r="BA82" s="161">
        <v>0</v>
      </c>
      <c r="BB82" s="161"/>
      <c r="BC82" s="161"/>
      <c r="BD82" s="161">
        <v>0</v>
      </c>
      <c r="BE82" s="161">
        <v>0</v>
      </c>
      <c r="BF82" s="161"/>
      <c r="BG82" s="161">
        <v>0</v>
      </c>
      <c r="BH82" s="161">
        <v>0</v>
      </c>
      <c r="BI82" s="161"/>
      <c r="BJ82" s="161">
        <v>0</v>
      </c>
      <c r="BK82" s="161"/>
      <c r="BL82" s="161"/>
      <c r="BM82" s="161"/>
      <c r="BN82" s="161"/>
      <c r="BO82" s="161"/>
      <c r="BP82" s="161"/>
      <c r="BQ82" s="161"/>
      <c r="BR82" s="161"/>
      <c r="BS82" s="161"/>
      <c r="BT82" s="161"/>
      <c r="BU82" s="161"/>
      <c r="BV82" s="161"/>
      <c r="BW82" s="161"/>
      <c r="BX82" s="161"/>
      <c r="BY82" s="161">
        <f t="shared" si="52"/>
        <v>40000</v>
      </c>
      <c r="BZ82" s="161">
        <f t="shared" si="53"/>
        <v>60228</v>
      </c>
      <c r="CA82" s="216">
        <f t="shared" si="54"/>
        <v>56306</v>
      </c>
      <c r="CC82" s="178">
        <f t="shared" si="57"/>
        <v>0.90195000000000003</v>
      </c>
      <c r="CD82" s="178">
        <f t="shared" si="45"/>
        <v>0</v>
      </c>
      <c r="CE82" s="178">
        <f t="shared" si="58"/>
        <v>0</v>
      </c>
      <c r="CF82" s="178">
        <f t="shared" si="59"/>
        <v>0</v>
      </c>
      <c r="CG82" s="178">
        <f t="shared" si="60"/>
        <v>0</v>
      </c>
    </row>
    <row r="83" spans="1:85" ht="14.25" customHeight="1" x14ac:dyDescent="0.2">
      <c r="A83" s="361" t="str">
        <f>+_xlfn.XLOOKUP(B83,'[1]Proyectos (NO FILTRAR)'!$F:$F,'[1]Proyectos (NO FILTRAR)'!$B:$B,0,0,1)</f>
        <v>OT-RES-CS-OTR00-178-A</v>
      </c>
      <c r="B83" s="154" t="s">
        <v>437</v>
      </c>
      <c r="C83" s="155" t="str">
        <f>+_xlfn.XLOOKUP(A83,'[1]Proyectos (NO FILTRAR)'!$B:$B,'[1]Proyectos (NO FILTRAR)'!$G:$G,"error",0,1)</f>
        <v>Otros</v>
      </c>
      <c r="D83" s="155">
        <v>2025</v>
      </c>
      <c r="E83" s="155" t="s">
        <v>360</v>
      </c>
      <c r="F83" s="155" t="s">
        <v>315</v>
      </c>
      <c r="G83" s="207" t="s">
        <v>463</v>
      </c>
      <c r="H83" s="207"/>
      <c r="I83" s="285">
        <f>+_xlfn.XLOOKUP(B83,'[1]Proyectos (NO FILTRAR)'!$F:$F,'[1]Proyectos (NO FILTRAR)'!$O:$O,"!",0,1)</f>
        <v>217777</v>
      </c>
      <c r="J83" s="156">
        <f t="shared" si="55"/>
        <v>249576</v>
      </c>
      <c r="K83" s="157">
        <f t="shared" si="47"/>
        <v>1.1460163378134514</v>
      </c>
      <c r="L83" s="158"/>
      <c r="M83" s="159">
        <f t="shared" si="48"/>
        <v>0</v>
      </c>
      <c r="N83" s="160">
        <f t="shared" si="56"/>
        <v>249576</v>
      </c>
      <c r="O83" s="159">
        <f t="shared" si="49"/>
        <v>1.1460163378134514</v>
      </c>
      <c r="P83" s="160"/>
      <c r="Q83" s="171"/>
      <c r="R83" s="199"/>
      <c r="S83" s="204"/>
      <c r="T83" s="202"/>
      <c r="U83" s="180"/>
      <c r="V83" s="179"/>
      <c r="W83" s="180"/>
      <c r="X83" s="179"/>
      <c r="Y83" s="180"/>
      <c r="Z83" s="179"/>
      <c r="AA83" s="180"/>
      <c r="AB83" s="179"/>
      <c r="AC83" s="180"/>
      <c r="AD83" s="179"/>
      <c r="AE83" s="180"/>
      <c r="AF83" s="179"/>
      <c r="AG83" s="180"/>
      <c r="AH83" s="179"/>
      <c r="AI83" s="180"/>
      <c r="AJ83" s="179"/>
      <c r="AK83" s="180"/>
      <c r="AL83" s="179">
        <v>45000</v>
      </c>
      <c r="AM83" s="180"/>
      <c r="AN83" s="179">
        <v>60000</v>
      </c>
      <c r="AO83" s="182">
        <f>74044+52266</f>
        <v>126310</v>
      </c>
      <c r="AP83" s="172">
        <v>38000</v>
      </c>
      <c r="AQ83" s="189">
        <v>28311</v>
      </c>
      <c r="AR83" s="190">
        <f t="shared" si="50"/>
        <v>143000</v>
      </c>
      <c r="AS83" s="215">
        <f t="shared" si="51"/>
        <v>154621</v>
      </c>
      <c r="AT83" s="177"/>
      <c r="AU83" s="161">
        <v>20000</v>
      </c>
      <c r="AV83" s="161">
        <v>30994</v>
      </c>
      <c r="AW83" s="287">
        <f>18737+20000</f>
        <v>38737</v>
      </c>
      <c r="AX83" s="218">
        <v>28836.477987421382</v>
      </c>
      <c r="AY83" s="218">
        <v>5000</v>
      </c>
      <c r="AZ83" s="287">
        <v>6418</v>
      </c>
      <c r="BA83" s="161">
        <v>0</v>
      </c>
      <c r="BB83" s="161"/>
      <c r="BC83" s="161"/>
      <c r="BD83" s="161">
        <v>10000</v>
      </c>
      <c r="BE83" s="161">
        <v>18000</v>
      </c>
      <c r="BF83" s="161">
        <v>18720</v>
      </c>
      <c r="BG83" s="161">
        <v>23000</v>
      </c>
      <c r="BH83" s="161">
        <v>23000</v>
      </c>
      <c r="BI83" s="287">
        <v>31080</v>
      </c>
      <c r="BJ83" s="161">
        <v>0</v>
      </c>
      <c r="BK83" s="161"/>
      <c r="BL83" s="161"/>
      <c r="BM83" s="161"/>
      <c r="BN83" s="161"/>
      <c r="BO83" s="161"/>
      <c r="BP83" s="161"/>
      <c r="BQ83" s="161"/>
      <c r="BR83" s="161"/>
      <c r="BS83" s="161"/>
      <c r="BT83" s="161"/>
      <c r="BU83" s="161"/>
      <c r="BV83" s="161"/>
      <c r="BW83" s="161"/>
      <c r="BX83" s="161"/>
      <c r="BY83" s="161">
        <f t="shared" si="52"/>
        <v>81836.477987421385</v>
      </c>
      <c r="BZ83" s="161">
        <f t="shared" si="53"/>
        <v>35994</v>
      </c>
      <c r="CA83" s="216">
        <f t="shared" si="54"/>
        <v>94955</v>
      </c>
      <c r="CC83" s="178">
        <f t="shared" si="57"/>
        <v>1</v>
      </c>
      <c r="CD83" s="178">
        <f t="shared" si="45"/>
        <v>0.22256532170119958</v>
      </c>
      <c r="CE83" s="178">
        <f t="shared" si="58"/>
        <v>0</v>
      </c>
      <c r="CF83" s="178">
        <f t="shared" si="59"/>
        <v>1</v>
      </c>
      <c r="CG83" s="178">
        <f t="shared" si="60"/>
        <v>1</v>
      </c>
    </row>
    <row r="84" spans="1:85" ht="14.25" customHeight="1" x14ac:dyDescent="0.2">
      <c r="A84" s="361" t="str">
        <f>+_xlfn.XLOOKUP(B84,'[1]Proyectos (NO FILTRAR)'!$F:$F,'[1]Proyectos (NO FILTRAR)'!$B:$B,0,0,1)</f>
        <v>PE-BRO-GM-FEL00-191-A</v>
      </c>
      <c r="B84" s="154" t="s">
        <v>457</v>
      </c>
      <c r="C84" s="155" t="str">
        <f>+_xlfn.XLOOKUP(A84,'[1]Proyectos (NO FILTRAR)'!$B:$B,'[1]Proyectos (NO FILTRAR)'!$G:$G,"error",0,1)</f>
        <v>Perú</v>
      </c>
      <c r="D84" s="155">
        <v>2025</v>
      </c>
      <c r="E84" s="155" t="s">
        <v>360</v>
      </c>
      <c r="F84" s="155"/>
      <c r="G84" s="207" t="s">
        <v>464</v>
      </c>
      <c r="H84" s="207"/>
      <c r="I84" s="285">
        <f>+_xlfn.XLOOKUP(B84,'[1]Proyectos (NO FILTRAR)'!$F:$F,'[1]Proyectos (NO FILTRAR)'!$O:$O,"!",0,1)</f>
        <v>214363</v>
      </c>
      <c r="J84" s="156">
        <f t="shared" si="55"/>
        <v>142403</v>
      </c>
      <c r="K84" s="157">
        <f t="shared" si="47"/>
        <v>0.66430773967522383</v>
      </c>
      <c r="L84" s="158">
        <f t="shared" si="46"/>
        <v>71960</v>
      </c>
      <c r="M84" s="159">
        <f t="shared" si="48"/>
        <v>0.33569226032477617</v>
      </c>
      <c r="N84" s="160">
        <f t="shared" si="56"/>
        <v>179403</v>
      </c>
      <c r="O84" s="159">
        <f t="shared" si="49"/>
        <v>0.83691215368323824</v>
      </c>
      <c r="P84" s="160">
        <f>+I84-N84</f>
        <v>34960</v>
      </c>
      <c r="Q84" s="171"/>
      <c r="R84" s="199"/>
      <c r="S84" s="204"/>
      <c r="T84" s="202"/>
      <c r="U84" s="180"/>
      <c r="V84" s="179"/>
      <c r="W84" s="180"/>
      <c r="X84" s="179"/>
      <c r="Y84" s="180"/>
      <c r="Z84" s="179"/>
      <c r="AA84" s="180"/>
      <c r="AB84" s="179"/>
      <c r="AC84" s="180"/>
      <c r="AD84" s="179"/>
      <c r="AE84" s="180"/>
      <c r="AF84" s="179"/>
      <c r="AG84" s="180"/>
      <c r="AH84" s="179"/>
      <c r="AI84" s="180"/>
      <c r="AJ84" s="179"/>
      <c r="AK84" s="180"/>
      <c r="AL84" s="179"/>
      <c r="AM84" s="180"/>
      <c r="AN84" s="179"/>
      <c r="AO84" s="185"/>
      <c r="AP84" s="172"/>
      <c r="AQ84" s="180"/>
      <c r="AR84" s="190">
        <f t="shared" si="50"/>
        <v>0</v>
      </c>
      <c r="AS84" s="215">
        <f t="shared" si="51"/>
        <v>0</v>
      </c>
      <c r="AT84" s="177"/>
      <c r="AU84" s="161">
        <v>20000</v>
      </c>
      <c r="AV84" s="161">
        <v>10000</v>
      </c>
      <c r="AW84" s="287">
        <v>9596</v>
      </c>
      <c r="AX84" s="218">
        <v>54480.340494527809</v>
      </c>
      <c r="AY84" s="218">
        <v>30000</v>
      </c>
      <c r="AZ84" s="287">
        <v>26815</v>
      </c>
      <c r="BA84" s="161">
        <v>35000</v>
      </c>
      <c r="BB84" s="161"/>
      <c r="BC84" s="287">
        <v>35429</v>
      </c>
      <c r="BD84" s="161">
        <v>30000</v>
      </c>
      <c r="BE84" s="161">
        <v>30000</v>
      </c>
      <c r="BF84" s="161">
        <v>41725</v>
      </c>
      <c r="BG84" s="161">
        <v>35000</v>
      </c>
      <c r="BH84" s="161">
        <v>35000</v>
      </c>
      <c r="BI84" s="287">
        <v>28838</v>
      </c>
      <c r="BJ84" s="161">
        <v>37000</v>
      </c>
      <c r="BK84" s="161"/>
      <c r="BL84" s="161"/>
      <c r="BM84" s="161"/>
      <c r="BN84" s="161"/>
      <c r="BO84" s="161"/>
      <c r="BP84" s="161"/>
      <c r="BQ84" s="161"/>
      <c r="BR84" s="161"/>
      <c r="BS84" s="161"/>
      <c r="BT84" s="161"/>
      <c r="BU84" s="161"/>
      <c r="BV84" s="161"/>
      <c r="BW84" s="161"/>
      <c r="BX84" s="161"/>
      <c r="BY84" s="161">
        <f t="shared" si="52"/>
        <v>211480.3404945278</v>
      </c>
      <c r="BZ84" s="161">
        <f t="shared" si="53"/>
        <v>40000</v>
      </c>
      <c r="CA84" s="216">
        <f t="shared" si="54"/>
        <v>142403</v>
      </c>
      <c r="CC84" s="178">
        <f t="shared" si="57"/>
        <v>0.4798</v>
      </c>
      <c r="CD84" s="178">
        <f t="shared" si="45"/>
        <v>0.49219589592494178</v>
      </c>
      <c r="CE84" s="178">
        <f t="shared" si="58"/>
        <v>1</v>
      </c>
      <c r="CF84" s="178">
        <f t="shared" si="59"/>
        <v>1</v>
      </c>
      <c r="CG84" s="178">
        <f t="shared" si="60"/>
        <v>0.82394285714285709</v>
      </c>
    </row>
    <row r="85" spans="1:85" ht="14.25" customHeight="1" x14ac:dyDescent="0.2">
      <c r="A85" s="361" t="str">
        <f>+_xlfn.XLOOKUP(B85,'[1]Proyectos (NO FILTRAR)'!$F:$F,'[1]Proyectos (NO FILTRAR)'!$B:$B,0,0,1)</f>
        <v>CH-ERG-GM-FEL00-186-A</v>
      </c>
      <c r="B85" s="154" t="s">
        <v>452</v>
      </c>
      <c r="C85" s="155" t="str">
        <f>+_xlfn.XLOOKUP(A85,'[1]Proyectos (NO FILTRAR)'!$B:$B,'[1]Proyectos (NO FILTRAR)'!$G:$G,"error",0,1)</f>
        <v>Chile</v>
      </c>
      <c r="D85" s="155">
        <v>2025</v>
      </c>
      <c r="E85" s="155" t="s">
        <v>360</v>
      </c>
      <c r="F85" s="155" t="s">
        <v>453</v>
      </c>
      <c r="G85" s="207" t="s">
        <v>464</v>
      </c>
      <c r="H85" s="207"/>
      <c r="I85" s="285">
        <f>+_xlfn.XLOOKUP(B85,'[1]Proyectos (NO FILTRAR)'!$F:$F,'[1]Proyectos (NO FILTRAR)'!$O:$O,"!",0,1)</f>
        <v>229330</v>
      </c>
      <c r="J85" s="156">
        <f t="shared" si="55"/>
        <v>140236</v>
      </c>
      <c r="K85" s="157">
        <f t="shared" si="47"/>
        <v>0.61150307417258976</v>
      </c>
      <c r="L85" s="158">
        <f t="shared" si="46"/>
        <v>89094</v>
      </c>
      <c r="M85" s="159">
        <f t="shared" si="48"/>
        <v>0.3884969258274103</v>
      </c>
      <c r="N85" s="160">
        <f t="shared" si="56"/>
        <v>171875</v>
      </c>
      <c r="O85" s="159">
        <f t="shared" si="49"/>
        <v>0.74946583525923338</v>
      </c>
      <c r="P85" s="160">
        <f>+I85-N85</f>
        <v>57455</v>
      </c>
      <c r="Q85" s="171"/>
      <c r="R85" s="199"/>
      <c r="S85" s="204"/>
      <c r="T85" s="202"/>
      <c r="U85" s="180"/>
      <c r="V85" s="179"/>
      <c r="W85" s="180"/>
      <c r="X85" s="179"/>
      <c r="Y85" s="180"/>
      <c r="Z85" s="179"/>
      <c r="AA85" s="180"/>
      <c r="AB85" s="179"/>
      <c r="AC85" s="180"/>
      <c r="AD85" s="179"/>
      <c r="AE85" s="180"/>
      <c r="AF85" s="179"/>
      <c r="AG85" s="180"/>
      <c r="AH85" s="179"/>
      <c r="AI85" s="180"/>
      <c r="AJ85" s="179"/>
      <c r="AK85" s="180"/>
      <c r="AL85" s="179"/>
      <c r="AM85" s="180"/>
      <c r="AN85" s="179"/>
      <c r="AO85" s="185"/>
      <c r="AP85" s="172"/>
      <c r="AQ85" s="180"/>
      <c r="AR85" s="190">
        <f t="shared" si="50"/>
        <v>0</v>
      </c>
      <c r="AS85" s="215">
        <f t="shared" si="51"/>
        <v>0</v>
      </c>
      <c r="AT85" s="177"/>
      <c r="AU85" s="330">
        <v>0</v>
      </c>
      <c r="AV85" s="330">
        <v>12000</v>
      </c>
      <c r="AW85" s="218"/>
      <c r="AX85" s="218">
        <v>22509.13413413415</v>
      </c>
      <c r="AY85" s="218">
        <v>39000</v>
      </c>
      <c r="AZ85" s="287">
        <v>30588</v>
      </c>
      <c r="BA85" s="161">
        <v>35000</v>
      </c>
      <c r="BB85" s="161"/>
      <c r="BC85" s="287">
        <v>41900</v>
      </c>
      <c r="BD85" s="161">
        <v>35000</v>
      </c>
      <c r="BE85" s="161">
        <v>35000</v>
      </c>
      <c r="BF85" s="161">
        <f>24735+10033</f>
        <v>34768</v>
      </c>
      <c r="BG85" s="161">
        <v>34500</v>
      </c>
      <c r="BH85" s="161">
        <v>34500</v>
      </c>
      <c r="BI85" s="287">
        <v>32980</v>
      </c>
      <c r="BJ85" s="161">
        <v>31639</v>
      </c>
      <c r="BK85" s="161"/>
      <c r="BL85" s="161"/>
      <c r="BM85" s="161"/>
      <c r="BN85" s="161"/>
      <c r="BO85" s="161"/>
      <c r="BP85" s="161"/>
      <c r="BQ85" s="161"/>
      <c r="BR85" s="161"/>
      <c r="BS85" s="161"/>
      <c r="BT85" s="161"/>
      <c r="BU85" s="161"/>
      <c r="BV85" s="161"/>
      <c r="BW85" s="161"/>
      <c r="BX85" s="161"/>
      <c r="BY85" s="161">
        <f t="shared" si="52"/>
        <v>158648.13413413416</v>
      </c>
      <c r="BZ85" s="161">
        <f t="shared" si="53"/>
        <v>51000</v>
      </c>
      <c r="CA85" s="216">
        <f t="shared" si="54"/>
        <v>140236</v>
      </c>
      <c r="CC85" s="178">
        <f t="shared" si="57"/>
        <v>0</v>
      </c>
      <c r="CD85" s="178">
        <f t="shared" si="45"/>
        <v>1</v>
      </c>
      <c r="CE85" s="178">
        <f t="shared" si="58"/>
        <v>1</v>
      </c>
      <c r="CF85" s="178">
        <f t="shared" si="59"/>
        <v>0.99337142857142857</v>
      </c>
      <c r="CG85" s="178">
        <f t="shared" si="60"/>
        <v>0.95594202898550729</v>
      </c>
    </row>
    <row r="86" spans="1:85" ht="14.25" customHeight="1" x14ac:dyDescent="0.2">
      <c r="A86" s="361" t="str">
        <f>+_xlfn.XLOOKUP(B86,'[1]Proyectos (NO FILTRAR)'!$F:$F,'[1]Proyectos (NO FILTRAR)'!$B:$B,0,0,1)</f>
        <v>PE-MMA-OP-FEL00-182-A</v>
      </c>
      <c r="B86" s="154" t="s">
        <v>446</v>
      </c>
      <c r="C86" s="155" t="str">
        <f>+_xlfn.XLOOKUP(A86,'[1]Proyectos (NO FILTRAR)'!$B:$B,'[1]Proyectos (NO FILTRAR)'!$G:$G,"error",0,1)</f>
        <v>Perú</v>
      </c>
      <c r="D86" s="155">
        <v>2025</v>
      </c>
      <c r="E86" s="155" t="s">
        <v>358</v>
      </c>
      <c r="F86" s="155" t="s">
        <v>254</v>
      </c>
      <c r="G86" s="207" t="s">
        <v>462</v>
      </c>
      <c r="H86" s="207"/>
      <c r="I86" s="285">
        <f>+_xlfn.XLOOKUP(B86,'[1]Proyectos (NO FILTRAR)'!$F:$F,'[1]Proyectos (NO FILTRAR)'!$O:$O,"!",0,1)</f>
        <v>141747</v>
      </c>
      <c r="J86" s="156">
        <f t="shared" si="55"/>
        <v>138948</v>
      </c>
      <c r="K86" s="157">
        <f t="shared" si="47"/>
        <v>0.98025355033968975</v>
      </c>
      <c r="L86" s="329">
        <f t="shared" si="46"/>
        <v>2799</v>
      </c>
      <c r="M86" s="159">
        <f t="shared" si="48"/>
        <v>1.9746449660310271E-2</v>
      </c>
      <c r="N86" s="160">
        <f t="shared" si="56"/>
        <v>138948</v>
      </c>
      <c r="O86" s="159">
        <f t="shared" si="49"/>
        <v>0.98025355033968975</v>
      </c>
      <c r="P86" s="160">
        <f>+I86-N86</f>
        <v>2799</v>
      </c>
      <c r="Q86" s="171"/>
      <c r="R86" s="199"/>
      <c r="S86" s="204"/>
      <c r="T86" s="202"/>
      <c r="U86" s="180"/>
      <c r="V86" s="179"/>
      <c r="W86" s="180"/>
      <c r="X86" s="179"/>
      <c r="Y86" s="180"/>
      <c r="Z86" s="179"/>
      <c r="AA86" s="180"/>
      <c r="AB86" s="179"/>
      <c r="AC86" s="180"/>
      <c r="AD86" s="179"/>
      <c r="AE86" s="180"/>
      <c r="AF86" s="179"/>
      <c r="AG86" s="180"/>
      <c r="AH86" s="179"/>
      <c r="AI86" s="180"/>
      <c r="AJ86" s="179"/>
      <c r="AK86" s="180"/>
      <c r="AL86" s="179"/>
      <c r="AM86" s="180"/>
      <c r="AN86" s="179">
        <v>20400</v>
      </c>
      <c r="AO86" s="182">
        <v>20102</v>
      </c>
      <c r="AP86" s="172">
        <v>32120</v>
      </c>
      <c r="AQ86" s="189">
        <v>23931</v>
      </c>
      <c r="AR86" s="190">
        <f t="shared" si="50"/>
        <v>52520</v>
      </c>
      <c r="AS86" s="215">
        <f t="shared" si="51"/>
        <v>44033</v>
      </c>
      <c r="AT86" s="177"/>
      <c r="AU86" s="161">
        <v>43000</v>
      </c>
      <c r="AV86" s="161">
        <v>43000</v>
      </c>
      <c r="AW86" s="287">
        <v>46313</v>
      </c>
      <c r="AX86" s="218">
        <v>34000</v>
      </c>
      <c r="AY86" s="218">
        <v>45000</v>
      </c>
      <c r="AZ86" s="287">
        <v>32927</v>
      </c>
      <c r="BA86" s="161">
        <v>18474</v>
      </c>
      <c r="BB86" s="161"/>
      <c r="BC86" s="358">
        <v>0</v>
      </c>
      <c r="BD86" s="161">
        <v>18474</v>
      </c>
      <c r="BE86" s="161">
        <v>18474</v>
      </c>
      <c r="BF86" s="161">
        <v>15675</v>
      </c>
      <c r="BG86" s="161">
        <v>0</v>
      </c>
      <c r="BH86" s="161">
        <v>0</v>
      </c>
      <c r="BI86" s="161"/>
      <c r="BJ86" s="161">
        <v>0</v>
      </c>
      <c r="BK86" s="161"/>
      <c r="BL86" s="161"/>
      <c r="BM86" s="161"/>
      <c r="BN86" s="161"/>
      <c r="BO86" s="161"/>
      <c r="BP86" s="161"/>
      <c r="BQ86" s="161"/>
      <c r="BR86" s="161"/>
      <c r="BS86" s="161"/>
      <c r="BT86" s="161"/>
      <c r="BU86" s="161"/>
      <c r="BV86" s="161"/>
      <c r="BW86" s="161"/>
      <c r="BX86" s="161"/>
      <c r="BY86" s="161">
        <f t="shared" si="52"/>
        <v>113948</v>
      </c>
      <c r="BZ86" s="161">
        <f t="shared" si="53"/>
        <v>88000</v>
      </c>
      <c r="CA86" s="216">
        <f t="shared" si="54"/>
        <v>94915</v>
      </c>
      <c r="CC86" s="178">
        <f t="shared" si="57"/>
        <v>1</v>
      </c>
      <c r="CD86" s="178">
        <f t="shared" si="45"/>
        <v>0.96844117647058825</v>
      </c>
      <c r="CE86" s="178">
        <f t="shared" si="58"/>
        <v>0</v>
      </c>
      <c r="CF86" s="178">
        <f t="shared" si="59"/>
        <v>0.84848976940565124</v>
      </c>
      <c r="CG86" s="178">
        <f t="shared" si="60"/>
        <v>0</v>
      </c>
    </row>
    <row r="87" spans="1:85" ht="14.25" customHeight="1" x14ac:dyDescent="0.2">
      <c r="A87" s="361" t="str">
        <f>+_xlfn.XLOOKUP(B87,'[1]Proyectos (NO FILTRAR)'!$F:$F,'[1]Proyectos (NO FILTRAR)'!$B:$B,0,0,1)</f>
        <v>PE-HCS-UG-FEL00-190-A</v>
      </c>
      <c r="B87" s="154" t="s">
        <v>458</v>
      </c>
      <c r="C87" s="155" t="str">
        <f>+_xlfn.XLOOKUP(A87,'[1]Proyectos (NO FILTRAR)'!$B:$B,'[1]Proyectos (NO FILTRAR)'!$G:$G,"error",0,1)</f>
        <v>Perú</v>
      </c>
      <c r="D87" s="155">
        <v>2025</v>
      </c>
      <c r="E87" s="155" t="s">
        <v>358</v>
      </c>
      <c r="F87" s="155"/>
      <c r="G87" s="207" t="s">
        <v>464</v>
      </c>
      <c r="H87" s="207"/>
      <c r="I87" s="285">
        <f>+_xlfn.XLOOKUP(B87,'[1]Proyectos (NO FILTRAR)'!$F:$F,'[1]Proyectos (NO FILTRAR)'!$O:$O,"!",0,1)</f>
        <v>92800</v>
      </c>
      <c r="J87" s="156">
        <f t="shared" si="55"/>
        <v>92800</v>
      </c>
      <c r="K87" s="157">
        <f t="shared" si="47"/>
        <v>1</v>
      </c>
      <c r="L87" s="158"/>
      <c r="M87" s="159">
        <f t="shared" si="48"/>
        <v>0</v>
      </c>
      <c r="N87" s="160">
        <f t="shared" si="56"/>
        <v>92800</v>
      </c>
      <c r="O87" s="159">
        <f t="shared" si="49"/>
        <v>1</v>
      </c>
      <c r="P87" s="160">
        <f t="shared" ref="P87:P97" si="61">+I87-N87</f>
        <v>0</v>
      </c>
      <c r="Q87" s="171"/>
      <c r="R87" s="199"/>
      <c r="S87" s="204"/>
      <c r="T87" s="202"/>
      <c r="U87" s="180"/>
      <c r="V87" s="179"/>
      <c r="W87" s="180"/>
      <c r="X87" s="179"/>
      <c r="Y87" s="180"/>
      <c r="Z87" s="179"/>
      <c r="AA87" s="180"/>
      <c r="AB87" s="179"/>
      <c r="AC87" s="180"/>
      <c r="AD87" s="179"/>
      <c r="AE87" s="180"/>
      <c r="AF87" s="179"/>
      <c r="AG87" s="180"/>
      <c r="AH87" s="179"/>
      <c r="AI87" s="180"/>
      <c r="AJ87" s="179"/>
      <c r="AK87" s="182"/>
      <c r="AL87" s="179"/>
      <c r="AM87" s="180"/>
      <c r="AN87" s="179"/>
      <c r="AO87" s="185"/>
      <c r="AP87" s="172"/>
      <c r="AQ87" s="180"/>
      <c r="AR87" s="190">
        <f t="shared" si="50"/>
        <v>0</v>
      </c>
      <c r="AS87" s="215">
        <f t="shared" si="51"/>
        <v>0</v>
      </c>
      <c r="AT87" s="177"/>
      <c r="AU87" s="330">
        <v>0</v>
      </c>
      <c r="AV87" s="330">
        <v>35000</v>
      </c>
      <c r="AW87" s="287">
        <v>20200</v>
      </c>
      <c r="AX87" s="218">
        <v>40593.628331681968</v>
      </c>
      <c r="AY87" s="218">
        <v>41000</v>
      </c>
      <c r="AZ87" s="287">
        <v>40415</v>
      </c>
      <c r="BA87" s="161">
        <v>32185</v>
      </c>
      <c r="BB87" s="161"/>
      <c r="BC87" s="287">
        <v>20091</v>
      </c>
      <c r="BD87" s="161">
        <v>12094</v>
      </c>
      <c r="BE87" s="161">
        <v>12094</v>
      </c>
      <c r="BF87" s="161">
        <v>12094</v>
      </c>
      <c r="BG87" s="161">
        <v>0</v>
      </c>
      <c r="BH87" s="161">
        <v>0</v>
      </c>
      <c r="BI87" s="161"/>
      <c r="BJ87" s="161">
        <v>0</v>
      </c>
      <c r="BK87" s="161"/>
      <c r="BL87" s="161"/>
      <c r="BM87" s="161"/>
      <c r="BN87" s="161"/>
      <c r="BO87" s="161"/>
      <c r="BP87" s="161"/>
      <c r="BQ87" s="161"/>
      <c r="BR87" s="161"/>
      <c r="BS87" s="161"/>
      <c r="BT87" s="161"/>
      <c r="BU87" s="161"/>
      <c r="BV87" s="161"/>
      <c r="BW87" s="161"/>
      <c r="BX87" s="161"/>
      <c r="BY87" s="161">
        <f t="shared" si="52"/>
        <v>84872.628331681975</v>
      </c>
      <c r="BZ87" s="161">
        <f t="shared" si="53"/>
        <v>76000</v>
      </c>
      <c r="CA87" s="216">
        <f t="shared" si="54"/>
        <v>92800</v>
      </c>
      <c r="CC87" s="178">
        <f t="shared" si="57"/>
        <v>0</v>
      </c>
      <c r="CD87" s="178">
        <f t="shared" si="45"/>
        <v>0.99559959680808929</v>
      </c>
      <c r="CE87" s="178">
        <f t="shared" si="58"/>
        <v>0.62423489203044902</v>
      </c>
      <c r="CF87" s="178">
        <f t="shared" si="59"/>
        <v>1</v>
      </c>
      <c r="CG87" s="178">
        <f t="shared" si="60"/>
        <v>0</v>
      </c>
    </row>
    <row r="88" spans="1:85" ht="14.25" customHeight="1" x14ac:dyDescent="0.2">
      <c r="A88" s="361" t="str">
        <f>+_xlfn.XLOOKUP(B88,'[1]Proyectos (NO FILTRAR)'!$F:$F,'[1]Proyectos (NO FILTRAR)'!$B:$B,0,0,1)</f>
        <v>PE-CSC-CS-OTR00-192-A</v>
      </c>
      <c r="B88" s="167" t="s">
        <v>459</v>
      </c>
      <c r="C88" s="155" t="str">
        <f>+_xlfn.XLOOKUP(A88,'[1]Proyectos (NO FILTRAR)'!$B:$B,'[1]Proyectos (NO FILTRAR)'!$G:$G,"error",0,1)</f>
        <v>Perú</v>
      </c>
      <c r="D88" s="155">
        <v>2025</v>
      </c>
      <c r="E88" s="155" t="s">
        <v>358</v>
      </c>
      <c r="F88" s="155" t="s">
        <v>33</v>
      </c>
      <c r="G88" s="207" t="s">
        <v>463</v>
      </c>
      <c r="H88" s="207"/>
      <c r="I88" s="285">
        <f>+_xlfn.XLOOKUP(B88,'[1]Proyectos (NO FILTRAR)'!$F:$F,'[1]Proyectos (NO FILTRAR)'!$O:$O,"!",0,1)</f>
        <v>61505</v>
      </c>
      <c r="J88" s="156">
        <f t="shared" si="55"/>
        <v>61505</v>
      </c>
      <c r="K88" s="157">
        <f t="shared" si="47"/>
        <v>1</v>
      </c>
      <c r="L88" s="329"/>
      <c r="M88" s="159">
        <f t="shared" si="48"/>
        <v>0</v>
      </c>
      <c r="N88" s="160">
        <f t="shared" si="56"/>
        <v>61505</v>
      </c>
      <c r="O88" s="159">
        <f t="shared" si="49"/>
        <v>1</v>
      </c>
      <c r="P88" s="160"/>
      <c r="Q88" s="171"/>
      <c r="R88" s="199"/>
      <c r="S88" s="204"/>
      <c r="T88" s="202"/>
      <c r="U88" s="180"/>
      <c r="V88" s="179"/>
      <c r="W88" s="180"/>
      <c r="X88" s="179"/>
      <c r="Y88" s="180"/>
      <c r="Z88" s="179"/>
      <c r="AA88" s="180"/>
      <c r="AB88" s="179"/>
      <c r="AC88" s="180"/>
      <c r="AD88" s="179"/>
      <c r="AE88" s="180"/>
      <c r="AF88" s="179"/>
      <c r="AG88" s="180"/>
      <c r="AH88" s="179"/>
      <c r="AI88" s="180"/>
      <c r="AJ88" s="179"/>
      <c r="AK88" s="190"/>
      <c r="AL88" s="179"/>
      <c r="AM88" s="180"/>
      <c r="AN88" s="179"/>
      <c r="AO88" s="185"/>
      <c r="AP88" s="172"/>
      <c r="AQ88" s="180"/>
      <c r="AR88" s="190">
        <f t="shared" si="50"/>
        <v>0</v>
      </c>
      <c r="AS88" s="215">
        <f t="shared" si="51"/>
        <v>0</v>
      </c>
      <c r="AT88" s="177"/>
      <c r="AU88" s="161">
        <v>41284</v>
      </c>
      <c r="AV88" s="161">
        <v>66605</v>
      </c>
      <c r="AW88" s="287">
        <v>51680</v>
      </c>
      <c r="AX88" s="218">
        <v>4918.0327868852546</v>
      </c>
      <c r="AY88" s="218">
        <v>18900</v>
      </c>
      <c r="AZ88" s="287">
        <v>9825</v>
      </c>
      <c r="BA88" s="161">
        <v>0</v>
      </c>
      <c r="BB88" s="161"/>
      <c r="BC88" s="161"/>
      <c r="BD88" s="161">
        <v>0</v>
      </c>
      <c r="BE88" s="161">
        <v>0</v>
      </c>
      <c r="BF88" s="161"/>
      <c r="BG88" s="161">
        <v>0</v>
      </c>
      <c r="BH88" s="161">
        <v>0</v>
      </c>
      <c r="BI88" s="161"/>
      <c r="BJ88" s="161">
        <v>0</v>
      </c>
      <c r="BK88" s="161"/>
      <c r="BL88" s="161"/>
      <c r="BM88" s="161"/>
      <c r="BN88" s="161"/>
      <c r="BO88" s="161"/>
      <c r="BP88" s="161"/>
      <c r="BQ88" s="161"/>
      <c r="BR88" s="161"/>
      <c r="BS88" s="161"/>
      <c r="BT88" s="161"/>
      <c r="BU88" s="161"/>
      <c r="BV88" s="161"/>
      <c r="BW88" s="161"/>
      <c r="BX88" s="161"/>
      <c r="BY88" s="161">
        <f t="shared" si="52"/>
        <v>46202.032786885255</v>
      </c>
      <c r="BZ88" s="161">
        <f t="shared" si="53"/>
        <v>85505</v>
      </c>
      <c r="CA88" s="216">
        <f t="shared" si="54"/>
        <v>61505</v>
      </c>
      <c r="CC88" s="178">
        <f t="shared" si="57"/>
        <v>1</v>
      </c>
      <c r="CD88" s="178">
        <f t="shared" si="45"/>
        <v>1</v>
      </c>
      <c r="CE88" s="178">
        <f t="shared" si="58"/>
        <v>0</v>
      </c>
      <c r="CF88" s="178">
        <f t="shared" si="59"/>
        <v>0</v>
      </c>
      <c r="CG88" s="178">
        <f t="shared" si="60"/>
        <v>0</v>
      </c>
    </row>
    <row r="89" spans="1:85" ht="14.25" customHeight="1" x14ac:dyDescent="0.2">
      <c r="A89" s="361" t="str">
        <f>+_xlfn.XLOOKUP(B89,'[1]Proyectos (NO FILTRAR)'!$F:$F,'[1]Proyectos (NO FILTRAR)'!$B:$B,0,0,1)</f>
        <v>CH-COL-CS-OTR00-185-A</v>
      </c>
      <c r="B89" s="167" t="s">
        <v>451</v>
      </c>
      <c r="C89" s="155" t="str">
        <f>+_xlfn.XLOOKUP(A89,'[1]Proyectos (NO FILTRAR)'!$B:$B,'[1]Proyectos (NO FILTRAR)'!$G:$G,"error",0,1)</f>
        <v>Chile</v>
      </c>
      <c r="D89" s="155">
        <v>2025</v>
      </c>
      <c r="E89" s="155" t="s">
        <v>358</v>
      </c>
      <c r="F89" s="155" t="s">
        <v>254</v>
      </c>
      <c r="G89" s="207" t="s">
        <v>462</v>
      </c>
      <c r="H89" s="207"/>
      <c r="I89" s="285">
        <f>+_xlfn.XLOOKUP(B89,'[1]Proyectos (NO FILTRAR)'!$F:$F,'[1]Proyectos (NO FILTRAR)'!$O:$O,"!",0,1)</f>
        <v>40120</v>
      </c>
      <c r="J89" s="156">
        <f t="shared" si="55"/>
        <v>40120</v>
      </c>
      <c r="K89" s="157">
        <f t="shared" si="47"/>
        <v>1</v>
      </c>
      <c r="L89" s="158"/>
      <c r="M89" s="159">
        <f t="shared" si="48"/>
        <v>0</v>
      </c>
      <c r="N89" s="160">
        <f t="shared" si="56"/>
        <v>40120</v>
      </c>
      <c r="O89" s="159">
        <f t="shared" si="49"/>
        <v>1</v>
      </c>
      <c r="P89" s="160">
        <f t="shared" si="61"/>
        <v>0</v>
      </c>
      <c r="Q89" s="171"/>
      <c r="R89" s="199"/>
      <c r="S89" s="204"/>
      <c r="T89" s="202"/>
      <c r="U89" s="180"/>
      <c r="V89" s="179"/>
      <c r="W89" s="180"/>
      <c r="X89" s="179"/>
      <c r="Y89" s="180"/>
      <c r="Z89" s="179"/>
      <c r="AA89" s="180"/>
      <c r="AB89" s="179"/>
      <c r="AC89" s="180"/>
      <c r="AD89" s="179"/>
      <c r="AE89" s="180"/>
      <c r="AF89" s="179"/>
      <c r="AG89" s="180"/>
      <c r="AH89" s="179"/>
      <c r="AI89" s="180"/>
      <c r="AJ89" s="179"/>
      <c r="AK89" s="180"/>
      <c r="AL89" s="179"/>
      <c r="AM89" s="180"/>
      <c r="AN89" s="179"/>
      <c r="AO89" s="185"/>
      <c r="AP89" s="172"/>
      <c r="AQ89" s="180"/>
      <c r="AR89" s="190">
        <f t="shared" si="50"/>
        <v>0</v>
      </c>
      <c r="AS89" s="215">
        <f t="shared" si="51"/>
        <v>0</v>
      </c>
      <c r="AT89" s="177"/>
      <c r="AU89" s="161">
        <v>20000</v>
      </c>
      <c r="AV89" s="161">
        <v>5000</v>
      </c>
      <c r="AW89" s="218"/>
      <c r="AX89" s="218">
        <v>22302</v>
      </c>
      <c r="AY89" s="218">
        <v>30000</v>
      </c>
      <c r="AZ89" s="287">
        <v>25294</v>
      </c>
      <c r="BA89" s="161">
        <v>14826</v>
      </c>
      <c r="BB89" s="161"/>
      <c r="BC89" s="287">
        <v>13416</v>
      </c>
      <c r="BD89" s="161">
        <v>1410</v>
      </c>
      <c r="BE89" s="161">
        <v>1410</v>
      </c>
      <c r="BF89" s="161">
        <v>1410</v>
      </c>
      <c r="BG89" s="161">
        <v>0</v>
      </c>
      <c r="BH89" s="161">
        <v>0</v>
      </c>
      <c r="BI89" s="161"/>
      <c r="BJ89" s="161">
        <v>0</v>
      </c>
      <c r="BK89" s="161"/>
      <c r="BL89" s="161"/>
      <c r="BM89" s="161"/>
      <c r="BN89" s="161"/>
      <c r="BO89" s="161"/>
      <c r="BP89" s="161"/>
      <c r="BQ89" s="161"/>
      <c r="BR89" s="161"/>
      <c r="BS89" s="161"/>
      <c r="BT89" s="161"/>
      <c r="BU89" s="161"/>
      <c r="BV89" s="161"/>
      <c r="BW89" s="161"/>
      <c r="BX89" s="161"/>
      <c r="BY89" s="161">
        <f t="shared" si="52"/>
        <v>58538</v>
      </c>
      <c r="BZ89" s="161">
        <f t="shared" si="53"/>
        <v>35000</v>
      </c>
      <c r="CA89" s="216">
        <f t="shared" si="54"/>
        <v>40120</v>
      </c>
      <c r="CC89" s="178">
        <f t="shared" si="57"/>
        <v>0</v>
      </c>
      <c r="CD89" s="178">
        <f t="shared" si="45"/>
        <v>1</v>
      </c>
      <c r="CE89" s="178">
        <f t="shared" si="58"/>
        <v>0.90489680291380004</v>
      </c>
      <c r="CF89" s="178">
        <f t="shared" si="59"/>
        <v>1</v>
      </c>
      <c r="CG89" s="178">
        <f t="shared" si="60"/>
        <v>0</v>
      </c>
    </row>
    <row r="90" spans="1:85" ht="14.25" customHeight="1" x14ac:dyDescent="0.2">
      <c r="A90" s="361" t="str">
        <f>+_xlfn.XLOOKUP(B90,'[1]Proyectos (NO FILTRAR)'!$F:$F,'[1]Proyectos (NO FILTRAR)'!$B:$B,0,0,1)</f>
        <v>RU-POL-OP-FEL00-149-A</v>
      </c>
      <c r="B90" s="167" t="s">
        <v>382</v>
      </c>
      <c r="C90" s="155" t="str">
        <f>+_xlfn.XLOOKUP(A90,'[1]Proyectos (NO FILTRAR)'!$B:$B,'[1]Proyectos (NO FILTRAR)'!$G:$G,"error",0,1)</f>
        <v>Rusia</v>
      </c>
      <c r="D90" s="155">
        <v>2025</v>
      </c>
      <c r="E90" s="155" t="s">
        <v>358</v>
      </c>
      <c r="F90" s="155"/>
      <c r="G90" s="207" t="s">
        <v>464</v>
      </c>
      <c r="H90" s="207"/>
      <c r="I90" s="285">
        <f>+_xlfn.XLOOKUP(B90,'[1]Proyectos (NO FILTRAR)'!$F:$F,'[1]Proyectos (NO FILTRAR)'!$O:$O,"!",0,1)</f>
        <v>153748</v>
      </c>
      <c r="J90" s="156">
        <f t="shared" si="55"/>
        <v>153748</v>
      </c>
      <c r="K90" s="157">
        <f t="shared" si="47"/>
        <v>1</v>
      </c>
      <c r="L90" s="158"/>
      <c r="M90" s="159">
        <f t="shared" si="48"/>
        <v>0</v>
      </c>
      <c r="N90" s="160">
        <f t="shared" si="56"/>
        <v>153748</v>
      </c>
      <c r="O90" s="159">
        <f t="shared" si="49"/>
        <v>1</v>
      </c>
      <c r="P90" s="160">
        <f t="shared" si="61"/>
        <v>0</v>
      </c>
      <c r="Q90" s="171"/>
      <c r="R90" s="199"/>
      <c r="S90" s="204"/>
      <c r="T90" s="202"/>
      <c r="U90" s="180"/>
      <c r="V90" s="179"/>
      <c r="W90" s="180"/>
      <c r="X90" s="179"/>
      <c r="Y90" s="180"/>
      <c r="Z90" s="179"/>
      <c r="AA90" s="180"/>
      <c r="AB90" s="179"/>
      <c r="AC90" s="180"/>
      <c r="AD90" s="179"/>
      <c r="AE90" s="180"/>
      <c r="AF90" s="179"/>
      <c r="AG90" s="180"/>
      <c r="AH90" s="179"/>
      <c r="AI90" s="180"/>
      <c r="AJ90" s="179"/>
      <c r="AK90" s="180"/>
      <c r="AL90" s="179"/>
      <c r="AM90" s="180"/>
      <c r="AN90" s="179"/>
      <c r="AO90" s="185"/>
      <c r="AP90" s="172"/>
      <c r="AQ90" s="180"/>
      <c r="AR90" s="190">
        <f t="shared" si="50"/>
        <v>0</v>
      </c>
      <c r="AS90" s="215">
        <f t="shared" si="51"/>
        <v>0</v>
      </c>
      <c r="AT90" s="177"/>
      <c r="AU90" s="161">
        <v>87873</v>
      </c>
      <c r="AV90" s="161">
        <v>87873</v>
      </c>
      <c r="AW90" s="218"/>
      <c r="AX90" s="218"/>
      <c r="AY90" s="218">
        <v>83000</v>
      </c>
      <c r="AZ90" s="356"/>
      <c r="BA90" s="161">
        <v>0</v>
      </c>
      <c r="BB90" s="161"/>
      <c r="BC90" s="287">
        <f>50150+87873</f>
        <v>138023</v>
      </c>
      <c r="BD90" s="161">
        <v>15725</v>
      </c>
      <c r="BE90" s="161">
        <v>15725</v>
      </c>
      <c r="BF90" s="161">
        <v>15725</v>
      </c>
      <c r="BG90" s="161">
        <v>0</v>
      </c>
      <c r="BH90" s="161">
        <v>0</v>
      </c>
      <c r="BI90" s="161"/>
      <c r="BJ90" s="161">
        <v>0</v>
      </c>
      <c r="BK90" s="161"/>
      <c r="BL90" s="161"/>
      <c r="BM90" s="161"/>
      <c r="BN90" s="161"/>
      <c r="BO90" s="161"/>
      <c r="BP90" s="161"/>
      <c r="BQ90" s="161"/>
      <c r="BR90" s="161"/>
      <c r="BS90" s="161"/>
      <c r="BT90" s="161"/>
      <c r="BU90" s="161"/>
      <c r="BV90" s="161"/>
      <c r="BW90" s="161"/>
      <c r="BX90" s="161"/>
      <c r="BY90" s="161">
        <f t="shared" si="52"/>
        <v>103598</v>
      </c>
      <c r="BZ90" s="161">
        <f t="shared" si="53"/>
        <v>170873</v>
      </c>
      <c r="CA90" s="216">
        <f t="shared" si="54"/>
        <v>153748</v>
      </c>
      <c r="CC90" s="178">
        <f t="shared" si="57"/>
        <v>0</v>
      </c>
      <c r="CD90" s="178">
        <f t="shared" si="45"/>
        <v>0</v>
      </c>
      <c r="CE90" s="178">
        <f t="shared" si="58"/>
        <v>0</v>
      </c>
      <c r="CF90" s="178">
        <f t="shared" si="59"/>
        <v>1</v>
      </c>
      <c r="CG90" s="178">
        <f t="shared" si="60"/>
        <v>0</v>
      </c>
    </row>
    <row r="91" spans="1:85" ht="14.25" customHeight="1" x14ac:dyDescent="0.2">
      <c r="A91" s="361" t="str">
        <f>+_xlfn.XLOOKUP(B91,'[1]Proyectos (NO FILTRAR)'!$F:$F,'[1]Proyectos (NO FILTRAR)'!$B:$B,0,0,1)</f>
        <v>RU-POL-OP-FEL00-173-A</v>
      </c>
      <c r="B91" s="167" t="s">
        <v>411</v>
      </c>
      <c r="C91" s="155" t="str">
        <f>+_xlfn.XLOOKUP(A91,'[1]Proyectos (NO FILTRAR)'!$B:$B,'[1]Proyectos (NO FILTRAR)'!$G:$G,"error",0,1)</f>
        <v>Rusia</v>
      </c>
      <c r="D91" s="155">
        <v>2025</v>
      </c>
      <c r="E91" s="155" t="s">
        <v>358</v>
      </c>
      <c r="F91" s="155"/>
      <c r="G91" s="207" t="s">
        <v>464</v>
      </c>
      <c r="H91" s="207"/>
      <c r="I91" s="285">
        <f>+_xlfn.XLOOKUP(B91,'[1]Proyectos (NO FILTRAR)'!$F:$F,'[1]Proyectos (NO FILTRAR)'!$O:$O,"!",0,1)</f>
        <v>178686</v>
      </c>
      <c r="J91" s="156">
        <f t="shared" si="55"/>
        <v>178686</v>
      </c>
      <c r="K91" s="157">
        <f t="shared" si="47"/>
        <v>1</v>
      </c>
      <c r="L91" s="158"/>
      <c r="M91" s="159">
        <f t="shared" si="48"/>
        <v>0</v>
      </c>
      <c r="N91" s="160">
        <f t="shared" si="56"/>
        <v>178686</v>
      </c>
      <c r="O91" s="159">
        <f t="shared" si="49"/>
        <v>1</v>
      </c>
      <c r="P91" s="160">
        <f t="shared" si="61"/>
        <v>0</v>
      </c>
      <c r="Q91" s="171"/>
      <c r="R91" s="199"/>
      <c r="S91" s="204"/>
      <c r="T91" s="202"/>
      <c r="U91" s="180"/>
      <c r="V91" s="179"/>
      <c r="W91" s="180"/>
      <c r="X91" s="179"/>
      <c r="Y91" s="180"/>
      <c r="Z91" s="179"/>
      <c r="AA91" s="180"/>
      <c r="AB91" s="179"/>
      <c r="AC91" s="180"/>
      <c r="AD91" s="179"/>
      <c r="AE91" s="180"/>
      <c r="AF91" s="179"/>
      <c r="AG91" s="180"/>
      <c r="AH91" s="179"/>
      <c r="AI91" s="180"/>
      <c r="AJ91" s="179"/>
      <c r="AK91" s="180"/>
      <c r="AL91" s="179"/>
      <c r="AM91" s="180"/>
      <c r="AN91" s="179"/>
      <c r="AO91" s="185"/>
      <c r="AP91" s="172"/>
      <c r="AQ91" s="180"/>
      <c r="AR91" s="190">
        <f t="shared" si="50"/>
        <v>0</v>
      </c>
      <c r="AS91" s="215">
        <f t="shared" si="51"/>
        <v>0</v>
      </c>
      <c r="AT91" s="177"/>
      <c r="AU91" s="161">
        <v>33597</v>
      </c>
      <c r="AV91" s="161">
        <v>33597</v>
      </c>
      <c r="AW91" s="218"/>
      <c r="AX91" s="218"/>
      <c r="AY91" s="218">
        <v>66000</v>
      </c>
      <c r="AZ91" s="356"/>
      <c r="BA91" s="161">
        <v>70000</v>
      </c>
      <c r="BB91" s="161"/>
      <c r="BC91" s="287">
        <v>113391</v>
      </c>
      <c r="BD91" s="161">
        <v>65295</v>
      </c>
      <c r="BE91" s="161">
        <v>65295</v>
      </c>
      <c r="BF91" s="161">
        <v>65295</v>
      </c>
      <c r="BG91" s="161">
        <v>0</v>
      </c>
      <c r="BH91" s="161">
        <v>0</v>
      </c>
      <c r="BI91" s="161"/>
      <c r="BJ91" s="161">
        <v>0</v>
      </c>
      <c r="BK91" s="161"/>
      <c r="BL91" s="161"/>
      <c r="BM91" s="161"/>
      <c r="BN91" s="161"/>
      <c r="BO91" s="161"/>
      <c r="BP91" s="161"/>
      <c r="BQ91" s="161"/>
      <c r="BR91" s="161"/>
      <c r="BS91" s="161"/>
      <c r="BT91" s="161"/>
      <c r="BU91" s="161"/>
      <c r="BV91" s="161"/>
      <c r="BW91" s="161"/>
      <c r="BX91" s="161"/>
      <c r="BY91" s="161">
        <f t="shared" si="52"/>
        <v>168892</v>
      </c>
      <c r="BZ91" s="161">
        <f t="shared" si="53"/>
        <v>99597</v>
      </c>
      <c r="CA91" s="216">
        <f t="shared" si="54"/>
        <v>178686</v>
      </c>
      <c r="CC91" s="178">
        <f t="shared" si="57"/>
        <v>0</v>
      </c>
      <c r="CD91" s="178">
        <f t="shared" si="45"/>
        <v>0</v>
      </c>
      <c r="CE91" s="178">
        <f t="shared" si="58"/>
        <v>1</v>
      </c>
      <c r="CF91" s="178">
        <f t="shared" si="59"/>
        <v>1</v>
      </c>
      <c r="CG91" s="178">
        <f t="shared" si="60"/>
        <v>0</v>
      </c>
    </row>
    <row r="92" spans="1:85" ht="14.25" customHeight="1" x14ac:dyDescent="0.2">
      <c r="A92" s="361" t="str">
        <f>+_xlfn.XLOOKUP(B92,'[1]Proyectos (NO FILTRAR)'!$F:$F,'[1]Proyectos (NO FILTRAR)'!$B:$B,0,0,1)</f>
        <v>RU-SEL-UG-FEL2A-072-A</v>
      </c>
      <c r="B92" s="167" t="s">
        <v>106</v>
      </c>
      <c r="C92" s="155" t="str">
        <f>+_xlfn.XLOOKUP(A92,'[1]Proyectos (NO FILTRAR)'!$B:$B,'[1]Proyectos (NO FILTRAR)'!$G:$G,"error",0,1)</f>
        <v>Rusia</v>
      </c>
      <c r="D92" s="155">
        <v>2024</v>
      </c>
      <c r="E92" s="155" t="s">
        <v>358</v>
      </c>
      <c r="F92" s="155"/>
      <c r="G92" s="207" t="s">
        <v>462</v>
      </c>
      <c r="H92" s="207"/>
      <c r="I92" s="285">
        <f>+_xlfn.XLOOKUP(B92,'[1]Proyectos (NO FILTRAR)'!$F:$F,'[1]Proyectos (NO FILTRAR)'!$O:$O,"!",0,1)</f>
        <v>4339988</v>
      </c>
      <c r="J92" s="156">
        <f t="shared" si="55"/>
        <v>3397349.7</v>
      </c>
      <c r="K92" s="157">
        <f t="shared" si="47"/>
        <v>0.78280163447456541</v>
      </c>
      <c r="L92" s="158"/>
      <c r="M92" s="159">
        <f t="shared" si="48"/>
        <v>0</v>
      </c>
      <c r="N92" s="160">
        <f t="shared" si="56"/>
        <v>3397349.7</v>
      </c>
      <c r="O92" s="159">
        <f t="shared" si="49"/>
        <v>0.78280163447456541</v>
      </c>
      <c r="P92" s="160">
        <f t="shared" si="61"/>
        <v>942638.29999999981</v>
      </c>
      <c r="Q92" s="171">
        <f>636560.8+982379+434531.9</f>
        <v>2053471.7000000002</v>
      </c>
      <c r="R92" s="199">
        <f>+I92-Q92</f>
        <v>2286516.2999999998</v>
      </c>
      <c r="S92" s="204"/>
      <c r="T92" s="202"/>
      <c r="U92" s="180"/>
      <c r="V92" s="179"/>
      <c r="W92" s="180"/>
      <c r="X92" s="179"/>
      <c r="Y92" s="180"/>
      <c r="Z92" s="179"/>
      <c r="AA92" s="180"/>
      <c r="AB92" s="179"/>
      <c r="AC92" s="180"/>
      <c r="AD92" s="179"/>
      <c r="AE92" s="180"/>
      <c r="AF92" s="179"/>
      <c r="AG92" s="180"/>
      <c r="AH92" s="179"/>
      <c r="AI92" s="180"/>
      <c r="AJ92" s="179"/>
      <c r="AK92" s="180"/>
      <c r="AL92" s="179"/>
      <c r="AM92" s="180"/>
      <c r="AN92" s="179"/>
      <c r="AO92" s="185"/>
      <c r="AP92" s="172"/>
      <c r="AQ92" s="180"/>
      <c r="AR92" s="190">
        <f t="shared" si="50"/>
        <v>0</v>
      </c>
      <c r="AS92" s="215">
        <f t="shared" si="51"/>
        <v>0</v>
      </c>
      <c r="AT92" s="177"/>
      <c r="AU92" s="161">
        <v>1217640</v>
      </c>
      <c r="AV92" s="161">
        <v>1217640</v>
      </c>
      <c r="AW92" s="218"/>
      <c r="AX92" s="218">
        <v>126000</v>
      </c>
      <c r="AY92" s="218">
        <v>1217640</v>
      </c>
      <c r="AZ92" s="356">
        <v>0</v>
      </c>
      <c r="BA92" s="161">
        <v>0</v>
      </c>
      <c r="BB92" s="161"/>
      <c r="BC92" s="287">
        <v>1343878</v>
      </c>
      <c r="BD92" s="161">
        <v>0</v>
      </c>
      <c r="BE92" s="161">
        <v>0</v>
      </c>
      <c r="BF92" s="161">
        <v>0</v>
      </c>
      <c r="BG92" s="161">
        <v>0</v>
      </c>
      <c r="BH92" s="161">
        <v>0</v>
      </c>
      <c r="BI92" s="161"/>
      <c r="BJ92" s="161">
        <v>0</v>
      </c>
      <c r="BK92" s="161"/>
      <c r="BL92" s="161"/>
      <c r="BM92" s="161"/>
      <c r="BN92" s="161"/>
      <c r="BO92" s="161"/>
      <c r="BP92" s="161"/>
      <c r="BQ92" s="161"/>
      <c r="BR92" s="161"/>
      <c r="BS92" s="161"/>
      <c r="BT92" s="161"/>
      <c r="BU92" s="161"/>
      <c r="BV92" s="161"/>
      <c r="BW92" s="161"/>
      <c r="BX92" s="161"/>
      <c r="BY92" s="161">
        <f t="shared" si="52"/>
        <v>1343640</v>
      </c>
      <c r="BZ92" s="161">
        <f t="shared" si="53"/>
        <v>2435280</v>
      </c>
      <c r="CA92" s="216">
        <f t="shared" si="54"/>
        <v>1343878</v>
      </c>
      <c r="CC92" s="178">
        <f t="shared" si="57"/>
        <v>0</v>
      </c>
      <c r="CD92" s="178">
        <f t="shared" si="45"/>
        <v>0</v>
      </c>
      <c r="CE92" s="178">
        <f t="shared" si="58"/>
        <v>0</v>
      </c>
      <c r="CF92" s="178">
        <f t="shared" si="59"/>
        <v>0</v>
      </c>
      <c r="CG92" s="178">
        <f t="shared" si="60"/>
        <v>0</v>
      </c>
    </row>
    <row r="93" spans="1:85" ht="14.25" customHeight="1" x14ac:dyDescent="0.2">
      <c r="A93" s="361" t="str">
        <f>+_xlfn.XLOOKUP(B93,'[1]Proyectos (NO FILTRAR)'!$F:$F,'[1]Proyectos (NO FILTRAR)'!$B:$B,0,0,1)</f>
        <v>RU-ATL-OP-FEL00-148-A</v>
      </c>
      <c r="B93" s="167" t="s">
        <v>381</v>
      </c>
      <c r="C93" s="155" t="str">
        <f>+_xlfn.XLOOKUP(A93,'[1]Proyectos (NO FILTRAR)'!$B:$B,'[1]Proyectos (NO FILTRAR)'!$G:$G,"error",0,1)</f>
        <v>Rusia</v>
      </c>
      <c r="D93" s="155">
        <v>2025</v>
      </c>
      <c r="E93" s="155" t="s">
        <v>358</v>
      </c>
      <c r="F93" s="155"/>
      <c r="G93" s="207" t="s">
        <v>462</v>
      </c>
      <c r="H93" s="207"/>
      <c r="I93" s="285">
        <f>+_xlfn.XLOOKUP(B93,'[1]Proyectos (NO FILTRAR)'!$F:$F,'[1]Proyectos (NO FILTRAR)'!$O:$O,"!",0,1)</f>
        <v>225000</v>
      </c>
      <c r="J93" s="156">
        <f t="shared" si="55"/>
        <v>15000</v>
      </c>
      <c r="K93" s="157">
        <f t="shared" si="47"/>
        <v>6.6666666666666666E-2</v>
      </c>
      <c r="L93" s="158"/>
      <c r="M93" s="159">
        <f t="shared" si="48"/>
        <v>0</v>
      </c>
      <c r="N93" s="160">
        <f t="shared" si="56"/>
        <v>15000</v>
      </c>
      <c r="O93" s="159">
        <f t="shared" si="49"/>
        <v>6.6666666666666666E-2</v>
      </c>
      <c r="P93" s="160">
        <f t="shared" si="61"/>
        <v>210000</v>
      </c>
      <c r="Q93" s="171"/>
      <c r="R93" s="199"/>
      <c r="S93" s="204"/>
      <c r="T93" s="202"/>
      <c r="U93" s="180"/>
      <c r="V93" s="179"/>
      <c r="W93" s="180"/>
      <c r="X93" s="179"/>
      <c r="Y93" s="180"/>
      <c r="Z93" s="179"/>
      <c r="AA93" s="180"/>
      <c r="AB93" s="179"/>
      <c r="AC93" s="180"/>
      <c r="AD93" s="179"/>
      <c r="AE93" s="180"/>
      <c r="AF93" s="179"/>
      <c r="AG93" s="180"/>
      <c r="AH93" s="179"/>
      <c r="AI93" s="180"/>
      <c r="AJ93" s="179"/>
      <c r="AK93" s="180"/>
      <c r="AL93" s="179"/>
      <c r="AM93" s="180"/>
      <c r="AN93" s="179"/>
      <c r="AO93" s="185"/>
      <c r="AP93" s="172"/>
      <c r="AQ93" s="180"/>
      <c r="AR93" s="190">
        <f t="shared" si="50"/>
        <v>0</v>
      </c>
      <c r="AS93" s="215">
        <f t="shared" si="51"/>
        <v>0</v>
      </c>
      <c r="AT93" s="177"/>
      <c r="AU93" s="161">
        <v>51000</v>
      </c>
      <c r="AV93" s="161">
        <v>0</v>
      </c>
      <c r="AW93" s="218"/>
      <c r="AX93" s="218">
        <v>27078.712469569924</v>
      </c>
      <c r="AY93" s="218">
        <v>10000</v>
      </c>
      <c r="AZ93" s="218">
        <v>0</v>
      </c>
      <c r="BA93" s="161">
        <v>0</v>
      </c>
      <c r="BB93" s="161"/>
      <c r="BC93" s="287">
        <v>15000</v>
      </c>
      <c r="BD93" s="161">
        <v>0</v>
      </c>
      <c r="BE93" s="161">
        <v>0</v>
      </c>
      <c r="BF93" s="161">
        <v>0</v>
      </c>
      <c r="BG93" s="161">
        <v>0</v>
      </c>
      <c r="BH93" s="161">
        <v>0</v>
      </c>
      <c r="BI93" s="161"/>
      <c r="BJ93" s="161">
        <v>0</v>
      </c>
      <c r="BK93" s="161"/>
      <c r="BL93" s="161"/>
      <c r="BM93" s="161"/>
      <c r="BN93" s="161"/>
      <c r="BO93" s="161"/>
      <c r="BP93" s="161"/>
      <c r="BQ93" s="161"/>
      <c r="BR93" s="161"/>
      <c r="BS93" s="161"/>
      <c r="BT93" s="161"/>
      <c r="BU93" s="161"/>
      <c r="BV93" s="161"/>
      <c r="BW93" s="161"/>
      <c r="BX93" s="161"/>
      <c r="BY93" s="161">
        <f t="shared" si="52"/>
        <v>78078.712469569931</v>
      </c>
      <c r="BZ93" s="161">
        <f t="shared" si="53"/>
        <v>10000</v>
      </c>
      <c r="CA93" s="216">
        <f t="shared" si="54"/>
        <v>15000</v>
      </c>
      <c r="CC93" s="178">
        <f t="shared" si="57"/>
        <v>0</v>
      </c>
      <c r="CD93" s="178">
        <f t="shared" si="45"/>
        <v>0</v>
      </c>
      <c r="CE93" s="178">
        <f t="shared" si="58"/>
        <v>0</v>
      </c>
      <c r="CF93" s="178">
        <f t="shared" si="59"/>
        <v>0</v>
      </c>
      <c r="CG93" s="178">
        <f t="shared" si="60"/>
        <v>0</v>
      </c>
    </row>
    <row r="94" spans="1:85" ht="15" x14ac:dyDescent="0.2">
      <c r="A94" s="361" t="str">
        <f>+_xlfn.XLOOKUP(B94,'[1]Proyectos (NO FILTRAR)'!$F:$F,'[1]Proyectos (NO FILTRAR)'!$B:$B,0,0,1)</f>
        <v>CH-COL-CS-OTR00-194-A</v>
      </c>
      <c r="B94" s="154" t="s">
        <v>506</v>
      </c>
      <c r="C94" s="155" t="str">
        <f>+_xlfn.XLOOKUP(A94,'[1]Proyectos (NO FILTRAR)'!$B:$B,'[1]Proyectos (NO FILTRAR)'!$G:$G,"error",0,1)</f>
        <v>Chile</v>
      </c>
      <c r="D94" s="155">
        <v>2026</v>
      </c>
      <c r="E94" s="155" t="s">
        <v>360</v>
      </c>
      <c r="F94" s="155"/>
      <c r="G94" s="207" t="s">
        <v>462</v>
      </c>
      <c r="H94" s="207"/>
      <c r="I94" s="285">
        <f>+_xlfn.XLOOKUP(B94,'[1]Proyectos (NO FILTRAR)'!$F:$F,'[1]Proyectos (NO FILTRAR)'!$O:$O,"!",0,1)</f>
        <v>100665</v>
      </c>
      <c r="J94" s="156">
        <f t="shared" si="55"/>
        <v>70564.991111111114</v>
      </c>
      <c r="K94" s="157">
        <f t="shared" si="47"/>
        <v>0.70098833865902865</v>
      </c>
      <c r="L94" s="158">
        <f t="shared" si="46"/>
        <v>30100.008888888886</v>
      </c>
      <c r="M94" s="159">
        <f t="shared" si="48"/>
        <v>0.2990116613409714</v>
      </c>
      <c r="N94" s="160">
        <f t="shared" si="56"/>
        <v>70564.991111111114</v>
      </c>
      <c r="O94" s="159">
        <f t="shared" si="49"/>
        <v>0.70098833865902865</v>
      </c>
      <c r="P94" s="160">
        <f t="shared" si="61"/>
        <v>30100.008888888886</v>
      </c>
      <c r="Q94" s="171"/>
      <c r="R94" s="199"/>
      <c r="AU94" s="161"/>
      <c r="AV94" s="161"/>
      <c r="AW94" s="218"/>
      <c r="AX94" s="218">
        <v>4497.3682206405683</v>
      </c>
      <c r="AY94" s="218">
        <v>15000</v>
      </c>
      <c r="AZ94" s="287">
        <v>13169</v>
      </c>
      <c r="BA94" s="161">
        <v>13143</v>
      </c>
      <c r="BB94" s="161"/>
      <c r="BC94" s="287">
        <f>36656092/900</f>
        <v>40728.991111111114</v>
      </c>
      <c r="BD94" s="161">
        <v>20000</v>
      </c>
      <c r="BE94" s="161">
        <v>20000</v>
      </c>
      <c r="BF94" s="161">
        <v>16667</v>
      </c>
      <c r="BG94" s="161">
        <v>16000</v>
      </c>
      <c r="BH94" s="161">
        <v>16000</v>
      </c>
      <c r="BI94" s="161"/>
      <c r="BJ94" s="161">
        <v>0</v>
      </c>
      <c r="BK94" s="161"/>
      <c r="BL94" s="161"/>
      <c r="BM94" s="161"/>
      <c r="BN94" s="161"/>
      <c r="BO94" s="161"/>
      <c r="BP94" s="161"/>
      <c r="BQ94" s="161"/>
      <c r="BR94" s="161"/>
      <c r="BS94" s="161"/>
      <c r="BT94" s="161"/>
      <c r="BU94" s="161"/>
      <c r="BV94" s="161"/>
      <c r="BW94" s="161"/>
      <c r="BX94" s="161"/>
      <c r="BY94" s="161">
        <f t="shared" si="52"/>
        <v>53640.368220640565</v>
      </c>
      <c r="BZ94" s="161">
        <f t="shared" si="53"/>
        <v>15000</v>
      </c>
      <c r="CA94" s="216">
        <f t="shared" si="54"/>
        <v>70564.991111111114</v>
      </c>
      <c r="CC94" s="178">
        <f t="shared" si="57"/>
        <v>0</v>
      </c>
      <c r="CD94" s="178">
        <f t="shared" si="45"/>
        <v>1</v>
      </c>
      <c r="CE94" s="178">
        <f t="shared" si="58"/>
        <v>1</v>
      </c>
      <c r="CF94" s="178">
        <f t="shared" si="59"/>
        <v>0.83335000000000004</v>
      </c>
      <c r="CG94" s="178">
        <f t="shared" si="60"/>
        <v>0</v>
      </c>
    </row>
    <row r="95" spans="1:85" ht="15" x14ac:dyDescent="0.2">
      <c r="A95" s="361" t="str">
        <f>+_xlfn.XLOOKUP(B95,'[1]Proyectos (NO FILTRAR)'!$F:$F,'[1]Proyectos (NO FILTRAR)'!$B:$B,0,0,1)</f>
        <v>OT-FPT-OU-FEL00-196-A</v>
      </c>
      <c r="B95" s="154" t="s">
        <v>507</v>
      </c>
      <c r="C95" s="155" t="str">
        <f>+_xlfn.XLOOKUP(A95,'[1]Proyectos (NO FILTRAR)'!$B:$B,'[1]Proyectos (NO FILTRAR)'!$G:$G,"error",0,1)</f>
        <v>Otros</v>
      </c>
      <c r="D95" s="155">
        <v>2026</v>
      </c>
      <c r="E95" s="155" t="s">
        <v>360</v>
      </c>
      <c r="F95" s="155"/>
      <c r="G95" s="207" t="s">
        <v>463</v>
      </c>
      <c r="H95" s="207"/>
      <c r="I95" s="285">
        <f>+_xlfn.XLOOKUP(B95,'[1]Proyectos (NO FILTRAR)'!$F:$F,'[1]Proyectos (NO FILTRAR)'!$O:$O,"!",0,1)</f>
        <v>499350</v>
      </c>
      <c r="J95" s="156">
        <f t="shared" si="55"/>
        <v>239844</v>
      </c>
      <c r="K95" s="157">
        <f t="shared" si="47"/>
        <v>0.48031240612796633</v>
      </c>
      <c r="L95" s="158">
        <f t="shared" si="46"/>
        <v>259506</v>
      </c>
      <c r="M95" s="159">
        <f t="shared" si="48"/>
        <v>0.51968759387203367</v>
      </c>
      <c r="N95" s="160">
        <f t="shared" si="56"/>
        <v>239844</v>
      </c>
      <c r="O95" s="159">
        <f t="shared" si="49"/>
        <v>0.48031240612796633</v>
      </c>
      <c r="P95" s="160">
        <f t="shared" si="61"/>
        <v>259506</v>
      </c>
      <c r="Q95" s="171"/>
      <c r="R95" s="199"/>
      <c r="AE95" s="191"/>
      <c r="AP95" s="191"/>
      <c r="AQ95" s="191"/>
      <c r="AR95" s="191"/>
      <c r="AS95" s="191"/>
      <c r="AT95" s="191"/>
      <c r="AU95" s="161"/>
      <c r="AV95" s="161"/>
      <c r="AW95" s="218"/>
      <c r="AX95" s="218">
        <v>100308.80606578384</v>
      </c>
      <c r="AY95" s="218">
        <v>80000</v>
      </c>
      <c r="AZ95" s="287">
        <v>0</v>
      </c>
      <c r="BA95" s="161">
        <v>90000</v>
      </c>
      <c r="BB95" s="161"/>
      <c r="BC95" s="287">
        <v>169414</v>
      </c>
      <c r="BD95" s="161">
        <v>80000</v>
      </c>
      <c r="BE95" s="161">
        <v>80000</v>
      </c>
      <c r="BF95" s="360">
        <v>70430</v>
      </c>
      <c r="BG95" s="161">
        <v>60000</v>
      </c>
      <c r="BH95" s="161">
        <v>60000</v>
      </c>
      <c r="BI95" s="161"/>
      <c r="BJ95" s="161">
        <v>0</v>
      </c>
      <c r="BK95" s="161"/>
      <c r="BL95" s="161"/>
      <c r="BM95" s="161"/>
      <c r="BN95" s="161"/>
      <c r="BO95" s="161"/>
      <c r="BP95" s="161"/>
      <c r="BQ95" s="161"/>
      <c r="BR95" s="161"/>
      <c r="BS95" s="161"/>
      <c r="BT95" s="161"/>
      <c r="BU95" s="161"/>
      <c r="BV95" s="161"/>
      <c r="BW95" s="161"/>
      <c r="BX95" s="161"/>
      <c r="BY95" s="161">
        <f t="shared" si="52"/>
        <v>330308.80606578384</v>
      </c>
      <c r="BZ95" s="161">
        <f t="shared" si="53"/>
        <v>80000</v>
      </c>
      <c r="CA95" s="216">
        <f t="shared" si="54"/>
        <v>239844</v>
      </c>
      <c r="CC95" s="178">
        <f t="shared" si="57"/>
        <v>0</v>
      </c>
      <c r="CD95" s="178">
        <f t="shared" si="45"/>
        <v>0</v>
      </c>
      <c r="CE95" s="178">
        <f t="shared" si="58"/>
        <v>1</v>
      </c>
      <c r="CF95" s="178">
        <f t="shared" si="59"/>
        <v>0.88037500000000002</v>
      </c>
      <c r="CG95" s="178">
        <f t="shared" si="60"/>
        <v>0</v>
      </c>
    </row>
    <row r="96" spans="1:85" ht="15" x14ac:dyDescent="0.2">
      <c r="A96" s="361" t="str">
        <f>+_xlfn.XLOOKUP(B96,'[1]Proyectos (NO FILTRAR)'!$F:$F,'[1]Proyectos (NO FILTRAR)'!$B:$B,0,0,1)</f>
        <v>CH-BRR-CS-OTR00-195-A</v>
      </c>
      <c r="B96" s="154" t="s">
        <v>508</v>
      </c>
      <c r="C96" s="155" t="str">
        <f>+_xlfn.XLOOKUP(A96,'[1]Proyectos (NO FILTRAR)'!$B:$B,'[1]Proyectos (NO FILTRAR)'!$G:$G,"error",0,1)</f>
        <v>Chile</v>
      </c>
      <c r="D96" s="155">
        <v>2026</v>
      </c>
      <c r="E96" s="155" t="s">
        <v>360</v>
      </c>
      <c r="F96" s="155"/>
      <c r="G96" s="207" t="s">
        <v>544</v>
      </c>
      <c r="H96" s="207"/>
      <c r="I96" s="285">
        <f>+_xlfn.XLOOKUP(B96,'[1]Proyectos (NO FILTRAR)'!$F:$F,'[1]Proyectos (NO FILTRAR)'!$O:$O,"!",0,1)</f>
        <v>74196</v>
      </c>
      <c r="J96" s="156">
        <f t="shared" si="55"/>
        <v>78100</v>
      </c>
      <c r="K96" s="157">
        <f t="shared" si="47"/>
        <v>1.0526173917731414</v>
      </c>
      <c r="L96" s="158"/>
      <c r="M96" s="159">
        <f t="shared" si="48"/>
        <v>0</v>
      </c>
      <c r="N96" s="160">
        <f t="shared" si="56"/>
        <v>78100</v>
      </c>
      <c r="O96" s="159">
        <f t="shared" si="49"/>
        <v>1.0526173917731414</v>
      </c>
      <c r="P96" s="160">
        <f t="shared" si="61"/>
        <v>-3904</v>
      </c>
      <c r="Q96" s="171"/>
      <c r="R96" s="199"/>
      <c r="AU96" s="161"/>
      <c r="AV96" s="161"/>
      <c r="AW96" s="218"/>
      <c r="AX96" s="218"/>
      <c r="AY96" s="218">
        <v>20000</v>
      </c>
      <c r="AZ96" s="287">
        <v>0</v>
      </c>
      <c r="BA96" s="161">
        <v>35000</v>
      </c>
      <c r="BB96" s="161"/>
      <c r="BC96" s="161"/>
      <c r="BD96" s="161">
        <v>22300</v>
      </c>
      <c r="BE96" s="161">
        <v>55000</v>
      </c>
      <c r="BF96" s="161">
        <v>52750</v>
      </c>
      <c r="BG96" s="161">
        <v>24083</v>
      </c>
      <c r="BH96" s="363">
        <v>21446</v>
      </c>
      <c r="BI96" s="287">
        <v>25350</v>
      </c>
      <c r="BJ96" s="161">
        <v>0</v>
      </c>
      <c r="BK96" s="161"/>
      <c r="BL96" s="161"/>
      <c r="BM96" s="161"/>
      <c r="BN96" s="161"/>
      <c r="BO96" s="161"/>
      <c r="BP96" s="161"/>
      <c r="BQ96" s="161"/>
      <c r="BR96" s="161"/>
      <c r="BS96" s="161"/>
      <c r="BT96" s="161"/>
      <c r="BU96" s="161"/>
      <c r="BV96" s="161"/>
      <c r="BW96" s="161"/>
      <c r="BX96" s="161"/>
      <c r="BY96" s="161">
        <f>+SUM(AU96,AX96,BA96,BD96,BI96,BJ96,BM96,BO96,BQ96,BS96,BU96,BW96)</f>
        <v>82650</v>
      </c>
      <c r="BZ96" s="161">
        <f t="shared" si="53"/>
        <v>20000</v>
      </c>
      <c r="CA96" s="216">
        <f t="shared" si="54"/>
        <v>78100</v>
      </c>
      <c r="CC96" s="178">
        <f t="shared" si="57"/>
        <v>0</v>
      </c>
      <c r="CD96" s="178">
        <f t="shared" si="45"/>
        <v>0</v>
      </c>
      <c r="CE96" s="178">
        <f t="shared" si="58"/>
        <v>0</v>
      </c>
      <c r="CF96" s="178">
        <f t="shared" si="59"/>
        <v>1</v>
      </c>
      <c r="CG96" s="178">
        <f t="shared" si="60"/>
        <v>1</v>
      </c>
    </row>
    <row r="97" spans="1:85" ht="15" x14ac:dyDescent="0.2">
      <c r="A97" s="361" t="str">
        <f>+_xlfn.XLOOKUP(B97,'[1]Proyectos (NO FILTRAR)'!$F:$F,'[1]Proyectos (NO FILTRAR)'!$B:$B,0,0,1)</f>
        <v>BR-MOS-OU-FEL00-197-A</v>
      </c>
      <c r="B97" s="154" t="s">
        <v>520</v>
      </c>
      <c r="C97" s="155" t="str">
        <f>+_xlfn.XLOOKUP(A97,'[1]Proyectos (NO FILTRAR)'!$B:$B,'[1]Proyectos (NO FILTRAR)'!$G:$G,"error",0,1)</f>
        <v>Brasil</v>
      </c>
      <c r="D97" s="155">
        <v>2026</v>
      </c>
      <c r="E97" s="155" t="s">
        <v>360</v>
      </c>
      <c r="F97" s="155"/>
      <c r="G97" s="207" t="s">
        <v>545</v>
      </c>
      <c r="H97" s="207"/>
      <c r="I97" s="285">
        <f>+_xlfn.XLOOKUP(B97,'[1]Proyectos (NO FILTRAR)'!$F:$F,'[1]Proyectos (NO FILTRAR)'!$O:$O,"!",0,1)</f>
        <v>92135</v>
      </c>
      <c r="J97" s="156">
        <f t="shared" si="55"/>
        <v>59945</v>
      </c>
      <c r="K97" s="157">
        <f t="shared" si="47"/>
        <v>0.65062137081456561</v>
      </c>
      <c r="L97" s="158">
        <f t="shared" si="46"/>
        <v>32190</v>
      </c>
      <c r="M97" s="159">
        <f t="shared" si="48"/>
        <v>0.34937862918543444</v>
      </c>
      <c r="N97" s="160">
        <f t="shared" si="56"/>
        <v>88945</v>
      </c>
      <c r="O97" s="159">
        <f t="shared" si="49"/>
        <v>0.96537689260324522</v>
      </c>
      <c r="P97" s="160">
        <f t="shared" si="61"/>
        <v>3190</v>
      </c>
      <c r="Q97" s="171"/>
      <c r="R97" s="199"/>
      <c r="AU97" s="161"/>
      <c r="AV97" s="161"/>
      <c r="AW97" s="218"/>
      <c r="AX97" s="218"/>
      <c r="AY97" s="218">
        <v>0</v>
      </c>
      <c r="AZ97" s="218"/>
      <c r="BA97" s="161">
        <v>26863.64</v>
      </c>
      <c r="BB97" s="161"/>
      <c r="BC97" s="287">
        <v>14895</v>
      </c>
      <c r="BD97" s="161">
        <v>29000</v>
      </c>
      <c r="BE97" s="161">
        <v>29000</v>
      </c>
      <c r="BF97" s="287">
        <v>24000</v>
      </c>
      <c r="BG97" s="161">
        <v>43000</v>
      </c>
      <c r="BH97" s="161">
        <v>43000</v>
      </c>
      <c r="BI97" s="287">
        <v>21050</v>
      </c>
      <c r="BJ97" s="161">
        <v>29000</v>
      </c>
      <c r="BK97" s="161"/>
      <c r="BL97" s="161"/>
      <c r="BM97" s="161"/>
      <c r="BN97" s="161"/>
      <c r="BO97" s="161"/>
      <c r="BP97" s="161"/>
      <c r="BQ97" s="161"/>
      <c r="BR97" s="161"/>
      <c r="BS97" s="161"/>
      <c r="BT97" s="161"/>
      <c r="BU97" s="161"/>
      <c r="BV97" s="161"/>
      <c r="BW97" s="161"/>
      <c r="BX97" s="161"/>
      <c r="BY97" s="161">
        <f t="shared" ref="BY97:BY100" si="62">+SUM(AU97,AX97,BA97,BD97,BG97,BJ97,BM97,BO97,BQ97,BS97,BU97,BW97)</f>
        <v>127863.64</v>
      </c>
      <c r="BZ97" s="161">
        <f t="shared" ref="BZ97:BZ100" si="63">+AV97+AY97</f>
        <v>0</v>
      </c>
      <c r="CA97" s="216">
        <f t="shared" si="54"/>
        <v>59945</v>
      </c>
      <c r="CC97" s="178">
        <f t="shared" si="57"/>
        <v>0</v>
      </c>
      <c r="CD97" s="178">
        <f t="shared" si="45"/>
        <v>0</v>
      </c>
      <c r="CE97" s="178">
        <f t="shared" si="58"/>
        <v>0.55446693002139691</v>
      </c>
      <c r="CF97" s="178">
        <f t="shared" si="59"/>
        <v>0.82758620689655171</v>
      </c>
      <c r="CG97" s="178">
        <f t="shared" si="60"/>
        <v>0.48953488372093024</v>
      </c>
    </row>
    <row r="98" spans="1:85" ht="15" x14ac:dyDescent="0.2">
      <c r="A98" s="361" t="str">
        <f>+_xlfn.XLOOKUP(B98,'[1]Proyectos (NO FILTRAR)'!$F:$F,'[1]Proyectos (NO FILTRAR)'!$B:$B,0,0,1)</f>
        <v>PE-CSC-OT-OTR00-198-A</v>
      </c>
      <c r="B98" s="167" t="s">
        <v>521</v>
      </c>
      <c r="C98" s="155" t="str">
        <f>+_xlfn.XLOOKUP(A98,'[1]Proyectos (NO FILTRAR)'!$B:$B,'[1]Proyectos (NO FILTRAR)'!$G:$G,"error",0,1)</f>
        <v>Perú</v>
      </c>
      <c r="D98" s="155">
        <v>2026</v>
      </c>
      <c r="E98" s="155" t="s">
        <v>358</v>
      </c>
      <c r="F98" s="155"/>
      <c r="G98" s="207" t="s">
        <v>463</v>
      </c>
      <c r="H98" s="207"/>
      <c r="I98" s="285">
        <f>+_xlfn.XLOOKUP(B98,'[1]Proyectos (NO FILTRAR)'!$F:$F,'[1]Proyectos (NO FILTRAR)'!$O:$O,"!",0,1)</f>
        <v>24635</v>
      </c>
      <c r="J98" s="156">
        <f t="shared" si="55"/>
        <v>24635</v>
      </c>
      <c r="K98" s="157">
        <f t="shared" si="47"/>
        <v>1</v>
      </c>
      <c r="L98" s="158"/>
      <c r="M98" s="159">
        <f t="shared" si="48"/>
        <v>0</v>
      </c>
      <c r="N98" s="160">
        <f t="shared" si="56"/>
        <v>24635</v>
      </c>
      <c r="O98" s="159">
        <f t="shared" si="49"/>
        <v>1</v>
      </c>
      <c r="P98" s="160"/>
      <c r="Q98" s="171"/>
      <c r="R98" s="199"/>
      <c r="AM98" s="191"/>
      <c r="AU98" s="161"/>
      <c r="AV98" s="161"/>
      <c r="AW98" s="218"/>
      <c r="AX98" s="218"/>
      <c r="AY98" s="218">
        <v>25000</v>
      </c>
      <c r="AZ98" s="287">
        <v>24635</v>
      </c>
      <c r="BA98" s="161">
        <v>0</v>
      </c>
      <c r="BB98" s="161"/>
      <c r="BC98" s="161"/>
      <c r="BD98" s="161">
        <v>0</v>
      </c>
      <c r="BE98" s="161">
        <v>0</v>
      </c>
      <c r="BF98" s="161"/>
      <c r="BG98" s="161">
        <v>0</v>
      </c>
      <c r="BH98" s="161">
        <v>0</v>
      </c>
      <c r="BI98" s="161"/>
      <c r="BJ98" s="161">
        <v>0</v>
      </c>
      <c r="BK98" s="161"/>
      <c r="BL98" s="161"/>
      <c r="BM98" s="161"/>
      <c r="BN98" s="161"/>
      <c r="BO98" s="161"/>
      <c r="BP98" s="161"/>
      <c r="BQ98" s="161"/>
      <c r="BR98" s="161"/>
      <c r="BS98" s="161"/>
      <c r="BT98" s="161"/>
      <c r="BU98" s="161"/>
      <c r="BV98" s="161"/>
      <c r="BW98" s="161"/>
      <c r="BX98" s="161"/>
      <c r="BY98" s="161">
        <f t="shared" si="62"/>
        <v>0</v>
      </c>
      <c r="BZ98" s="161">
        <f t="shared" si="63"/>
        <v>25000</v>
      </c>
      <c r="CA98" s="216">
        <f t="shared" si="54"/>
        <v>24635</v>
      </c>
      <c r="CC98" s="178">
        <f t="shared" si="57"/>
        <v>0</v>
      </c>
      <c r="CD98" s="178">
        <f t="shared" si="45"/>
        <v>0</v>
      </c>
      <c r="CE98" s="178">
        <f t="shared" si="58"/>
        <v>0</v>
      </c>
      <c r="CF98" s="178">
        <f t="shared" si="59"/>
        <v>0</v>
      </c>
      <c r="CG98" s="178">
        <f t="shared" si="60"/>
        <v>0</v>
      </c>
    </row>
    <row r="99" spans="1:85" ht="15" x14ac:dyDescent="0.2">
      <c r="A99" s="361" t="str">
        <f>+_xlfn.XLOOKUP(B99,'[1]Proyectos (NO FILTRAR)'!$F:$F,'[1]Proyectos (NO FILTRAR)'!$B:$B,0,0,1)</f>
        <v>CH-GLE-CS-OTR00-199-A</v>
      </c>
      <c r="B99" s="154" t="s">
        <v>522</v>
      </c>
      <c r="C99" s="155" t="str">
        <f>+_xlfn.XLOOKUP(A99,'[1]Proyectos (NO FILTRAR)'!$B:$B,'[1]Proyectos (NO FILTRAR)'!$G:$G,"error",0,1)</f>
        <v>Chile</v>
      </c>
      <c r="D99" s="155">
        <v>2026</v>
      </c>
      <c r="E99" s="155" t="s">
        <v>358</v>
      </c>
      <c r="F99" s="155"/>
      <c r="G99" s="207" t="s">
        <v>463</v>
      </c>
      <c r="H99" s="207"/>
      <c r="I99" s="285">
        <f>+_xlfn.XLOOKUP(B99,'[1]Proyectos (NO FILTRAR)'!$F:$F,'[1]Proyectos (NO FILTRAR)'!$O:$O,"!",0,1)</f>
        <v>80200</v>
      </c>
      <c r="J99" s="156">
        <f t="shared" si="55"/>
        <v>80200</v>
      </c>
      <c r="K99" s="157">
        <f t="shared" si="47"/>
        <v>1</v>
      </c>
      <c r="L99" s="158"/>
      <c r="M99" s="159">
        <f t="shared" si="48"/>
        <v>0</v>
      </c>
      <c r="N99" s="160">
        <f t="shared" si="56"/>
        <v>80200</v>
      </c>
      <c r="O99" s="159">
        <f t="shared" ref="O99:O102" si="64">IFERROR(N99/I99,0)</f>
        <v>1</v>
      </c>
      <c r="P99" s="160">
        <f t="shared" ref="P99:P102" si="65">+I99-N99</f>
        <v>0</v>
      </c>
      <c r="Q99" s="171"/>
      <c r="R99" s="199"/>
      <c r="AE99" s="192"/>
      <c r="AI99" s="191"/>
      <c r="AU99" s="161"/>
      <c r="AV99" s="161"/>
      <c r="AW99" s="218"/>
      <c r="AX99" s="218"/>
      <c r="AY99" s="218">
        <v>0</v>
      </c>
      <c r="AZ99" s="218"/>
      <c r="BA99" s="161">
        <v>50000</v>
      </c>
      <c r="BB99" s="161"/>
      <c r="BC99" s="287">
        <v>56120</v>
      </c>
      <c r="BD99" s="161">
        <v>24080</v>
      </c>
      <c r="BE99" s="161">
        <v>24080</v>
      </c>
      <c r="BF99" s="161">
        <v>24080</v>
      </c>
      <c r="BG99" s="161">
        <v>0</v>
      </c>
      <c r="BH99" s="161">
        <v>0</v>
      </c>
      <c r="BI99" s="161"/>
      <c r="BJ99" s="161">
        <v>0</v>
      </c>
      <c r="BK99" s="161"/>
      <c r="BL99" s="161"/>
      <c r="BM99" s="161"/>
      <c r="BN99" s="161"/>
      <c r="BO99" s="161"/>
      <c r="BP99" s="161"/>
      <c r="BQ99" s="161"/>
      <c r="BR99" s="161"/>
      <c r="BS99" s="161"/>
      <c r="BT99" s="161"/>
      <c r="BU99" s="161"/>
      <c r="BV99" s="161"/>
      <c r="BW99" s="161"/>
      <c r="BX99" s="161"/>
      <c r="BY99" s="161">
        <f t="shared" si="62"/>
        <v>74080</v>
      </c>
      <c r="BZ99" s="161">
        <f t="shared" si="63"/>
        <v>0</v>
      </c>
      <c r="CA99" s="216">
        <f t="shared" si="54"/>
        <v>80200</v>
      </c>
      <c r="CC99" s="178">
        <f t="shared" si="57"/>
        <v>0</v>
      </c>
      <c r="CD99" s="178">
        <f t="shared" si="45"/>
        <v>0</v>
      </c>
      <c r="CE99" s="178">
        <f t="shared" si="58"/>
        <v>1</v>
      </c>
      <c r="CF99" s="178">
        <f t="shared" si="59"/>
        <v>1</v>
      </c>
      <c r="CG99" s="178">
        <f t="shared" si="60"/>
        <v>0</v>
      </c>
    </row>
    <row r="100" spans="1:85" ht="15" x14ac:dyDescent="0.2">
      <c r="A100" s="361" t="str">
        <f>+_xlfn.XLOOKUP(B100,'[1]Proyectos (NO FILTRAR)'!$F:$F,'[1]Proyectos (NO FILTRAR)'!$B:$B,0,0,1)</f>
        <v>PE-MSR-UG-OTR00-200-A</v>
      </c>
      <c r="B100" s="154" t="s">
        <v>523</v>
      </c>
      <c r="C100" s="155" t="str">
        <f>+_xlfn.XLOOKUP(A100,'[1]Proyectos (NO FILTRAR)'!$B:$B,'[1]Proyectos (NO FILTRAR)'!$G:$G,"error",0,1)</f>
        <v>Perú</v>
      </c>
      <c r="D100" s="155">
        <v>2026</v>
      </c>
      <c r="E100" s="155" t="s">
        <v>360</v>
      </c>
      <c r="F100" s="155"/>
      <c r="G100" s="207" t="s">
        <v>463</v>
      </c>
      <c r="H100" s="207"/>
      <c r="I100" s="285">
        <f>+_xlfn.XLOOKUP(B100,'[1]Proyectos (NO FILTRAR)'!$F:$F,'[1]Proyectos (NO FILTRAR)'!$O:$O,"!",0,1)</f>
        <v>149120</v>
      </c>
      <c r="J100" s="156">
        <f t="shared" si="55"/>
        <v>40271</v>
      </c>
      <c r="K100" s="157">
        <f t="shared" si="47"/>
        <v>0.27005767167381972</v>
      </c>
      <c r="L100" s="158">
        <f t="shared" si="46"/>
        <v>108849</v>
      </c>
      <c r="M100" s="159">
        <f t="shared" si="48"/>
        <v>0.72994232832618022</v>
      </c>
      <c r="N100" s="160">
        <f t="shared" si="56"/>
        <v>109793.8</v>
      </c>
      <c r="O100" s="159">
        <f t="shared" si="64"/>
        <v>0.7362781652360515</v>
      </c>
      <c r="P100" s="160">
        <f t="shared" si="65"/>
        <v>39326.199999999997</v>
      </c>
      <c r="Q100" s="171"/>
      <c r="R100" s="199"/>
      <c r="AE100" s="192"/>
      <c r="AU100" s="161"/>
      <c r="AV100" s="161"/>
      <c r="AW100" s="218"/>
      <c r="AX100" s="218"/>
      <c r="AY100" s="218">
        <v>0</v>
      </c>
      <c r="AZ100" s="218"/>
      <c r="BA100" s="161">
        <v>21390</v>
      </c>
      <c r="BB100" s="161"/>
      <c r="BC100" s="161"/>
      <c r="BD100" s="161">
        <v>40000</v>
      </c>
      <c r="BE100" s="161">
        <v>20000</v>
      </c>
      <c r="BF100" s="360">
        <v>0</v>
      </c>
      <c r="BG100" s="161">
        <v>62300</v>
      </c>
      <c r="BH100" s="161">
        <v>62300</v>
      </c>
      <c r="BI100" s="287">
        <v>40271</v>
      </c>
      <c r="BJ100" s="161">
        <v>69522.8</v>
      </c>
      <c r="BK100" s="161"/>
      <c r="BL100" s="161"/>
      <c r="BM100" s="161"/>
      <c r="BN100" s="161"/>
      <c r="BO100" s="161"/>
      <c r="BP100" s="161"/>
      <c r="BQ100" s="161"/>
      <c r="BR100" s="161"/>
      <c r="BS100" s="161"/>
      <c r="BT100" s="161"/>
      <c r="BU100" s="161"/>
      <c r="BV100" s="161"/>
      <c r="BW100" s="161"/>
      <c r="BX100" s="161"/>
      <c r="BY100" s="161">
        <f t="shared" si="62"/>
        <v>193212.79999999999</v>
      </c>
      <c r="BZ100" s="161">
        <f t="shared" si="63"/>
        <v>0</v>
      </c>
      <c r="CA100" s="216">
        <f t="shared" si="54"/>
        <v>40271</v>
      </c>
      <c r="CC100" s="178">
        <f t="shared" si="57"/>
        <v>0</v>
      </c>
      <c r="CD100" s="178">
        <f t="shared" si="45"/>
        <v>0</v>
      </c>
      <c r="CE100" s="178">
        <f t="shared" si="58"/>
        <v>0</v>
      </c>
      <c r="CF100" s="178">
        <f t="shared" si="59"/>
        <v>0</v>
      </c>
      <c r="CG100" s="178">
        <f t="shared" si="60"/>
        <v>0.64640449438202252</v>
      </c>
    </row>
    <row r="101" spans="1:85" ht="15" x14ac:dyDescent="0.2">
      <c r="A101" s="361" t="str">
        <f>+_xlfn.XLOOKUP(B101,'[1]Proyectos (NO FILTRAR)'!$F:$F,'[1]Proyectos (NO FILTRAR)'!$B:$B,0,0,1)</f>
        <v>OT-HCL-CS-OTR00-202-A</v>
      </c>
      <c r="B101" s="154" t="s">
        <v>524</v>
      </c>
      <c r="C101" s="155" t="str">
        <f>+_xlfn.XLOOKUP(A101,'[1]Proyectos (NO FILTRAR)'!$B:$B,'[1]Proyectos (NO FILTRAR)'!$G:$G,"error",0,1)</f>
        <v>Otros</v>
      </c>
      <c r="D101" s="155">
        <v>2026</v>
      </c>
      <c r="E101" s="155" t="s">
        <v>360</v>
      </c>
      <c r="F101" s="155"/>
      <c r="G101" s="207" t="s">
        <v>463</v>
      </c>
      <c r="H101" s="207"/>
      <c r="I101" s="285">
        <f>+_xlfn.XLOOKUP(B101,'[1]Proyectos (NO FILTRAR)'!$F:$F,'[1]Proyectos (NO FILTRAR)'!$O:$O,"!",0,1)</f>
        <v>47360</v>
      </c>
      <c r="J101" s="156">
        <f t="shared" si="55"/>
        <v>32789</v>
      </c>
      <c r="K101" s="157">
        <f t="shared" ref="K101:K102" si="66">+IFERROR(J101/I101,0)</f>
        <v>0.69233530405405408</v>
      </c>
      <c r="L101" s="158">
        <f t="shared" ref="L101:L102" si="67">+I101-J101</f>
        <v>14571</v>
      </c>
      <c r="M101" s="159">
        <f t="shared" ref="M101:M102" si="68">+IFERROR(L101/I101,0)</f>
        <v>0.30766469594594592</v>
      </c>
      <c r="N101" s="160">
        <f t="shared" si="56"/>
        <v>32789</v>
      </c>
      <c r="O101" s="159">
        <f t="shared" si="64"/>
        <v>0.69233530405405408</v>
      </c>
      <c r="P101" s="160">
        <f t="shared" si="65"/>
        <v>14571</v>
      </c>
      <c r="Q101" s="171"/>
      <c r="R101" s="199"/>
      <c r="AE101" s="192"/>
      <c r="AG101" s="191"/>
      <c r="AU101" s="161"/>
      <c r="AV101" s="161"/>
      <c r="AW101" s="218"/>
      <c r="AX101" s="218"/>
      <c r="AY101" s="218">
        <v>0</v>
      </c>
      <c r="AZ101" s="218"/>
      <c r="BA101" s="161">
        <v>28500</v>
      </c>
      <c r="BB101" s="161"/>
      <c r="BC101" s="287">
        <v>27609</v>
      </c>
      <c r="BD101" s="161">
        <v>19751</v>
      </c>
      <c r="BE101" s="161">
        <v>19751</v>
      </c>
      <c r="BF101" s="161">
        <v>5180</v>
      </c>
      <c r="BG101" s="161">
        <v>5000</v>
      </c>
      <c r="BH101" s="161">
        <v>5000</v>
      </c>
      <c r="BI101" s="161"/>
      <c r="BJ101" s="161">
        <v>0</v>
      </c>
      <c r="BK101" s="161"/>
      <c r="BL101" s="161"/>
      <c r="BM101" s="161"/>
      <c r="BN101" s="161"/>
      <c r="BO101" s="161"/>
      <c r="BP101" s="161"/>
      <c r="BQ101" s="161"/>
      <c r="BR101" s="161"/>
      <c r="BS101" s="161"/>
      <c r="BT101" s="161"/>
      <c r="BU101" s="161"/>
      <c r="BV101" s="161"/>
      <c r="BW101" s="161"/>
      <c r="BX101" s="161"/>
      <c r="BY101" s="161">
        <f t="shared" ref="BY101:BY102" si="69">+SUM(AU101,AX101,BA101,BD101,BG101,BJ101,BM101,BO101,BQ101,BS101,BU101,BW101)</f>
        <v>53251</v>
      </c>
      <c r="BZ101" s="161">
        <f t="shared" ref="BZ101:BZ102" si="70">+AV101+AY101</f>
        <v>0</v>
      </c>
      <c r="CA101" s="216">
        <f t="shared" si="54"/>
        <v>32789</v>
      </c>
      <c r="CC101" s="178">
        <f t="shared" si="57"/>
        <v>0</v>
      </c>
      <c r="CD101" s="178">
        <f t="shared" si="45"/>
        <v>0</v>
      </c>
      <c r="CE101" s="178">
        <f t="shared" si="58"/>
        <v>0.96873684210526312</v>
      </c>
      <c r="CF101" s="178">
        <f t="shared" si="59"/>
        <v>0.26226520176193613</v>
      </c>
      <c r="CG101" s="178">
        <f t="shared" si="60"/>
        <v>0</v>
      </c>
    </row>
    <row r="102" spans="1:85" ht="15" x14ac:dyDescent="0.2">
      <c r="A102" s="361" t="str">
        <f>+_xlfn.XLOOKUP(B102,'[1]Proyectos (NO FILTRAR)'!$F:$F,'[1]Proyectos (NO FILTRAR)'!$B:$B,0,0,1)</f>
        <v>OT-STH-CS-OTR00-201-A</v>
      </c>
      <c r="B102" s="154" t="s">
        <v>525</v>
      </c>
      <c r="C102" s="155" t="str">
        <f>+_xlfn.XLOOKUP(A102,'[1]Proyectos (NO FILTRAR)'!$B:$B,'[1]Proyectos (NO FILTRAR)'!$G:$G,"error",0,1)</f>
        <v>Otros</v>
      </c>
      <c r="D102" s="155">
        <v>2026</v>
      </c>
      <c r="E102" s="155" t="s">
        <v>360</v>
      </c>
      <c r="F102" s="155"/>
      <c r="G102" s="207" t="s">
        <v>463</v>
      </c>
      <c r="H102" s="207"/>
      <c r="I102" s="285">
        <f>+_xlfn.XLOOKUP(B102,'[1]Proyectos (NO FILTRAR)'!$F:$F,'[1]Proyectos (NO FILTRAR)'!$O:$O,"!",0,1)</f>
        <v>165650</v>
      </c>
      <c r="J102" s="156">
        <f t="shared" si="55"/>
        <v>109236</v>
      </c>
      <c r="K102" s="157">
        <f t="shared" si="66"/>
        <v>0.65943857530938721</v>
      </c>
      <c r="L102" s="158">
        <f t="shared" si="67"/>
        <v>56414</v>
      </c>
      <c r="M102" s="159">
        <f t="shared" si="68"/>
        <v>0.34056142469061274</v>
      </c>
      <c r="N102" s="160">
        <f t="shared" si="56"/>
        <v>159236</v>
      </c>
      <c r="O102" s="159">
        <f t="shared" si="64"/>
        <v>0.96127980682161185</v>
      </c>
      <c r="P102" s="160">
        <f t="shared" si="65"/>
        <v>6414</v>
      </c>
      <c r="Q102" s="171"/>
      <c r="R102" s="199"/>
      <c r="AU102" s="161"/>
      <c r="AV102" s="161"/>
      <c r="AW102" s="218"/>
      <c r="AX102" s="218"/>
      <c r="AY102" s="218">
        <v>0</v>
      </c>
      <c r="AZ102" s="218"/>
      <c r="BA102" s="161">
        <v>28325</v>
      </c>
      <c r="BB102" s="161"/>
      <c r="BC102" s="287">
        <v>38203</v>
      </c>
      <c r="BD102" s="161">
        <v>25000</v>
      </c>
      <c r="BE102" s="161">
        <v>25000</v>
      </c>
      <c r="BF102" s="161">
        <v>30030</v>
      </c>
      <c r="BG102" s="161">
        <v>35000</v>
      </c>
      <c r="BH102" s="161">
        <v>35000</v>
      </c>
      <c r="BI102" s="287">
        <v>41003</v>
      </c>
      <c r="BJ102" s="161">
        <v>50000</v>
      </c>
      <c r="BK102" s="161"/>
      <c r="BL102" s="161"/>
      <c r="BM102" s="161"/>
      <c r="BN102" s="161"/>
      <c r="BO102" s="161"/>
      <c r="BP102" s="161"/>
      <c r="BQ102" s="161"/>
      <c r="BR102" s="161"/>
      <c r="BS102" s="161"/>
      <c r="BT102" s="161"/>
      <c r="BU102" s="161"/>
      <c r="BV102" s="161"/>
      <c r="BW102" s="161"/>
      <c r="BX102" s="161"/>
      <c r="BY102" s="161">
        <f t="shared" si="69"/>
        <v>138325</v>
      </c>
      <c r="BZ102" s="161">
        <f t="shared" si="70"/>
        <v>0</v>
      </c>
      <c r="CA102" s="216">
        <f t="shared" si="54"/>
        <v>109236</v>
      </c>
      <c r="CC102" s="178">
        <f t="shared" si="57"/>
        <v>0</v>
      </c>
      <c r="CD102" s="178">
        <f t="shared" si="45"/>
        <v>0</v>
      </c>
      <c r="CE102" s="178">
        <f t="shared" si="58"/>
        <v>1</v>
      </c>
      <c r="CF102" s="178">
        <f t="shared" si="59"/>
        <v>1</v>
      </c>
      <c r="CG102" s="178">
        <f t="shared" si="60"/>
        <v>1</v>
      </c>
    </row>
    <row r="103" spans="1:85" ht="15" x14ac:dyDescent="0.2">
      <c r="A103" s="361" t="str">
        <f>+_xlfn.XLOOKUP(B103,'[1]Proyectos (NO FILTRAR)'!$F:$F,'[1]Proyectos (NO FILTRAR)'!$B:$B,0,0,1)</f>
        <v>PE-AES-UG-FEL00-203-A</v>
      </c>
      <c r="B103" s="167" t="s">
        <v>527</v>
      </c>
      <c r="C103" s="155" t="str">
        <f>+_xlfn.XLOOKUP(A103,'[1]Proyectos (NO FILTRAR)'!$B:$B,'[1]Proyectos (NO FILTRAR)'!$G:$G,"error",0,1)</f>
        <v>Perú</v>
      </c>
      <c r="D103" s="155">
        <v>2026</v>
      </c>
      <c r="E103" s="155" t="s">
        <v>358</v>
      </c>
      <c r="F103" s="155"/>
      <c r="G103" s="207" t="s">
        <v>463</v>
      </c>
      <c r="H103" s="207"/>
      <c r="I103" s="285">
        <f>+_xlfn.XLOOKUP(B103,'[1]Proyectos (NO FILTRAR)'!$F:$F,'[1]Proyectos (NO FILTRAR)'!$O:$O,"!",0,1)</f>
        <v>19302</v>
      </c>
      <c r="J103" s="156">
        <f t="shared" si="55"/>
        <v>19302</v>
      </c>
      <c r="K103" s="157">
        <f t="shared" ref="K103" si="71">+IFERROR(J103/I103,0)</f>
        <v>1</v>
      </c>
      <c r="L103" s="158"/>
      <c r="M103" s="159">
        <f t="shared" ref="M103" si="72">+IFERROR(L103/I103,0)</f>
        <v>0</v>
      </c>
      <c r="N103" s="160">
        <f t="shared" si="56"/>
        <v>19302</v>
      </c>
      <c r="O103" s="159">
        <f t="shared" ref="O103" si="73">IFERROR(N103/I103,0)</f>
        <v>1</v>
      </c>
      <c r="P103" s="160">
        <f t="shared" ref="P103" si="74">+I103-N103</f>
        <v>0</v>
      </c>
      <c r="Q103" s="171"/>
      <c r="R103" s="199"/>
      <c r="AU103" s="161"/>
      <c r="AV103" s="161"/>
      <c r="AW103" s="218"/>
      <c r="AX103" s="218"/>
      <c r="AY103" s="218"/>
      <c r="AZ103" s="218"/>
      <c r="BA103" s="161"/>
      <c r="BB103" s="161"/>
      <c r="BC103" s="161">
        <v>19302</v>
      </c>
      <c r="BD103" s="161">
        <v>2135</v>
      </c>
      <c r="BE103" s="161">
        <v>2135</v>
      </c>
      <c r="BF103" s="161">
        <v>0</v>
      </c>
      <c r="BG103" s="161">
        <v>0</v>
      </c>
      <c r="BH103" s="161">
        <v>0</v>
      </c>
      <c r="BI103" s="161"/>
      <c r="BJ103" s="161">
        <v>0</v>
      </c>
      <c r="BK103" s="161"/>
      <c r="BL103" s="161"/>
      <c r="BM103" s="161"/>
      <c r="BN103" s="161"/>
      <c r="BO103" s="161"/>
      <c r="BP103" s="161"/>
      <c r="BQ103" s="161"/>
      <c r="BR103" s="161"/>
      <c r="BS103" s="161"/>
      <c r="BT103" s="161"/>
      <c r="BU103" s="161"/>
      <c r="BV103" s="161"/>
      <c r="BW103" s="161"/>
      <c r="BX103" s="161"/>
      <c r="BY103" s="161">
        <f t="shared" ref="BY103:BY108" si="75">+SUM(AU103,AX103,BA103,BD103,BG103,BJ103,BM103,BO103,BQ103,BS103,BU103,BW103)</f>
        <v>2135</v>
      </c>
      <c r="BZ103" s="161">
        <f t="shared" ref="BZ103:BZ108" si="76">+AV103+AY103</f>
        <v>0</v>
      </c>
      <c r="CA103" s="216">
        <f t="shared" si="54"/>
        <v>19302</v>
      </c>
      <c r="CC103" s="178">
        <f t="shared" ref="CC103" si="77">+IF(AND(AU103&gt;0,AW103=0),0,IF(AU103=0,0,IF(AW103&gt;=AU103,1,AW103/AU103)))</f>
        <v>0</v>
      </c>
      <c r="CD103" s="178">
        <f t="shared" ref="CD103" si="78">+IF(AND(AX103&gt;0,AZ103=0),0,IF(AX103=0,0,IF(AZ103&gt;=AX103,1,AZ103/AX103)))</f>
        <v>0</v>
      </c>
      <c r="CE103" s="178">
        <f t="shared" ref="CE103" si="79">+IF(AND(BA103&gt;0,BC103=0),0,IF(BA103=0,0,IF(BC103&gt;=BA103,1,BC103/BA103)))</f>
        <v>0</v>
      </c>
      <c r="CF103" s="178">
        <f t="shared" si="59"/>
        <v>0</v>
      </c>
      <c r="CG103" s="178">
        <f t="shared" si="60"/>
        <v>0</v>
      </c>
    </row>
    <row r="104" spans="1:85" ht="15" x14ac:dyDescent="0.2">
      <c r="A104" s="361" t="str">
        <f>+_xlfn.XLOOKUP(B104,'[1]Proyectos (NO FILTRAR)'!$F:$F,'[1]Proyectos (NO FILTRAR)'!$B:$B,0,0,1)</f>
        <v>PE-HCS-UG-OTR00-204-A</v>
      </c>
      <c r="B104" s="167" t="s">
        <v>528</v>
      </c>
      <c r="C104" s="155" t="str">
        <f>+_xlfn.XLOOKUP(A104,'[1]Proyectos (NO FILTRAR)'!$B:$B,'[1]Proyectos (NO FILTRAR)'!$G:$G,"error",0,1)</f>
        <v>Perú</v>
      </c>
      <c r="D104" s="155">
        <v>2026</v>
      </c>
      <c r="E104" s="155" t="s">
        <v>358</v>
      </c>
      <c r="F104" s="155"/>
      <c r="G104" s="207" t="s">
        <v>463</v>
      </c>
      <c r="H104" s="207"/>
      <c r="I104" s="285">
        <f>+_xlfn.XLOOKUP(B104,'[1]Proyectos (NO FILTRAR)'!$F:$F,'[1]Proyectos (NO FILTRAR)'!$O:$O,"!",0,1)</f>
        <v>15900</v>
      </c>
      <c r="J104" s="156">
        <f t="shared" si="55"/>
        <v>15900</v>
      </c>
      <c r="K104" s="157">
        <f t="shared" ref="K104" si="80">+IFERROR(J104/I104,0)</f>
        <v>1</v>
      </c>
      <c r="L104" s="158"/>
      <c r="M104" s="159">
        <f t="shared" ref="M104" si="81">+IFERROR(L104/I104,0)</f>
        <v>0</v>
      </c>
      <c r="N104" s="160">
        <f t="shared" si="56"/>
        <v>15900</v>
      </c>
      <c r="O104" s="159">
        <f t="shared" ref="O104" si="82">IFERROR(N104/I104,0)</f>
        <v>1</v>
      </c>
      <c r="P104" s="160">
        <f t="shared" ref="P104" si="83">+I104-N104</f>
        <v>0</v>
      </c>
      <c r="Q104" s="171"/>
      <c r="R104" s="199"/>
      <c r="AU104" s="161"/>
      <c r="AV104" s="161"/>
      <c r="AW104" s="218"/>
      <c r="AX104" s="218"/>
      <c r="AY104" s="218"/>
      <c r="AZ104" s="218"/>
      <c r="BA104" s="161"/>
      <c r="BB104" s="161"/>
      <c r="BC104" s="161">
        <v>15900</v>
      </c>
      <c r="BD104" s="161">
        <v>0</v>
      </c>
      <c r="BE104" s="161">
        <v>0</v>
      </c>
      <c r="BF104" s="161"/>
      <c r="BG104" s="161">
        <v>0</v>
      </c>
      <c r="BH104" s="161">
        <v>0</v>
      </c>
      <c r="BI104" s="161"/>
      <c r="BJ104" s="161">
        <v>0</v>
      </c>
      <c r="BK104" s="161"/>
      <c r="BL104" s="161"/>
      <c r="BM104" s="161"/>
      <c r="BN104" s="161"/>
      <c r="BO104" s="161"/>
      <c r="BP104" s="161"/>
      <c r="BQ104" s="161"/>
      <c r="BR104" s="161"/>
      <c r="BS104" s="161"/>
      <c r="BT104" s="161"/>
      <c r="BU104" s="161"/>
      <c r="BV104" s="161"/>
      <c r="BW104" s="161"/>
      <c r="BX104" s="161"/>
      <c r="BY104" s="161">
        <f t="shared" si="75"/>
        <v>0</v>
      </c>
      <c r="BZ104" s="161">
        <f t="shared" si="76"/>
        <v>0</v>
      </c>
      <c r="CA104" s="216">
        <f t="shared" si="54"/>
        <v>15900</v>
      </c>
      <c r="CC104" s="178">
        <f t="shared" ref="CC104" si="84">+IF(AND(AU104&gt;0,AW104=0),0,IF(AU104=0,0,IF(AW104&gt;=AU104,1,AW104/AU104)))</f>
        <v>0</v>
      </c>
      <c r="CD104" s="178">
        <f t="shared" ref="CD104" si="85">+IF(AND(AX104&gt;0,AZ104=0),0,IF(AX104=0,0,IF(AZ104&gt;=AX104,1,AZ104/AX104)))</f>
        <v>0</v>
      </c>
      <c r="CE104" s="178">
        <f t="shared" ref="CE104" si="86">+IF(AND(BA104&gt;0,BC104=0),0,IF(BA104=0,0,IF(BC104&gt;=BA104,1,BC104/BA104)))</f>
        <v>0</v>
      </c>
      <c r="CF104" s="178">
        <f t="shared" si="59"/>
        <v>0</v>
      </c>
      <c r="CG104" s="178">
        <f t="shared" si="60"/>
        <v>0</v>
      </c>
    </row>
    <row r="105" spans="1:85" ht="15" x14ac:dyDescent="0.2">
      <c r="A105" s="361" t="str">
        <f>+_xlfn.XLOOKUP(B105,'[1]Proyectos (NO FILTRAR)'!$F:$F,'[1]Proyectos (NO FILTRAR)'!$B:$B,0,0,1)</f>
        <v>PE-MMA-CS-OTR00-205-A</v>
      </c>
      <c r="B105" s="154" t="s">
        <v>529</v>
      </c>
      <c r="C105" s="155" t="str">
        <f>+_xlfn.XLOOKUP(A105,'[1]Proyectos (NO FILTRAR)'!$B:$B,'[1]Proyectos (NO FILTRAR)'!$G:$G,"error",0,1)</f>
        <v>Perú</v>
      </c>
      <c r="D105" s="155">
        <v>2026</v>
      </c>
      <c r="E105" s="155" t="s">
        <v>360</v>
      </c>
      <c r="F105" s="155"/>
      <c r="G105" s="207" t="s">
        <v>463</v>
      </c>
      <c r="H105" s="207"/>
      <c r="I105" s="285">
        <f>+_xlfn.XLOOKUP(B105,'[1]Proyectos (NO FILTRAR)'!$F:$F,'[1]Proyectos (NO FILTRAR)'!$O:$O,"!",0,1)</f>
        <v>77298</v>
      </c>
      <c r="J105" s="156">
        <f t="shared" si="55"/>
        <v>31703</v>
      </c>
      <c r="K105" s="157">
        <f t="shared" ref="K105:K108" si="87">+IFERROR(J105/I105,0)</f>
        <v>0.41013997774845401</v>
      </c>
      <c r="L105" s="158">
        <f t="shared" ref="L105:L108" si="88">+I105-J105</f>
        <v>45595</v>
      </c>
      <c r="M105" s="159">
        <f t="shared" ref="M105:M108" si="89">+IFERROR(L105/I105,0)</f>
        <v>0.58986002225154599</v>
      </c>
      <c r="N105" s="160">
        <f t="shared" si="56"/>
        <v>68179</v>
      </c>
      <c r="O105" s="159">
        <f t="shared" ref="O105:O108" si="90">IFERROR(N105/I105,0)</f>
        <v>0.8820279955496908</v>
      </c>
      <c r="P105" s="160">
        <f t="shared" ref="P105:P108" si="91">+I105-N105</f>
        <v>9119</v>
      </c>
      <c r="Q105" s="171"/>
      <c r="R105" s="199"/>
      <c r="AU105" s="161"/>
      <c r="AV105" s="161"/>
      <c r="AW105" s="218"/>
      <c r="AX105" s="218"/>
      <c r="AY105" s="218"/>
      <c r="AZ105" s="218"/>
      <c r="BA105" s="161"/>
      <c r="BB105" s="161"/>
      <c r="BC105" s="161"/>
      <c r="BD105" s="161">
        <v>30000</v>
      </c>
      <c r="BE105" s="161">
        <v>20000</v>
      </c>
      <c r="BF105" s="161">
        <v>23962</v>
      </c>
      <c r="BG105" s="161">
        <v>38909.951999999997</v>
      </c>
      <c r="BH105" s="161">
        <v>38909.951999999997</v>
      </c>
      <c r="BI105" s="287">
        <v>7741</v>
      </c>
      <c r="BJ105" s="161">
        <v>36476</v>
      </c>
      <c r="BK105" s="161"/>
      <c r="BL105" s="161"/>
      <c r="BM105" s="161"/>
      <c r="BN105" s="161"/>
      <c r="BO105" s="161"/>
      <c r="BP105" s="161"/>
      <c r="BQ105" s="161"/>
      <c r="BR105" s="161"/>
      <c r="BS105" s="161"/>
      <c r="BT105" s="161"/>
      <c r="BU105" s="161"/>
      <c r="BV105" s="161"/>
      <c r="BW105" s="161"/>
      <c r="BX105" s="161"/>
      <c r="BY105" s="161">
        <f t="shared" si="75"/>
        <v>105385.95199999999</v>
      </c>
      <c r="BZ105" s="161">
        <f t="shared" si="76"/>
        <v>0</v>
      </c>
      <c r="CA105" s="216">
        <f t="shared" si="54"/>
        <v>31703</v>
      </c>
      <c r="CC105" s="178">
        <f t="shared" ref="CC105:CC108" si="92">+IF(AND(AU105&gt;0,AW105=0),0,IF(AU105=0,0,IF(AW105&gt;=AU105,1,AW105/AU105)))</f>
        <v>0</v>
      </c>
      <c r="CD105" s="178">
        <f t="shared" ref="CD105:CD108" si="93">+IF(AND(AX105&gt;0,AZ105=0),0,IF(AX105=0,0,IF(AZ105&gt;=AX105,1,AZ105/AX105)))</f>
        <v>0</v>
      </c>
      <c r="CE105" s="178">
        <f t="shared" ref="CE105:CE108" si="94">+IF(AND(BA105&gt;0,BC105=0),0,IF(BA105=0,0,IF(BC105&gt;=BA105,1,BC105/BA105)))</f>
        <v>0</v>
      </c>
      <c r="CF105" s="178">
        <f t="shared" si="59"/>
        <v>0.7987333333333333</v>
      </c>
      <c r="CG105" s="178">
        <f t="shared" si="60"/>
        <v>0.19894653172535398</v>
      </c>
    </row>
    <row r="106" spans="1:85" ht="15" x14ac:dyDescent="0.2">
      <c r="A106" s="361" t="str">
        <f>+_xlfn.XLOOKUP(B106,'[1]Proyectos (NO FILTRAR)'!$F:$F,'[1]Proyectos (NO FILTRAR)'!$B:$B,0,0,1)</f>
        <v>PE-HUD-GM-FEL00-206-A</v>
      </c>
      <c r="B106" s="154" t="s">
        <v>530</v>
      </c>
      <c r="C106" s="155" t="str">
        <f>+_xlfn.XLOOKUP(A106,'[1]Proyectos (NO FILTRAR)'!$B:$B,'[1]Proyectos (NO FILTRAR)'!$G:$G,"error",0,1)</f>
        <v>Perú</v>
      </c>
      <c r="D106" s="155">
        <v>2026</v>
      </c>
      <c r="E106" s="155" t="s">
        <v>358</v>
      </c>
      <c r="F106" s="155"/>
      <c r="G106" s="207" t="s">
        <v>464</v>
      </c>
      <c r="H106" s="207"/>
      <c r="I106" s="285">
        <f>+_xlfn.XLOOKUP(B106,'[1]Proyectos (NO FILTRAR)'!$F:$F,'[1]Proyectos (NO FILTRAR)'!$O:$O,"!",0,1)</f>
        <v>18420</v>
      </c>
      <c r="J106" s="156">
        <f t="shared" si="55"/>
        <v>18420</v>
      </c>
      <c r="K106" s="157">
        <f t="shared" si="87"/>
        <v>1</v>
      </c>
      <c r="L106" s="158"/>
      <c r="M106" s="159">
        <f t="shared" si="89"/>
        <v>0</v>
      </c>
      <c r="N106" s="160">
        <f t="shared" si="56"/>
        <v>18420</v>
      </c>
      <c r="O106" s="159">
        <f t="shared" si="90"/>
        <v>1</v>
      </c>
      <c r="P106" s="160">
        <f t="shared" si="91"/>
        <v>0</v>
      </c>
      <c r="Q106" s="171"/>
      <c r="R106" s="199"/>
      <c r="S106" s="191"/>
      <c r="AU106" s="161"/>
      <c r="AV106" s="161"/>
      <c r="AW106" s="218"/>
      <c r="AX106" s="218"/>
      <c r="AY106" s="218"/>
      <c r="AZ106" s="218"/>
      <c r="BA106" s="161"/>
      <c r="BB106" s="161"/>
      <c r="BC106" s="161"/>
      <c r="BD106" s="161">
        <v>18420</v>
      </c>
      <c r="BE106" s="161">
        <v>18420</v>
      </c>
      <c r="BF106" s="161">
        <v>18420</v>
      </c>
      <c r="BG106" s="161">
        <v>0</v>
      </c>
      <c r="BH106" s="161">
        <v>0</v>
      </c>
      <c r="BI106" s="161"/>
      <c r="BJ106" s="161">
        <v>0</v>
      </c>
      <c r="BK106" s="161"/>
      <c r="BL106" s="161"/>
      <c r="BM106" s="161"/>
      <c r="BN106" s="161"/>
      <c r="BO106" s="161"/>
      <c r="BP106" s="161"/>
      <c r="BQ106" s="161"/>
      <c r="BR106" s="161"/>
      <c r="BS106" s="161"/>
      <c r="BT106" s="161"/>
      <c r="BU106" s="161"/>
      <c r="BV106" s="161"/>
      <c r="BW106" s="161"/>
      <c r="BX106" s="161"/>
      <c r="BY106" s="161">
        <f t="shared" si="75"/>
        <v>18420</v>
      </c>
      <c r="BZ106" s="161">
        <f t="shared" si="76"/>
        <v>0</v>
      </c>
      <c r="CA106" s="216">
        <f t="shared" si="54"/>
        <v>18420</v>
      </c>
      <c r="CC106" s="178">
        <f t="shared" si="92"/>
        <v>0</v>
      </c>
      <c r="CD106" s="178">
        <f t="shared" si="93"/>
        <v>0</v>
      </c>
      <c r="CE106" s="178">
        <f t="shared" si="94"/>
        <v>0</v>
      </c>
      <c r="CF106" s="178">
        <f t="shared" si="59"/>
        <v>1</v>
      </c>
      <c r="CG106" s="178">
        <f t="shared" si="60"/>
        <v>0</v>
      </c>
    </row>
    <row r="107" spans="1:85" ht="15" x14ac:dyDescent="0.2">
      <c r="A107" s="361" t="str">
        <f>+_xlfn.XLOOKUP(B107,'[1]Proyectos (NO FILTRAR)'!$F:$F,'[1]Proyectos (NO FILTRAR)'!$B:$B,0,0,1)</f>
        <v>BR-MOS-GM-FEL00-207-A</v>
      </c>
      <c r="B107" s="154" t="s">
        <v>531</v>
      </c>
      <c r="C107" s="155" t="str">
        <f>+_xlfn.XLOOKUP(A107,'[1]Proyectos (NO FILTRAR)'!$B:$B,'[1]Proyectos (NO FILTRAR)'!$G:$G,"error",0,1)</f>
        <v>Brasil</v>
      </c>
      <c r="D107" s="155">
        <v>2026</v>
      </c>
      <c r="E107" s="155" t="s">
        <v>360</v>
      </c>
      <c r="F107" s="155"/>
      <c r="G107" s="207" t="s">
        <v>464</v>
      </c>
      <c r="H107" s="207"/>
      <c r="I107" s="285">
        <f>+_xlfn.XLOOKUP(B107,'[1]Proyectos (NO FILTRAR)'!$F:$F,'[1]Proyectos (NO FILTRAR)'!$O:$O,"!",0,1)</f>
        <v>43200</v>
      </c>
      <c r="J107" s="156">
        <f t="shared" si="55"/>
        <v>41265</v>
      </c>
      <c r="K107" s="157">
        <f t="shared" si="87"/>
        <v>0.95520833333333333</v>
      </c>
      <c r="L107" s="329">
        <f t="shared" si="88"/>
        <v>1935</v>
      </c>
      <c r="M107" s="159">
        <f t="shared" si="89"/>
        <v>4.4791666666666667E-2</v>
      </c>
      <c r="N107" s="160">
        <f t="shared" si="56"/>
        <v>41265</v>
      </c>
      <c r="O107" s="159">
        <f t="shared" si="90"/>
        <v>0.95520833333333333</v>
      </c>
      <c r="P107" s="160">
        <f t="shared" si="91"/>
        <v>1935</v>
      </c>
      <c r="Q107" s="171"/>
      <c r="R107" s="199"/>
      <c r="AU107" s="161"/>
      <c r="AV107" s="161"/>
      <c r="AW107" s="218"/>
      <c r="AX107" s="218"/>
      <c r="AY107" s="218"/>
      <c r="AZ107" s="218"/>
      <c r="BA107" s="161"/>
      <c r="BB107" s="161"/>
      <c r="BC107" s="161"/>
      <c r="BD107" s="161">
        <v>28256</v>
      </c>
      <c r="BE107" s="161">
        <v>28256</v>
      </c>
      <c r="BF107" s="287">
        <f>9723+13559</f>
        <v>23282</v>
      </c>
      <c r="BG107" s="161">
        <v>0</v>
      </c>
      <c r="BH107" s="161">
        <v>0</v>
      </c>
      <c r="BI107" s="287">
        <f>16083+1900</f>
        <v>17983</v>
      </c>
      <c r="BJ107" s="161">
        <v>0</v>
      </c>
      <c r="BK107" s="161"/>
      <c r="BL107" s="161"/>
      <c r="BM107" s="161"/>
      <c r="BN107" s="161"/>
      <c r="BO107" s="161"/>
      <c r="BP107" s="161"/>
      <c r="BQ107" s="161"/>
      <c r="BR107" s="161"/>
      <c r="BS107" s="161"/>
      <c r="BT107" s="161"/>
      <c r="BU107" s="161"/>
      <c r="BV107" s="161"/>
      <c r="BW107" s="161"/>
      <c r="BX107" s="161"/>
      <c r="BY107" s="161">
        <f t="shared" si="75"/>
        <v>28256</v>
      </c>
      <c r="BZ107" s="161">
        <f t="shared" si="76"/>
        <v>0</v>
      </c>
      <c r="CA107" s="216">
        <f t="shared" si="54"/>
        <v>41265</v>
      </c>
      <c r="CC107" s="178">
        <f t="shared" si="92"/>
        <v>0</v>
      </c>
      <c r="CD107" s="178">
        <f t="shared" si="93"/>
        <v>0</v>
      </c>
      <c r="CE107" s="178">
        <f t="shared" si="94"/>
        <v>0</v>
      </c>
      <c r="CF107" s="178">
        <f t="shared" si="59"/>
        <v>0.82396659116647797</v>
      </c>
      <c r="CG107" s="178">
        <f t="shared" si="60"/>
        <v>0</v>
      </c>
    </row>
    <row r="108" spans="1:85" ht="15" x14ac:dyDescent="0.2">
      <c r="A108" s="361" t="str">
        <f>+_xlfn.XLOOKUP(B108,'[1]Proyectos (NO FILTRAR)'!$F:$F,'[1]Proyectos (NO FILTRAR)'!$B:$B,0,0,1)</f>
        <v>BR-ERC-GM-FEL00-208-A</v>
      </c>
      <c r="B108" s="154" t="s">
        <v>532</v>
      </c>
      <c r="C108" s="155" t="str">
        <f>+_xlfn.XLOOKUP(A108,'[1]Proyectos (NO FILTRAR)'!$B:$B,'[1]Proyectos (NO FILTRAR)'!$G:$G,"error",0,1)</f>
        <v>Brasil</v>
      </c>
      <c r="D108" s="155">
        <v>2026</v>
      </c>
      <c r="E108" s="155" t="s">
        <v>360</v>
      </c>
      <c r="F108" s="155"/>
      <c r="G108" s="207" t="s">
        <v>545</v>
      </c>
      <c r="H108" s="207"/>
      <c r="I108" s="285">
        <f>+_xlfn.XLOOKUP(B108,'[1]Proyectos (NO FILTRAR)'!$F:$F,'[1]Proyectos (NO FILTRAR)'!$O:$O,"!",0,1)</f>
        <v>80620</v>
      </c>
      <c r="J108" s="156">
        <f t="shared" si="55"/>
        <v>4210</v>
      </c>
      <c r="K108" s="157">
        <f t="shared" si="87"/>
        <v>5.2220292731332177E-2</v>
      </c>
      <c r="L108" s="158">
        <f t="shared" si="88"/>
        <v>76410</v>
      </c>
      <c r="M108" s="159">
        <f t="shared" si="89"/>
        <v>0.94777970726866778</v>
      </c>
      <c r="N108" s="160">
        <f t="shared" si="56"/>
        <v>45810</v>
      </c>
      <c r="O108" s="159">
        <f t="shared" si="90"/>
        <v>0.56822128504093272</v>
      </c>
      <c r="P108" s="160">
        <f t="shared" si="91"/>
        <v>34810</v>
      </c>
      <c r="Q108" s="171"/>
      <c r="R108" s="199"/>
      <c r="AU108" s="161"/>
      <c r="AV108" s="161"/>
      <c r="AW108" s="218"/>
      <c r="AX108" s="218"/>
      <c r="AY108" s="218"/>
      <c r="AZ108" s="218"/>
      <c r="BA108" s="161"/>
      <c r="BB108" s="161"/>
      <c r="BC108" s="161"/>
      <c r="BD108" s="161">
        <v>12050.5</v>
      </c>
      <c r="BE108" s="161">
        <v>0</v>
      </c>
      <c r="BF108" s="161">
        <v>0</v>
      </c>
      <c r="BG108" s="161">
        <v>35000</v>
      </c>
      <c r="BH108" s="161">
        <v>35000</v>
      </c>
      <c r="BI108" s="287">
        <v>4210</v>
      </c>
      <c r="BJ108" s="161">
        <v>41600</v>
      </c>
      <c r="BK108" s="161"/>
      <c r="BL108" s="161"/>
      <c r="BM108" s="161"/>
      <c r="BN108" s="161"/>
      <c r="BO108" s="161"/>
      <c r="BP108" s="161"/>
      <c r="BQ108" s="161"/>
      <c r="BR108" s="161"/>
      <c r="BS108" s="161"/>
      <c r="BT108" s="161"/>
      <c r="BU108" s="161"/>
      <c r="BV108" s="161"/>
      <c r="BW108" s="161"/>
      <c r="BX108" s="161"/>
      <c r="BY108" s="161">
        <f t="shared" si="75"/>
        <v>88650.5</v>
      </c>
      <c r="BZ108" s="161">
        <f t="shared" si="76"/>
        <v>0</v>
      </c>
      <c r="CA108" s="216">
        <f t="shared" si="54"/>
        <v>4210</v>
      </c>
      <c r="CC108" s="178">
        <f t="shared" si="92"/>
        <v>0</v>
      </c>
      <c r="CD108" s="178">
        <f t="shared" si="93"/>
        <v>0</v>
      </c>
      <c r="CE108" s="178">
        <f t="shared" si="94"/>
        <v>0</v>
      </c>
      <c r="CF108" s="178">
        <f t="shared" si="59"/>
        <v>0</v>
      </c>
      <c r="CG108" s="178">
        <f t="shared" si="60"/>
        <v>0.12028571428571429</v>
      </c>
    </row>
    <row r="109" spans="1:85" ht="15" x14ac:dyDescent="0.2">
      <c r="A109" s="361" t="str">
        <f>+_xlfn.XLOOKUP(B109,'[1]Proyectos (NO FILTRAR)'!$F:$F,'[1]Proyectos (NO FILTRAR)'!$B:$B,0,0,1)</f>
        <v>CH-MIN-CS-FEL00-209-A</v>
      </c>
      <c r="B109" s="154" t="s">
        <v>533</v>
      </c>
      <c r="C109" s="155" t="str">
        <f>+_xlfn.XLOOKUP(A109,'[1]Proyectos (NO FILTRAR)'!$B:$B,'[1]Proyectos (NO FILTRAR)'!$G:$G,"error",0,1)</f>
        <v>Chile</v>
      </c>
      <c r="D109" s="155">
        <v>2026</v>
      </c>
      <c r="E109" s="155" t="s">
        <v>360</v>
      </c>
      <c r="F109" s="155"/>
      <c r="G109" s="207" t="s">
        <v>545</v>
      </c>
      <c r="H109" s="207"/>
      <c r="I109" s="285">
        <f>+_xlfn.XLOOKUP(B109,'[1]Proyectos (NO FILTRAR)'!$F:$F,'[1]Proyectos (NO FILTRAR)'!$O:$O,"!",0,1)</f>
        <v>194815</v>
      </c>
      <c r="J109" s="156">
        <f t="shared" si="55"/>
        <v>110714.43</v>
      </c>
      <c r="K109" s="157">
        <f t="shared" ref="K109" si="95">+IFERROR(J109/I109,0)</f>
        <v>0.56830546929137893</v>
      </c>
      <c r="L109" s="158">
        <f t="shared" ref="L109" si="96">+I109-J109</f>
        <v>84100.57</v>
      </c>
      <c r="M109" s="159">
        <f t="shared" ref="M109" si="97">+IFERROR(L109/I109,0)</f>
        <v>0.43169453070862102</v>
      </c>
      <c r="N109" s="160">
        <f t="shared" si="56"/>
        <v>143714.43</v>
      </c>
      <c r="O109" s="159">
        <f t="shared" ref="O109" si="98">IFERROR(N109/I109,0)</f>
        <v>0.73769694325385615</v>
      </c>
      <c r="P109" s="160">
        <f t="shared" ref="P109" si="99">+I109-N109</f>
        <v>51100.570000000007</v>
      </c>
      <c r="Q109" s="171"/>
      <c r="R109" s="199"/>
      <c r="AU109" s="161"/>
      <c r="AV109" s="161"/>
      <c r="AW109" s="218"/>
      <c r="AX109" s="218"/>
      <c r="AY109" s="218"/>
      <c r="AZ109" s="218"/>
      <c r="BA109" s="161"/>
      <c r="BB109" s="161"/>
      <c r="BC109" s="161"/>
      <c r="BD109" s="161">
        <v>60007</v>
      </c>
      <c r="BE109" s="161">
        <v>60007</v>
      </c>
      <c r="BF109" s="161">
        <v>60007</v>
      </c>
      <c r="BG109" s="161">
        <v>20000</v>
      </c>
      <c r="BH109" s="161">
        <v>20000</v>
      </c>
      <c r="BI109" s="287">
        <v>50707.43</v>
      </c>
      <c r="BJ109" s="161">
        <v>33000</v>
      </c>
      <c r="BK109" s="161"/>
      <c r="BL109" s="161"/>
      <c r="BM109" s="161"/>
      <c r="BN109" s="161"/>
      <c r="BO109" s="161"/>
      <c r="BP109" s="161"/>
      <c r="BQ109" s="161"/>
      <c r="BR109" s="161"/>
      <c r="BS109" s="161"/>
      <c r="BT109" s="161"/>
      <c r="BU109" s="161"/>
      <c r="BV109" s="161"/>
      <c r="BW109" s="161"/>
      <c r="BX109" s="161"/>
      <c r="BY109" s="161">
        <f t="shared" ref="BY109:BY110" si="100">+SUM(AU109,AX109,BA109,BD109,BG109,BJ109,BM109,BO109,BQ109,BS109,BU109,BW109)</f>
        <v>113007</v>
      </c>
      <c r="BZ109" s="161">
        <f t="shared" ref="BZ109:BZ110" si="101">+AV109+AY109</f>
        <v>0</v>
      </c>
      <c r="CA109" s="216">
        <f t="shared" si="54"/>
        <v>110714.43</v>
      </c>
      <c r="CC109" s="178">
        <f t="shared" ref="CC109:CC110" si="102">+IF(AND(AU109&gt;0,AW109=0),0,IF(AU109=0,0,IF(AW109&gt;=AU109,1,AW109/AU109)))</f>
        <v>0</v>
      </c>
      <c r="CD109" s="178">
        <f t="shared" ref="CD109:CD110" si="103">+IF(AND(AX109&gt;0,AZ109=0),0,IF(AX109=0,0,IF(AZ109&gt;=AX109,1,AZ109/AX109)))</f>
        <v>0</v>
      </c>
      <c r="CE109" s="178">
        <f t="shared" ref="CE109:CE110" si="104">+IF(AND(BA109&gt;0,BC109=0),0,IF(BA109=0,0,IF(BC109&gt;=BA109,1,BC109/BA109)))</f>
        <v>0</v>
      </c>
      <c r="CF109" s="178">
        <f t="shared" si="59"/>
        <v>1</v>
      </c>
      <c r="CG109" s="178">
        <f t="shared" si="60"/>
        <v>1</v>
      </c>
    </row>
    <row r="110" spans="1:85" ht="15" x14ac:dyDescent="0.2">
      <c r="A110" s="361" t="str">
        <f>+_xlfn.XLOOKUP(B110,'[1]Proyectos (NO FILTRAR)'!$F:$F,'[1]Proyectos (NO FILTRAR)'!$B:$B,0,0,1)</f>
        <v>OT-STC-UG-FEL03-210-A</v>
      </c>
      <c r="B110" s="154" t="s">
        <v>534</v>
      </c>
      <c r="C110" s="155" t="str">
        <f>+_xlfn.XLOOKUP(A110,'[1]Proyectos (NO FILTRAR)'!$B:$B,'[1]Proyectos (NO FILTRAR)'!$G:$G,"error",0,1)</f>
        <v>Otros</v>
      </c>
      <c r="D110" s="155">
        <v>2026</v>
      </c>
      <c r="E110" s="155" t="s">
        <v>360</v>
      </c>
      <c r="F110" s="155"/>
      <c r="G110" s="207" t="s">
        <v>464</v>
      </c>
      <c r="H110" s="207"/>
      <c r="I110" s="285">
        <f>+_xlfn.XLOOKUP(B110,'[1]Proyectos (NO FILTRAR)'!$F:$F,'[1]Proyectos (NO FILTRAR)'!$O:$O,"!",0,1)</f>
        <v>746000</v>
      </c>
      <c r="J110" s="156">
        <f t="shared" si="55"/>
        <v>37804.410000000003</v>
      </c>
      <c r="K110" s="157">
        <f t="shared" ref="K110" si="105">+IFERROR(J110/I110,0)</f>
        <v>5.0676152815013406E-2</v>
      </c>
      <c r="L110" s="158">
        <f t="shared" ref="L110" si="106">+I110-J110</f>
        <v>708195.59</v>
      </c>
      <c r="M110" s="159">
        <f t="shared" ref="M110" si="107">+IFERROR(L110/I110,0)</f>
        <v>0.94932384718498652</v>
      </c>
      <c r="N110" s="160">
        <f t="shared" si="56"/>
        <v>67804.41</v>
      </c>
      <c r="O110" s="159">
        <f t="shared" ref="O110" si="108">IFERROR(N110/I110,0)</f>
        <v>9.0890630026809652E-2</v>
      </c>
      <c r="P110" s="160">
        <f t="shared" ref="P110" si="109">+I110-N110</f>
        <v>678195.59</v>
      </c>
      <c r="Q110" s="171"/>
      <c r="R110" s="199"/>
      <c r="AU110" s="161"/>
      <c r="AV110" s="161"/>
      <c r="AW110" s="218"/>
      <c r="AX110" s="218"/>
      <c r="AY110" s="218"/>
      <c r="AZ110" s="218"/>
      <c r="BA110" s="161"/>
      <c r="BB110" s="161"/>
      <c r="BC110" s="161"/>
      <c r="BD110" s="161"/>
      <c r="BE110" s="161"/>
      <c r="BF110" s="161"/>
      <c r="BG110" s="161">
        <v>30000</v>
      </c>
      <c r="BH110" s="161">
        <v>30000</v>
      </c>
      <c r="BI110" s="287">
        <v>37804.410000000003</v>
      </c>
      <c r="BJ110" s="161">
        <v>30000</v>
      </c>
      <c r="BK110" s="161"/>
      <c r="BL110" s="161"/>
      <c r="BM110" s="161"/>
      <c r="BN110" s="161"/>
      <c r="BO110" s="161"/>
      <c r="BP110" s="161"/>
      <c r="BQ110" s="161"/>
      <c r="BR110" s="161"/>
      <c r="BS110" s="161"/>
      <c r="BT110" s="161"/>
      <c r="BU110" s="161"/>
      <c r="BV110" s="161"/>
      <c r="BW110" s="161"/>
      <c r="BX110" s="161"/>
      <c r="BY110" s="161">
        <f t="shared" si="100"/>
        <v>60000</v>
      </c>
      <c r="BZ110" s="161">
        <f t="shared" si="101"/>
        <v>0</v>
      </c>
      <c r="CA110" s="216">
        <f t="shared" si="54"/>
        <v>37804.410000000003</v>
      </c>
      <c r="CC110" s="178">
        <f t="shared" si="102"/>
        <v>0</v>
      </c>
      <c r="CD110" s="178">
        <f t="shared" si="103"/>
        <v>0</v>
      </c>
      <c r="CE110" s="178">
        <f t="shared" si="104"/>
        <v>0</v>
      </c>
      <c r="CF110" s="178">
        <f t="shared" si="59"/>
        <v>0</v>
      </c>
      <c r="CG110" s="178">
        <f t="shared" si="60"/>
        <v>1</v>
      </c>
    </row>
    <row r="111" spans="1:85" ht="15" x14ac:dyDescent="0.2">
      <c r="A111" s="361" t="str">
        <f>+_xlfn.XLOOKUP(B111,'[1]Proyectos (NO FILTRAR)'!$F:$F,'[1]Proyectos (NO FILTRAR)'!$B:$B,0,0,1)</f>
        <v>CH-COD-OP-FEL00-211-A</v>
      </c>
      <c r="B111" s="154" t="s">
        <v>536</v>
      </c>
      <c r="C111" s="155" t="str">
        <f>+_xlfn.XLOOKUP(A111,'[1]Proyectos (NO FILTRAR)'!$B:$B,'[1]Proyectos (NO FILTRAR)'!$G:$G,"error",0,1)</f>
        <v>Chile</v>
      </c>
      <c r="D111" s="155">
        <v>2026</v>
      </c>
      <c r="E111" s="155" t="s">
        <v>360</v>
      </c>
      <c r="F111" s="155"/>
      <c r="G111" s="207" t="s">
        <v>463</v>
      </c>
      <c r="H111" s="207"/>
      <c r="I111" s="285">
        <f>+_xlfn.XLOOKUP(B111,'[1]Proyectos (NO FILTRAR)'!$F:$F,'[1]Proyectos (NO FILTRAR)'!$O:$O,"!",0,1)</f>
        <v>228378</v>
      </c>
      <c r="J111" s="156">
        <f t="shared" si="55"/>
        <v>17443</v>
      </c>
      <c r="K111" s="157">
        <f t="shared" ref="K111:K112" si="110">+IFERROR(J111/I111,0)</f>
        <v>7.6377759679128465E-2</v>
      </c>
      <c r="L111" s="158">
        <f t="shared" ref="L111" si="111">+I111-J111</f>
        <v>210935</v>
      </c>
      <c r="M111" s="159">
        <f t="shared" ref="M111:M112" si="112">+IFERROR(L111/I111,0)</f>
        <v>0.92362224032087159</v>
      </c>
      <c r="N111" s="160">
        <f t="shared" si="56"/>
        <v>51443</v>
      </c>
      <c r="O111" s="159">
        <f t="shared" ref="O111:O112" si="113">IFERROR(N111/I111,0)</f>
        <v>0.22525374598253772</v>
      </c>
      <c r="P111" s="160">
        <f t="shared" ref="P111:P112" si="114">+I111-N111</f>
        <v>176935</v>
      </c>
      <c r="Q111" s="171"/>
      <c r="R111" s="199"/>
      <c r="AU111" s="161"/>
      <c r="AV111" s="161"/>
      <c r="AW111" s="218"/>
      <c r="AX111" s="218"/>
      <c r="AY111" s="218"/>
      <c r="AZ111" s="218"/>
      <c r="BA111" s="161"/>
      <c r="BB111" s="161"/>
      <c r="BC111" s="161"/>
      <c r="BD111" s="161"/>
      <c r="BE111" s="161"/>
      <c r="BF111" s="161"/>
      <c r="BG111" s="161">
        <v>25000</v>
      </c>
      <c r="BH111" s="161">
        <v>25000</v>
      </c>
      <c r="BI111" s="287">
        <v>17443</v>
      </c>
      <c r="BJ111" s="161">
        <v>34000</v>
      </c>
      <c r="BK111" s="161"/>
      <c r="BL111" s="161"/>
      <c r="BM111" s="161"/>
      <c r="BN111" s="161"/>
      <c r="BO111" s="161"/>
      <c r="BP111" s="161"/>
      <c r="BQ111" s="161"/>
      <c r="BR111" s="161"/>
      <c r="BS111" s="161"/>
      <c r="BT111" s="161"/>
      <c r="BU111" s="161"/>
      <c r="BV111" s="161"/>
      <c r="BW111" s="161"/>
      <c r="BX111" s="161"/>
      <c r="BY111" s="161">
        <f t="shared" ref="BY111" si="115">+SUM(AU111,AX111,BA111,BD111,BG111,BJ111,BM111,BO111,BQ111,BS111,BU111,BW111)</f>
        <v>59000</v>
      </c>
      <c r="BZ111" s="161">
        <f t="shared" ref="BZ111:BZ112" si="116">+AV111+AY111</f>
        <v>0</v>
      </c>
      <c r="CA111" s="216">
        <f t="shared" si="54"/>
        <v>17443</v>
      </c>
      <c r="CC111" s="178">
        <f t="shared" ref="CC111:CC112" si="117">+IF(AND(AU111&gt;0,AW111=0),0,IF(AU111=0,0,IF(AW111&gt;=AU111,1,AW111/AU111)))</f>
        <v>0</v>
      </c>
      <c r="CD111" s="178">
        <f t="shared" ref="CD111:CD112" si="118">+IF(AND(AX111&gt;0,AZ111=0),0,IF(AX111=0,0,IF(AZ111&gt;=AX111,1,AZ111/AX111)))</f>
        <v>0</v>
      </c>
      <c r="CE111" s="178">
        <f t="shared" ref="CE111:CE112" si="119">+IF(AND(BA111&gt;0,BC111=0),0,IF(BA111=0,0,IF(BC111&gt;=BA111,1,BC111/BA111)))</f>
        <v>0</v>
      </c>
      <c r="CF111" s="178">
        <f t="shared" ref="CF111:CF112" si="120">+IF(AND(BD111&gt;0,BF111=0),0,IF(BD111=0,0,IF(BF111&gt;=BD111,1,BF111/BD111)))</f>
        <v>0</v>
      </c>
      <c r="CG111" s="178">
        <f t="shared" si="60"/>
        <v>0.69772000000000001</v>
      </c>
    </row>
    <row r="112" spans="1:85" ht="15" x14ac:dyDescent="0.2">
      <c r="A112" s="361" t="str">
        <f>+_xlfn.XLOOKUP(B112,'[1]Proyectos (NO FILTRAR)'!$F:$F,'[1]Proyectos (NO FILTRAR)'!$B:$B,0,0,1)</f>
        <v>CH-COL-CS-OTR00-212-A</v>
      </c>
      <c r="B112" s="154" t="s">
        <v>537</v>
      </c>
      <c r="C112" s="155" t="str">
        <f>+_xlfn.XLOOKUP(A112,'[1]Proyectos (NO FILTRAR)'!$B:$B,'[1]Proyectos (NO FILTRAR)'!$G:$G,"error",0,1)</f>
        <v>Chile</v>
      </c>
      <c r="D112" s="155">
        <v>2026</v>
      </c>
      <c r="E112" s="155" t="s">
        <v>360</v>
      </c>
      <c r="F112" s="155"/>
      <c r="G112" s="207" t="s">
        <v>544</v>
      </c>
      <c r="H112" s="207"/>
      <c r="I112" s="285">
        <f>+_xlfn.XLOOKUP(B112,'[1]Proyectos (NO FILTRAR)'!$F:$F,'[1]Proyectos (NO FILTRAR)'!$O:$O,"!",0,1)</f>
        <v>99000</v>
      </c>
      <c r="J112" s="156">
        <f t="shared" si="55"/>
        <v>106628</v>
      </c>
      <c r="K112" s="157">
        <f t="shared" si="110"/>
        <v>1.077050505050505</v>
      </c>
      <c r="L112" s="158"/>
      <c r="M112" s="159">
        <f t="shared" si="112"/>
        <v>0</v>
      </c>
      <c r="N112" s="160">
        <f t="shared" si="56"/>
        <v>106628</v>
      </c>
      <c r="O112" s="159">
        <f t="shared" si="113"/>
        <v>1.077050505050505</v>
      </c>
      <c r="P112" s="160">
        <f t="shared" si="114"/>
        <v>-7628</v>
      </c>
      <c r="Q112" s="171"/>
      <c r="R112" s="199"/>
      <c r="AU112" s="161"/>
      <c r="AV112" s="161"/>
      <c r="AW112" s="218"/>
      <c r="AX112" s="218"/>
      <c r="AY112" s="218"/>
      <c r="AZ112" s="218"/>
      <c r="BA112" s="161"/>
      <c r="BB112" s="161"/>
      <c r="BC112" s="161"/>
      <c r="BD112" s="161"/>
      <c r="BE112" s="161"/>
      <c r="BF112" s="161"/>
      <c r="BG112" s="161">
        <v>89000</v>
      </c>
      <c r="BH112" s="363">
        <v>99000</v>
      </c>
      <c r="BI112" s="287">
        <v>106628</v>
      </c>
      <c r="BJ112" s="161">
        <v>0</v>
      </c>
      <c r="BK112" s="161"/>
      <c r="BL112" s="161"/>
      <c r="BM112" s="161"/>
      <c r="BN112" s="161"/>
      <c r="BO112" s="161"/>
      <c r="BP112" s="161"/>
      <c r="BQ112" s="161"/>
      <c r="BR112" s="161"/>
      <c r="BS112" s="161"/>
      <c r="BT112" s="161"/>
      <c r="BU112" s="161"/>
      <c r="BV112" s="161"/>
      <c r="BW112" s="161"/>
      <c r="BX112" s="161"/>
      <c r="BY112" s="161">
        <f>+SUM(AU112,AX112,BA112,BD112,BI112,BJ112,BM112,BO112,BQ112,BS112,BU112,BW112)</f>
        <v>106628</v>
      </c>
      <c r="BZ112" s="161">
        <f t="shared" si="116"/>
        <v>0</v>
      </c>
      <c r="CA112" s="216">
        <f t="shared" si="54"/>
        <v>106628</v>
      </c>
      <c r="CC112" s="178">
        <f t="shared" si="117"/>
        <v>0</v>
      </c>
      <c r="CD112" s="178">
        <f t="shared" si="118"/>
        <v>0</v>
      </c>
      <c r="CE112" s="178">
        <f t="shared" si="119"/>
        <v>0</v>
      </c>
      <c r="CF112" s="178">
        <f t="shared" si="120"/>
        <v>0</v>
      </c>
      <c r="CG112" s="178">
        <f t="shared" si="60"/>
        <v>1</v>
      </c>
    </row>
    <row r="113" spans="1:85" ht="15" x14ac:dyDescent="0.2">
      <c r="A113" s="361" t="str">
        <f>+_xlfn.XLOOKUP(B113,'[1]Proyectos (NO FILTRAR)'!$F:$F,'[1]Proyectos (NO FILTRAR)'!$B:$B,0,0,1)</f>
        <v>CD-SGO-CS-OTR00-213-A</v>
      </c>
      <c r="B113" s="154" t="s">
        <v>540</v>
      </c>
      <c r="C113" s="155" t="str">
        <f>+_xlfn.XLOOKUP(A113,'[1]Proyectos (NO FILTRAR)'!$B:$B,'[1]Proyectos (NO FILTRAR)'!$G:$G,"error",0,1)</f>
        <v>Canadá</v>
      </c>
      <c r="D113" s="155">
        <v>2026</v>
      </c>
      <c r="E113" s="155" t="s">
        <v>360</v>
      </c>
      <c r="F113" s="155"/>
      <c r="G113" s="207" t="s">
        <v>544</v>
      </c>
      <c r="H113" s="207"/>
      <c r="I113" s="285">
        <f>+_xlfn.XLOOKUP(B113,'[1]Proyectos (NO FILTRAR)'!$F:$F,'[1]Proyectos (NO FILTRAR)'!$O:$O,"!",0,1)</f>
        <v>133713</v>
      </c>
      <c r="J113" s="156">
        <f t="shared" si="55"/>
        <v>47121</v>
      </c>
      <c r="K113" s="157">
        <f t="shared" ref="K113:K117" si="121">+IFERROR(J113/I113,0)</f>
        <v>0.35240402952592492</v>
      </c>
      <c r="L113" s="158">
        <f t="shared" ref="L113:L117" si="122">+I113-J113</f>
        <v>86592</v>
      </c>
      <c r="M113" s="159">
        <f t="shared" ref="M113:M117" si="123">+IFERROR(L113/I113,0)</f>
        <v>0.64759597047407502</v>
      </c>
      <c r="N113" s="160">
        <f t="shared" si="56"/>
        <v>133713</v>
      </c>
      <c r="O113" s="159">
        <f t="shared" ref="O113:O117" si="124">IFERROR(N113/I113,0)</f>
        <v>1</v>
      </c>
      <c r="P113" s="160">
        <f t="shared" ref="P113:P117" si="125">+I113-N113</f>
        <v>0</v>
      </c>
      <c r="Q113" s="171"/>
      <c r="R113" s="199"/>
      <c r="AU113" s="161"/>
      <c r="AV113" s="161"/>
      <c r="AW113" s="218"/>
      <c r="AX113" s="218"/>
      <c r="AY113" s="218"/>
      <c r="AZ113" s="218"/>
      <c r="BA113" s="161"/>
      <c r="BB113" s="161"/>
      <c r="BC113" s="161"/>
      <c r="BD113" s="161"/>
      <c r="BE113" s="161"/>
      <c r="BF113" s="161"/>
      <c r="BG113" s="161">
        <v>30727</v>
      </c>
      <c r="BH113" s="363">
        <v>35000</v>
      </c>
      <c r="BI113" s="287">
        <v>47121</v>
      </c>
      <c r="BJ113" s="161">
        <v>86592</v>
      </c>
      <c r="BK113" s="161"/>
      <c r="BL113" s="161"/>
      <c r="BM113" s="161"/>
      <c r="BN113" s="161"/>
      <c r="BO113" s="161"/>
      <c r="BP113" s="161"/>
      <c r="BQ113" s="161"/>
      <c r="BR113" s="161"/>
      <c r="BS113" s="161"/>
      <c r="BT113" s="161"/>
      <c r="BU113" s="161"/>
      <c r="BV113" s="161"/>
      <c r="BW113" s="161"/>
      <c r="BX113" s="161"/>
      <c r="BY113" s="161">
        <f>+SUM(AU113,AX113,BA113,BD113,BI113,BJ113,BM113,BO113,BQ113,BS113,BU113,BW113)</f>
        <v>133713</v>
      </c>
      <c r="BZ113" s="161">
        <f t="shared" ref="BZ113:BZ117" si="126">+AV113+AY113</f>
        <v>0</v>
      </c>
      <c r="CA113" s="216">
        <f t="shared" si="54"/>
        <v>47121</v>
      </c>
      <c r="CC113" s="178">
        <f t="shared" ref="CC113:CC117" si="127">+IF(AND(AU113&gt;0,AW113=0),0,IF(AU113=0,0,IF(AW113&gt;=AU113,1,AW113/AU113)))</f>
        <v>0</v>
      </c>
      <c r="CD113" s="178">
        <f t="shared" ref="CD113:CD117" si="128">+IF(AND(AX113&gt;0,AZ113=0),0,IF(AX113=0,0,IF(AZ113&gt;=AX113,1,AZ113/AX113)))</f>
        <v>0</v>
      </c>
      <c r="CE113" s="178">
        <f t="shared" ref="CE113:CE117" si="129">+IF(AND(BA113&gt;0,BC113=0),0,IF(BA113=0,0,IF(BC113&gt;=BA113,1,BC113/BA113)))</f>
        <v>0</v>
      </c>
      <c r="CF113" s="178">
        <f t="shared" ref="CF113:CF117" si="130">+IF(AND(BD113&gt;0,BF113=0),0,IF(BD113=0,0,IF(BF113&gt;=BD113,1,BF113/BD113)))</f>
        <v>0</v>
      </c>
      <c r="CG113" s="178">
        <f t="shared" si="60"/>
        <v>1</v>
      </c>
    </row>
    <row r="114" spans="1:85" ht="15" x14ac:dyDescent="0.2">
      <c r="A114" s="361" t="str">
        <f>+_xlfn.XLOOKUP(B114,'[1]Proyectos (NO FILTRAR)'!$F:$F,'[1]Proyectos (NO FILTRAR)'!$B:$B,0,0,1)</f>
        <v>BR-ERC-UG-FEL00-214-A</v>
      </c>
      <c r="B114" s="154" t="s">
        <v>547</v>
      </c>
      <c r="C114" s="155" t="str">
        <f>+_xlfn.XLOOKUP(A114,'[1]Proyectos (NO FILTRAR)'!$B:$B,'[1]Proyectos (NO FILTRAR)'!$G:$G,"error",0,1)</f>
        <v>Brasil</v>
      </c>
      <c r="D114" s="155">
        <v>2026</v>
      </c>
      <c r="E114" s="155" t="s">
        <v>360</v>
      </c>
      <c r="F114" s="155"/>
      <c r="G114" s="207" t="s">
        <v>545</v>
      </c>
      <c r="H114" s="207"/>
      <c r="I114" s="285">
        <f>+_xlfn.XLOOKUP(B114,'[1]Proyectos (NO FILTRAR)'!$F:$F,'[1]Proyectos (NO FILTRAR)'!$O:$O,"!",0,1)</f>
        <v>372552</v>
      </c>
      <c r="J114" s="156">
        <f t="shared" si="55"/>
        <v>0</v>
      </c>
      <c r="K114" s="157">
        <f t="shared" si="121"/>
        <v>0</v>
      </c>
      <c r="L114" s="158">
        <f t="shared" si="122"/>
        <v>372552</v>
      </c>
      <c r="M114" s="159">
        <f t="shared" si="123"/>
        <v>1</v>
      </c>
      <c r="N114" s="160">
        <f t="shared" si="56"/>
        <v>55068.541524708387</v>
      </c>
      <c r="O114" s="159">
        <f t="shared" si="124"/>
        <v>0.14781437631446989</v>
      </c>
      <c r="P114" s="160">
        <f t="shared" si="125"/>
        <v>317483.45847529161</v>
      </c>
      <c r="Q114" s="171"/>
      <c r="R114" s="199"/>
      <c r="AU114" s="161"/>
      <c r="AV114" s="161"/>
      <c r="AW114" s="218"/>
      <c r="AX114" s="218"/>
      <c r="AY114" s="218"/>
      <c r="AZ114" s="218"/>
      <c r="BA114" s="161"/>
      <c r="BB114" s="161"/>
      <c r="BC114" s="161"/>
      <c r="BD114" s="161"/>
      <c r="BE114" s="161"/>
      <c r="BF114" s="161"/>
      <c r="BG114" s="161">
        <v>0</v>
      </c>
      <c r="BH114" s="161">
        <v>0</v>
      </c>
      <c r="BI114" s="161"/>
      <c r="BJ114" s="161">
        <v>55068.541524708387</v>
      </c>
      <c r="BK114" s="161"/>
      <c r="BL114" s="161"/>
      <c r="BM114" s="161"/>
      <c r="BN114" s="161"/>
      <c r="BO114" s="161"/>
      <c r="BP114" s="161"/>
      <c r="BQ114" s="161"/>
      <c r="BR114" s="161"/>
      <c r="BS114" s="161"/>
      <c r="BT114" s="161"/>
      <c r="BU114" s="161"/>
      <c r="BV114" s="161"/>
      <c r="BW114" s="161"/>
      <c r="BX114" s="161"/>
      <c r="BY114" s="161">
        <f t="shared" ref="BY114:BY117" si="131">+SUM(AU114,AX114,BA114,BD114,BG114,BJ114,BM114,BO114,BQ114,BS114,BU114,BW114)</f>
        <v>55068.541524708387</v>
      </c>
      <c r="BZ114" s="161">
        <f t="shared" si="126"/>
        <v>0</v>
      </c>
      <c r="CA114" s="216">
        <f t="shared" si="54"/>
        <v>0</v>
      </c>
      <c r="CC114" s="178">
        <f t="shared" si="127"/>
        <v>0</v>
      </c>
      <c r="CD114" s="178">
        <f t="shared" si="128"/>
        <v>0</v>
      </c>
      <c r="CE114" s="178">
        <f t="shared" si="129"/>
        <v>0</v>
      </c>
      <c r="CF114" s="178">
        <f t="shared" si="130"/>
        <v>0</v>
      </c>
      <c r="CG114" s="178">
        <f t="shared" si="60"/>
        <v>0</v>
      </c>
    </row>
    <row r="115" spans="1:85" ht="15" x14ac:dyDescent="0.2">
      <c r="A115" s="361" t="str">
        <f>+_xlfn.XLOOKUP(B115,'[1]Proyectos (NO FILTRAR)'!$F:$F,'[1]Proyectos (NO FILTRAR)'!$B:$B,0,0,1)</f>
        <v>CH-COD-CS-OTR00-215-A</v>
      </c>
      <c r="B115" s="154" t="s">
        <v>541</v>
      </c>
      <c r="C115" s="155" t="str">
        <f>+_xlfn.XLOOKUP(A115,'[1]Proyectos (NO FILTRAR)'!$B:$B,'[1]Proyectos (NO FILTRAR)'!$G:$G,"error",0,1)</f>
        <v>Chile</v>
      </c>
      <c r="D115" s="155">
        <v>2026</v>
      </c>
      <c r="E115" s="155" t="s">
        <v>360</v>
      </c>
      <c r="F115" s="155"/>
      <c r="G115" s="207" t="s">
        <v>463</v>
      </c>
      <c r="H115" s="207"/>
      <c r="I115" s="285">
        <f>+_xlfn.XLOOKUP(B115,'[1]Proyectos (NO FILTRAR)'!$F:$F,'[1]Proyectos (NO FILTRAR)'!$O:$O,"!",0,1)</f>
        <v>55000</v>
      </c>
      <c r="J115" s="156">
        <f t="shared" si="55"/>
        <v>0</v>
      </c>
      <c r="K115" s="157">
        <f t="shared" si="121"/>
        <v>0</v>
      </c>
      <c r="L115" s="158">
        <f t="shared" si="122"/>
        <v>55000</v>
      </c>
      <c r="M115" s="159">
        <f t="shared" si="123"/>
        <v>1</v>
      </c>
      <c r="N115" s="160">
        <f t="shared" si="56"/>
        <v>55000</v>
      </c>
      <c r="O115" s="159">
        <f t="shared" si="124"/>
        <v>1</v>
      </c>
      <c r="P115" s="160">
        <f t="shared" si="125"/>
        <v>0</v>
      </c>
      <c r="Q115" s="171"/>
      <c r="R115" s="199"/>
      <c r="AU115" s="161"/>
      <c r="AV115" s="161"/>
      <c r="AW115" s="218"/>
      <c r="AX115" s="218"/>
      <c r="AY115" s="218"/>
      <c r="AZ115" s="218"/>
      <c r="BA115" s="161"/>
      <c r="BB115" s="161"/>
      <c r="BC115" s="161"/>
      <c r="BD115" s="161"/>
      <c r="BE115" s="161"/>
      <c r="BF115" s="161"/>
      <c r="BG115" s="161">
        <v>40000</v>
      </c>
      <c r="BH115" s="161">
        <v>40000</v>
      </c>
      <c r="BI115" s="287">
        <v>0</v>
      </c>
      <c r="BJ115" s="161">
        <v>55000</v>
      </c>
      <c r="BK115" s="161"/>
      <c r="BL115" s="161"/>
      <c r="BM115" s="161"/>
      <c r="BN115" s="161"/>
      <c r="BO115" s="161"/>
      <c r="BP115" s="161"/>
      <c r="BQ115" s="161"/>
      <c r="BR115" s="161"/>
      <c r="BS115" s="161"/>
      <c r="BT115" s="161"/>
      <c r="BU115" s="161"/>
      <c r="BV115" s="161"/>
      <c r="BW115" s="161"/>
      <c r="BX115" s="161"/>
      <c r="BY115" s="161">
        <f t="shared" si="131"/>
        <v>95000</v>
      </c>
      <c r="BZ115" s="161">
        <f t="shared" si="126"/>
        <v>0</v>
      </c>
      <c r="CA115" s="216">
        <f t="shared" si="54"/>
        <v>0</v>
      </c>
      <c r="CC115" s="178">
        <f t="shared" si="127"/>
        <v>0</v>
      </c>
      <c r="CD115" s="178">
        <f t="shared" si="128"/>
        <v>0</v>
      </c>
      <c r="CE115" s="178">
        <f t="shared" si="129"/>
        <v>0</v>
      </c>
      <c r="CF115" s="178">
        <f t="shared" si="130"/>
        <v>0</v>
      </c>
      <c r="CG115" s="178">
        <f t="shared" si="60"/>
        <v>0</v>
      </c>
    </row>
    <row r="116" spans="1:85" ht="15" x14ac:dyDescent="0.2">
      <c r="A116" s="361" t="str">
        <f>+_xlfn.XLOOKUP(B116,'[1]Proyectos (NO FILTRAR)'!$F:$F,'[1]Proyectos (NO FILTRAR)'!$B:$B,0,0,1)</f>
        <v>BR-ERC-UG-FEL00-216-A</v>
      </c>
      <c r="B116" s="154" t="s">
        <v>542</v>
      </c>
      <c r="C116" s="155" t="str">
        <f>+_xlfn.XLOOKUP(A116,'[1]Proyectos (NO FILTRAR)'!$B:$B,'[1]Proyectos (NO FILTRAR)'!$G:$G,"error",0,1)</f>
        <v>Brasil</v>
      </c>
      <c r="D116" s="155">
        <v>2026</v>
      </c>
      <c r="E116" s="155" t="s">
        <v>360</v>
      </c>
      <c r="F116" s="155"/>
      <c r="G116" s="207" t="s">
        <v>545</v>
      </c>
      <c r="H116" s="207"/>
      <c r="I116" s="285">
        <f>+_xlfn.XLOOKUP(B116,'[1]Proyectos (NO FILTRAR)'!$F:$F,'[1]Proyectos (NO FILTRAR)'!$O:$O,"!",0,1)</f>
        <v>151500</v>
      </c>
      <c r="J116" s="156">
        <f t="shared" si="55"/>
        <v>0</v>
      </c>
      <c r="K116" s="157">
        <f t="shared" si="121"/>
        <v>0</v>
      </c>
      <c r="L116" s="158">
        <f t="shared" si="122"/>
        <v>151500</v>
      </c>
      <c r="M116" s="159">
        <f t="shared" si="123"/>
        <v>1</v>
      </c>
      <c r="N116" s="160">
        <f t="shared" si="56"/>
        <v>88713.496435282927</v>
      </c>
      <c r="O116" s="159">
        <f t="shared" si="124"/>
        <v>0.58556763323619099</v>
      </c>
      <c r="P116" s="160">
        <f t="shared" si="125"/>
        <v>62786.503564717073</v>
      </c>
      <c r="Q116" s="171"/>
      <c r="R116" s="199"/>
      <c r="V116" s="188"/>
      <c r="W116" s="188"/>
      <c r="X116" s="188"/>
      <c r="Y116" s="188"/>
      <c r="Z116" s="188"/>
      <c r="AA116" s="188"/>
      <c r="AB116" s="188"/>
      <c r="AC116" s="188"/>
      <c r="AU116" s="161"/>
      <c r="AV116" s="161"/>
      <c r="AW116" s="218"/>
      <c r="AX116" s="218"/>
      <c r="AY116" s="218"/>
      <c r="AZ116" s="218"/>
      <c r="BA116" s="161"/>
      <c r="BB116" s="161"/>
      <c r="BC116" s="161"/>
      <c r="BD116" s="161"/>
      <c r="BE116" s="161"/>
      <c r="BF116" s="161"/>
      <c r="BG116" s="161">
        <v>0</v>
      </c>
      <c r="BH116" s="161">
        <v>0</v>
      </c>
      <c r="BI116" s="161"/>
      <c r="BJ116" s="161">
        <v>88713.496435282927</v>
      </c>
      <c r="BK116" s="161"/>
      <c r="BL116" s="161"/>
      <c r="BM116" s="161"/>
      <c r="BN116" s="161"/>
      <c r="BO116" s="161"/>
      <c r="BP116" s="161"/>
      <c r="BQ116" s="161"/>
      <c r="BR116" s="161"/>
      <c r="BS116" s="161"/>
      <c r="BT116" s="161"/>
      <c r="BU116" s="161"/>
      <c r="BV116" s="161"/>
      <c r="BW116" s="161"/>
      <c r="BX116" s="161"/>
      <c r="BY116" s="161">
        <f t="shared" si="131"/>
        <v>88713.496435282927</v>
      </c>
      <c r="BZ116" s="161">
        <f t="shared" si="126"/>
        <v>0</v>
      </c>
      <c r="CA116" s="216">
        <f t="shared" si="54"/>
        <v>0</v>
      </c>
      <c r="CC116" s="178">
        <f t="shared" si="127"/>
        <v>0</v>
      </c>
      <c r="CD116" s="178">
        <f t="shared" si="128"/>
        <v>0</v>
      </c>
      <c r="CE116" s="178">
        <f t="shared" si="129"/>
        <v>0</v>
      </c>
      <c r="CF116" s="178">
        <f t="shared" si="130"/>
        <v>0</v>
      </c>
      <c r="CG116" s="178">
        <f t="shared" si="60"/>
        <v>0</v>
      </c>
    </row>
    <row r="117" spans="1:85" ht="15" x14ac:dyDescent="0.2">
      <c r="A117" s="361" t="str">
        <f>+_xlfn.XLOOKUP(B117,'[1]Proyectos (NO FILTRAR)'!$F:$F,'[1]Proyectos (NO FILTRAR)'!$B:$B,0,0,1)</f>
        <v>PE-HSI-GM-OTR00-217-A</v>
      </c>
      <c r="B117" s="154" t="s">
        <v>543</v>
      </c>
      <c r="C117" s="155" t="str">
        <f>+_xlfn.XLOOKUP(A117,'[1]Proyectos (NO FILTRAR)'!$B:$B,'[1]Proyectos (NO FILTRAR)'!$G:$G,"error",0,1)</f>
        <v>Perú</v>
      </c>
      <c r="D117" s="155">
        <v>2026</v>
      </c>
      <c r="E117" s="155" t="s">
        <v>360</v>
      </c>
      <c r="F117" s="155"/>
      <c r="G117" s="207" t="s">
        <v>464</v>
      </c>
      <c r="H117" s="207"/>
      <c r="I117" s="285">
        <f>+_xlfn.XLOOKUP(B117,'[1]Proyectos (NO FILTRAR)'!$F:$F,'[1]Proyectos (NO FILTRAR)'!$O:$O,"!",0,1)</f>
        <v>60740</v>
      </c>
      <c r="J117" s="156">
        <f t="shared" si="55"/>
        <v>14939</v>
      </c>
      <c r="K117" s="157">
        <f t="shared" si="121"/>
        <v>0.24594995060915378</v>
      </c>
      <c r="L117" s="158">
        <f t="shared" si="122"/>
        <v>45801</v>
      </c>
      <c r="M117" s="159">
        <f t="shared" si="123"/>
        <v>0.75405004939084619</v>
      </c>
      <c r="N117" s="160">
        <f t="shared" si="56"/>
        <v>29939</v>
      </c>
      <c r="O117" s="159">
        <f t="shared" si="124"/>
        <v>0.49290418175831413</v>
      </c>
      <c r="P117" s="160">
        <f t="shared" si="125"/>
        <v>30801</v>
      </c>
      <c r="Q117" s="171"/>
      <c r="R117" s="199"/>
      <c r="U117" s="188"/>
      <c r="V117" s="191"/>
      <c r="W117" s="191"/>
      <c r="X117" s="191"/>
      <c r="Y117" s="191"/>
      <c r="Z117" s="191"/>
      <c r="AA117" s="191"/>
      <c r="AB117" s="191"/>
      <c r="AC117" s="191"/>
      <c r="AU117" s="161"/>
      <c r="AV117" s="161"/>
      <c r="AW117" s="218"/>
      <c r="AX117" s="218"/>
      <c r="AY117" s="218"/>
      <c r="AZ117" s="218"/>
      <c r="BA117" s="161"/>
      <c r="BB117" s="161"/>
      <c r="BC117" s="161"/>
      <c r="BD117" s="161"/>
      <c r="BE117" s="161"/>
      <c r="BF117" s="161"/>
      <c r="BG117" s="161">
        <v>40000</v>
      </c>
      <c r="BH117" s="161">
        <v>40000</v>
      </c>
      <c r="BI117" s="287">
        <v>14939</v>
      </c>
      <c r="BJ117" s="161">
        <v>15000</v>
      </c>
      <c r="BK117" s="161"/>
      <c r="BL117" s="161"/>
      <c r="BM117" s="161"/>
      <c r="BN117" s="161"/>
      <c r="BO117" s="161"/>
      <c r="BP117" s="161"/>
      <c r="BQ117" s="161"/>
      <c r="BR117" s="161"/>
      <c r="BS117" s="161"/>
      <c r="BT117" s="161"/>
      <c r="BU117" s="161"/>
      <c r="BV117" s="161"/>
      <c r="BW117" s="161"/>
      <c r="BX117" s="161"/>
      <c r="BY117" s="161">
        <f t="shared" si="131"/>
        <v>55000</v>
      </c>
      <c r="BZ117" s="161">
        <f t="shared" si="126"/>
        <v>0</v>
      </c>
      <c r="CA117" s="216">
        <f t="shared" si="54"/>
        <v>14939</v>
      </c>
      <c r="CC117" s="178">
        <f t="shared" si="127"/>
        <v>0</v>
      </c>
      <c r="CD117" s="178">
        <f t="shared" si="128"/>
        <v>0</v>
      </c>
      <c r="CE117" s="178">
        <f t="shared" si="129"/>
        <v>0</v>
      </c>
      <c r="CF117" s="178">
        <f t="shared" si="130"/>
        <v>0</v>
      </c>
      <c r="CG117" s="178">
        <f t="shared" si="60"/>
        <v>0.373475</v>
      </c>
    </row>
    <row r="118" spans="1:85" ht="15" x14ac:dyDescent="0.2">
      <c r="A118" s="361" t="str">
        <f>+_xlfn.XLOOKUP(B118,'[1]Proyectos (NO FILTRAR)'!$F:$F,'[1]Proyectos (NO FILTRAR)'!$B:$B,0,0,1)</f>
        <v>PE-FMI-GM-OTR00-218-A</v>
      </c>
      <c r="B118" s="154" t="s">
        <v>546</v>
      </c>
      <c r="C118" s="155" t="str">
        <f>+_xlfn.XLOOKUP(A118,'[1]Proyectos (NO FILTRAR)'!$B:$B,'[1]Proyectos (NO FILTRAR)'!$G:$G,"error",0,1)</f>
        <v>Perú</v>
      </c>
      <c r="D118" s="155">
        <v>2026</v>
      </c>
      <c r="E118" s="155" t="s">
        <v>360</v>
      </c>
      <c r="F118" s="155"/>
      <c r="G118" s="207" t="s">
        <v>464</v>
      </c>
      <c r="H118" s="207"/>
      <c r="I118" s="285">
        <f>+_xlfn.XLOOKUP(B118,'[1]Proyectos (NO FILTRAR)'!$F:$F,'[1]Proyectos (NO FILTRAR)'!$O:$O,"!",0,1)</f>
        <v>146540</v>
      </c>
      <c r="J118" s="156">
        <f t="shared" si="55"/>
        <v>0</v>
      </c>
      <c r="K118" s="157">
        <f t="shared" ref="K118" si="132">+IFERROR(J118/I118,0)</f>
        <v>0</v>
      </c>
      <c r="L118" s="158">
        <f t="shared" ref="L118" si="133">+I118-J118</f>
        <v>146540</v>
      </c>
      <c r="M118" s="159">
        <f t="shared" ref="M118" si="134">+IFERROR(L118/I118,0)</f>
        <v>1</v>
      </c>
      <c r="N118" s="160">
        <f t="shared" si="56"/>
        <v>20000</v>
      </c>
      <c r="O118" s="159">
        <f t="shared" ref="O118" si="135">IFERROR(N118/I118,0)</f>
        <v>0.13648150675583459</v>
      </c>
      <c r="P118" s="160">
        <f t="shared" ref="P118" si="136">+I118-N118</f>
        <v>126540</v>
      </c>
      <c r="Q118" s="171"/>
      <c r="R118" s="199"/>
      <c r="U118" s="191"/>
      <c r="AU118" s="161"/>
      <c r="AV118" s="161"/>
      <c r="AW118" s="218"/>
      <c r="AX118" s="218"/>
      <c r="AY118" s="218"/>
      <c r="AZ118" s="218"/>
      <c r="BA118" s="161"/>
      <c r="BB118" s="161"/>
      <c r="BC118" s="161"/>
      <c r="BD118" s="161"/>
      <c r="BE118" s="161"/>
      <c r="BF118" s="161"/>
      <c r="BG118" s="161">
        <v>15000</v>
      </c>
      <c r="BH118" s="161">
        <v>15000</v>
      </c>
      <c r="BI118" s="287">
        <v>0</v>
      </c>
      <c r="BJ118" s="161">
        <v>20000</v>
      </c>
      <c r="BK118" s="161"/>
      <c r="BL118" s="161"/>
      <c r="BM118" s="161"/>
      <c r="BN118" s="161"/>
      <c r="BO118" s="161"/>
      <c r="BP118" s="161"/>
      <c r="BQ118" s="161"/>
      <c r="BR118" s="161"/>
      <c r="BS118" s="161"/>
      <c r="BT118" s="161"/>
      <c r="BU118" s="161"/>
      <c r="BV118" s="161"/>
      <c r="BW118" s="161"/>
      <c r="BX118" s="161"/>
      <c r="BY118" s="161">
        <f t="shared" ref="BY118" si="137">+SUM(AU118,AX118,BA118,BD118,BG118,BJ118,BM118,BO118,BQ118,BS118,BU118,BW118)</f>
        <v>35000</v>
      </c>
      <c r="BZ118" s="161">
        <f t="shared" ref="BZ118" si="138">+AV118+AY118</f>
        <v>0</v>
      </c>
      <c r="CA118" s="216">
        <f t="shared" si="54"/>
        <v>0</v>
      </c>
      <c r="CC118" s="178">
        <f t="shared" ref="CC118" si="139">+IF(AND(AU118&gt;0,AW118=0),0,IF(AU118=0,0,IF(AW118&gt;=AU118,1,AW118/AU118)))</f>
        <v>0</v>
      </c>
      <c r="CD118" s="178">
        <f t="shared" ref="CD118" si="140">+IF(AND(AX118&gt;0,AZ118=0),0,IF(AX118=0,0,IF(AZ118&gt;=AX118,1,AZ118/AX118)))</f>
        <v>0</v>
      </c>
      <c r="CE118" s="178">
        <f t="shared" ref="CE118" si="141">+IF(AND(BA118&gt;0,BC118=0),0,IF(BA118=0,0,IF(BC118&gt;=BA118,1,BC118/BA118)))</f>
        <v>0</v>
      </c>
      <c r="CF118" s="178">
        <f t="shared" ref="CF118" si="142">+IF(AND(BD118&gt;0,BF118=0),0,IF(BD118=0,0,IF(BF118&gt;=BD118,1,BF118/BD118)))</f>
        <v>0</v>
      </c>
      <c r="CG118" s="178">
        <f t="shared" si="60"/>
        <v>0</v>
      </c>
    </row>
    <row r="119" spans="1:85" ht="15" x14ac:dyDescent="0.2">
      <c r="A119" s="361" t="str">
        <f>+_xlfn.XLOOKUP(B119,'[1]Proyectos (NO FILTRAR)'!$F:$F,'[1]Proyectos (NO FILTRAR)'!$B:$B,0,0,1)</f>
        <v>PE-VLC-CS-OTR00-219-A</v>
      </c>
      <c r="B119" s="154" t="s">
        <v>549</v>
      </c>
      <c r="C119" s="155" t="str">
        <f>+_xlfn.XLOOKUP(A119,'[1]Proyectos (NO FILTRAR)'!$B:$B,'[1]Proyectos (NO FILTRAR)'!$G:$G,"error",0,1)</f>
        <v>Perú</v>
      </c>
      <c r="D119" s="155">
        <v>2026</v>
      </c>
      <c r="E119" s="155" t="s">
        <v>360</v>
      </c>
      <c r="F119" s="155"/>
      <c r="G119" s="207" t="s">
        <v>463</v>
      </c>
      <c r="H119" s="207"/>
      <c r="I119" s="285">
        <f>+_xlfn.XLOOKUP(B119,'[1]Proyectos (NO FILTRAR)'!$F:$F,'[1]Proyectos (NO FILTRAR)'!$O:$O,"!",0,1)</f>
        <v>58440</v>
      </c>
      <c r="J119" s="156">
        <f t="shared" si="55"/>
        <v>0</v>
      </c>
      <c r="K119" s="157">
        <f t="shared" ref="K119" si="143">+IFERROR(J119/I119,0)</f>
        <v>0</v>
      </c>
      <c r="L119" s="158">
        <f t="shared" ref="L119" si="144">+I119-J119</f>
        <v>58440</v>
      </c>
      <c r="M119" s="159">
        <f t="shared" ref="M119" si="145">+IFERROR(L119/I119,0)</f>
        <v>1</v>
      </c>
      <c r="N119" s="160">
        <f t="shared" si="56"/>
        <v>58440</v>
      </c>
      <c r="O119" s="159">
        <f t="shared" ref="O119" si="146">IFERROR(N119/I119,0)</f>
        <v>1</v>
      </c>
      <c r="P119" s="160">
        <f t="shared" ref="P119" si="147">+I119-N119</f>
        <v>0</v>
      </c>
      <c r="AU119" s="161"/>
      <c r="AV119" s="161"/>
      <c r="AW119" s="218"/>
      <c r="AX119" s="218"/>
      <c r="AY119" s="218"/>
      <c r="AZ119" s="218"/>
      <c r="BA119" s="161"/>
      <c r="BB119" s="161"/>
      <c r="BC119" s="161"/>
      <c r="BD119" s="161"/>
      <c r="BE119" s="161"/>
      <c r="BF119" s="161"/>
      <c r="BG119" s="161">
        <v>0</v>
      </c>
      <c r="BH119" s="161">
        <v>0</v>
      </c>
      <c r="BI119" s="161"/>
      <c r="BJ119" s="161">
        <v>58440</v>
      </c>
      <c r="BK119" s="161"/>
      <c r="BL119" s="161"/>
      <c r="BM119" s="161"/>
      <c r="BN119" s="161"/>
      <c r="BO119" s="161"/>
      <c r="BP119" s="161"/>
      <c r="BQ119" s="161"/>
      <c r="BR119" s="161"/>
      <c r="BS119" s="161"/>
      <c r="BT119" s="161"/>
      <c r="BU119" s="161"/>
      <c r="BV119" s="161"/>
      <c r="BW119" s="161"/>
      <c r="BX119" s="161"/>
      <c r="BY119" s="161">
        <f t="shared" ref="BY119" si="148">+SUM(AU119,AX119,BA119,BD119,BG119,BJ119,BM119,BO119,BQ119,BS119,BU119,BW119)</f>
        <v>58440</v>
      </c>
      <c r="BZ119" s="161">
        <f t="shared" ref="BZ119" si="149">+AV119+AY119</f>
        <v>0</v>
      </c>
      <c r="CA119" s="216">
        <f t="shared" si="54"/>
        <v>0</v>
      </c>
      <c r="CC119" s="178">
        <f t="shared" ref="CC119:CC121" si="150">+IF(AND(AU119&gt;0,AW119=0),0,IF(AU119=0,0,IF(AW119&gt;=AU119,1,AW119/AU119)))</f>
        <v>0</v>
      </c>
      <c r="CD119" s="178">
        <f t="shared" ref="CD119:CD121" si="151">+IF(AND(AX119&gt;0,AZ119=0),0,IF(AX119=0,0,IF(AZ119&gt;=AX119,1,AZ119/AX119)))</f>
        <v>0</v>
      </c>
      <c r="CE119" s="178">
        <f t="shared" ref="CE119:CE121" si="152">+IF(AND(BA119&gt;0,BC119=0),0,IF(BA119=0,0,IF(BC119&gt;=BA119,1,BC119/BA119)))</f>
        <v>0</v>
      </c>
      <c r="CF119" s="178">
        <f t="shared" ref="CF119:CF121" si="153">+IF(AND(BD119&gt;0,BF119=0),0,IF(BD119=0,0,IF(BF119&gt;=BD119,1,BF119/BD119)))</f>
        <v>0</v>
      </c>
      <c r="CG119" s="178">
        <f t="shared" si="60"/>
        <v>0</v>
      </c>
    </row>
    <row r="120" spans="1:85" ht="15" x14ac:dyDescent="0.2">
      <c r="A120" s="361" t="str">
        <f>+_xlfn.XLOOKUP(B120,'[1]Proyectos (NO FILTRAR)'!$F:$F,'[1]Proyectos (NO FILTRAR)'!$B:$B,0,0,1)</f>
        <v>PE-MSR-UG-OTR00-220-A</v>
      </c>
      <c r="B120" s="154" t="s">
        <v>550</v>
      </c>
      <c r="C120" s="155" t="str">
        <f>+_xlfn.XLOOKUP(A120,'[1]Proyectos (NO FILTRAR)'!$B:$B,'[1]Proyectos (NO FILTRAR)'!$G:$G,"error",0,1)</f>
        <v>Perú</v>
      </c>
      <c r="D120" s="155">
        <v>2026</v>
      </c>
      <c r="E120" s="155" t="s">
        <v>360</v>
      </c>
      <c r="F120" s="155"/>
      <c r="G120" s="207" t="s">
        <v>463</v>
      </c>
      <c r="H120" s="207"/>
      <c r="I120" s="285">
        <f>+_xlfn.XLOOKUP(B120,'[1]Proyectos (NO FILTRAR)'!$F:$F,'[1]Proyectos (NO FILTRAR)'!$O:$O,"!",0,1)</f>
        <v>57683</v>
      </c>
      <c r="J120" s="156">
        <f t="shared" si="55"/>
        <v>10527</v>
      </c>
      <c r="K120" s="157">
        <f t="shared" ref="K120" si="154">+IFERROR(J120/I120,0)</f>
        <v>0.18249744292079123</v>
      </c>
      <c r="L120" s="158">
        <f t="shared" ref="L120" si="155">+I120-J120</f>
        <v>47156</v>
      </c>
      <c r="M120" s="159">
        <f t="shared" ref="M120" si="156">+IFERROR(L120/I120,0)</f>
        <v>0.81750255707920882</v>
      </c>
      <c r="N120" s="160">
        <f t="shared" si="56"/>
        <v>33456.14</v>
      </c>
      <c r="O120" s="159">
        <f t="shared" ref="O120" si="157">IFERROR(N120/I120,0)</f>
        <v>0.57999999999999996</v>
      </c>
      <c r="P120" s="160">
        <f t="shared" ref="P120" si="158">+I120-N120</f>
        <v>24226.86</v>
      </c>
      <c r="AU120" s="161"/>
      <c r="AV120" s="161"/>
      <c r="AW120" s="218"/>
      <c r="AX120" s="218"/>
      <c r="AY120" s="218"/>
      <c r="AZ120" s="218"/>
      <c r="BA120" s="161"/>
      <c r="BB120" s="161"/>
      <c r="BC120" s="161"/>
      <c r="BD120" s="161"/>
      <c r="BE120" s="161"/>
      <c r="BF120" s="161"/>
      <c r="BG120" s="161">
        <v>0</v>
      </c>
      <c r="BH120" s="161">
        <v>0</v>
      </c>
      <c r="BI120" s="287">
        <v>10527</v>
      </c>
      <c r="BJ120" s="161">
        <v>22929.14</v>
      </c>
      <c r="BK120" s="161"/>
      <c r="BL120" s="161"/>
      <c r="BM120" s="161"/>
      <c r="BN120" s="161"/>
      <c r="BO120" s="161"/>
      <c r="BP120" s="161"/>
      <c r="BQ120" s="161"/>
      <c r="BR120" s="161"/>
      <c r="BS120" s="161"/>
      <c r="BT120" s="161"/>
      <c r="BU120" s="161"/>
      <c r="BV120" s="161"/>
      <c r="BW120" s="161"/>
      <c r="BX120" s="161"/>
      <c r="BY120" s="161">
        <f t="shared" ref="BY120" si="159">+SUM(AU120,AX120,BA120,BD120,BG120,BJ120,BM120,BO120,BQ120,BS120,BU120,BW120)</f>
        <v>22929.14</v>
      </c>
      <c r="BZ120" s="161">
        <f t="shared" ref="BZ120" si="160">+AV120+AY120</f>
        <v>0</v>
      </c>
      <c r="CA120" s="216">
        <f t="shared" si="54"/>
        <v>10527</v>
      </c>
      <c r="CC120" s="178">
        <f t="shared" si="150"/>
        <v>0</v>
      </c>
      <c r="CD120" s="178">
        <f t="shared" si="151"/>
        <v>0</v>
      </c>
      <c r="CE120" s="178">
        <f t="shared" si="152"/>
        <v>0</v>
      </c>
      <c r="CF120" s="178">
        <f t="shared" si="153"/>
        <v>0</v>
      </c>
      <c r="CG120" s="178">
        <f t="shared" si="60"/>
        <v>0</v>
      </c>
    </row>
    <row r="121" spans="1:85" ht="15" x14ac:dyDescent="0.2">
      <c r="A121" s="361" t="str">
        <f>+_xlfn.XLOOKUP(B121,'[1]Proyectos (NO FILTRAR)'!$F:$F,'[1]Proyectos (NO FILTRAR)'!$B:$B,0,0,1)</f>
        <v>OT-STH-CS-OTR00-221-A</v>
      </c>
      <c r="B121" s="154" t="s">
        <v>551</v>
      </c>
      <c r="C121" s="155" t="str">
        <f>+_xlfn.XLOOKUP(A121,'[1]Proyectos (NO FILTRAR)'!$B:$B,'[1]Proyectos (NO FILTRAR)'!$G:$G,"error",0,1)</f>
        <v>Otros</v>
      </c>
      <c r="D121" s="155">
        <v>2026</v>
      </c>
      <c r="E121" s="155" t="s">
        <v>360</v>
      </c>
      <c r="F121" s="155"/>
      <c r="G121" s="207" t="s">
        <v>463</v>
      </c>
      <c r="H121" s="207"/>
      <c r="I121" s="285">
        <f>+_xlfn.XLOOKUP(B121,'[1]Proyectos (NO FILTRAR)'!$F:$F,'[1]Proyectos (NO FILTRAR)'!$O:$O,"!",0,1)</f>
        <v>70200</v>
      </c>
      <c r="J121" s="156">
        <f t="shared" si="55"/>
        <v>0</v>
      </c>
      <c r="K121" s="157">
        <f t="shared" ref="K121" si="161">+IFERROR(J121/I121,0)</f>
        <v>0</v>
      </c>
      <c r="L121" s="158">
        <f t="shared" ref="L121" si="162">+I121-J121</f>
        <v>70200</v>
      </c>
      <c r="M121" s="159">
        <f t="shared" ref="M121" si="163">+IFERROR(L121/I121,0)</f>
        <v>1</v>
      </c>
      <c r="N121" s="160">
        <f t="shared" si="56"/>
        <v>50000</v>
      </c>
      <c r="O121" s="159">
        <f t="shared" ref="O121" si="164">IFERROR(N121/I121,0)</f>
        <v>0.71225071225071224</v>
      </c>
      <c r="P121" s="160">
        <f t="shared" ref="P121" si="165">+I121-N121</f>
        <v>20200</v>
      </c>
      <c r="AU121" s="161"/>
      <c r="AV121" s="161"/>
      <c r="AW121" s="218"/>
      <c r="AX121" s="218"/>
      <c r="AY121" s="218"/>
      <c r="AZ121" s="218"/>
      <c r="BA121" s="161"/>
      <c r="BB121" s="161"/>
      <c r="BC121" s="161"/>
      <c r="BD121" s="161"/>
      <c r="BE121" s="161"/>
      <c r="BF121" s="161"/>
      <c r="BG121" s="161">
        <v>0</v>
      </c>
      <c r="BH121" s="161">
        <v>0</v>
      </c>
      <c r="BI121" s="161"/>
      <c r="BJ121" s="161">
        <v>50000</v>
      </c>
      <c r="BK121" s="161"/>
      <c r="BL121" s="161"/>
      <c r="BM121" s="161"/>
      <c r="BN121" s="161"/>
      <c r="BO121" s="161"/>
      <c r="BP121" s="161"/>
      <c r="BQ121" s="161"/>
      <c r="BR121" s="161"/>
      <c r="BS121" s="161"/>
      <c r="BT121" s="161"/>
      <c r="BU121" s="161"/>
      <c r="BV121" s="161"/>
      <c r="BW121" s="161"/>
      <c r="BX121" s="161"/>
      <c r="BY121" s="161">
        <f t="shared" ref="BY121" si="166">+SUM(AU121,AX121,BA121,BD121,BG121,BJ121,BM121,BO121,BQ121,BS121,BU121,BW121)</f>
        <v>50000</v>
      </c>
      <c r="BZ121" s="161">
        <f t="shared" ref="BZ121" si="167">+AV121+AY121</f>
        <v>0</v>
      </c>
      <c r="CA121" s="216">
        <f t="shared" si="54"/>
        <v>0</v>
      </c>
      <c r="CC121" s="178">
        <f t="shared" si="150"/>
        <v>0</v>
      </c>
      <c r="CD121" s="178">
        <f t="shared" si="151"/>
        <v>0</v>
      </c>
      <c r="CE121" s="178">
        <f t="shared" si="152"/>
        <v>0</v>
      </c>
      <c r="CF121" s="178">
        <f t="shared" si="153"/>
        <v>0</v>
      </c>
      <c r="CG121" s="178">
        <f t="shared" si="60"/>
        <v>0</v>
      </c>
    </row>
    <row r="125" spans="1:85" x14ac:dyDescent="0.2">
      <c r="BG125" s="166"/>
    </row>
  </sheetData>
  <autoFilter ref="A15:CG121" xr:uid="{F55DF113-5659-4188-8BA1-ED876483D433}"/>
  <mergeCells count="4">
    <mergeCell ref="T14:AQ14"/>
    <mergeCell ref="AU14:BX14"/>
    <mergeCell ref="AR14:AS14"/>
    <mergeCell ref="BY14:CA14"/>
  </mergeCells>
  <conditionalFormatting sqref="E1:E1048576">
    <cfRule type="containsText" dxfId="51" priority="6" operator="containsText" text="Finalizado">
      <formula>NOT(ISERROR(SEARCH("Finalizado",E1)))</formula>
    </cfRule>
  </conditionalFormatting>
  <conditionalFormatting sqref="K3:K8">
    <cfRule type="dataBar" priority="5">
      <dataBar>
        <cfvo type="min"/>
        <cfvo type="max"/>
        <color rgb="FFFF555A"/>
      </dataBar>
      <extLst>
        <ext xmlns:x14="http://schemas.microsoft.com/office/spreadsheetml/2009/9/main" uri="{B025F937-C7B1-47D3-B67F-A62EFF666E3E}">
          <x14:id>{2D1B755E-7D0F-433C-989E-7D2B2A6F3BB4}</x14:id>
        </ext>
      </extLst>
    </cfRule>
  </conditionalFormatting>
  <conditionalFormatting sqref="K16:K121">
    <cfRule type="dataBar" priority="339">
      <dataBar>
        <cfvo type="min"/>
        <cfvo type="max"/>
        <color rgb="FFFF555A"/>
      </dataBar>
      <extLst>
        <ext xmlns:x14="http://schemas.microsoft.com/office/spreadsheetml/2009/9/main" uri="{B025F937-C7B1-47D3-B67F-A62EFF666E3E}">
          <x14:id>{D201576A-E775-4F87-A7C1-EA0EC766E27D}</x14:id>
        </ext>
      </extLst>
    </cfRule>
  </conditionalFormatting>
  <conditionalFormatting sqref="M16:M121 O16:O121">
    <cfRule type="dataBar" priority="341">
      <dataBar>
        <cfvo type="min"/>
        <cfvo type="max"/>
        <color rgb="FF63C384"/>
      </dataBar>
      <extLst>
        <ext xmlns:x14="http://schemas.microsoft.com/office/spreadsheetml/2009/9/main" uri="{B025F937-C7B1-47D3-B67F-A62EFF666E3E}">
          <x14:id>{706F2963-AA92-4CF6-853D-8A698B59E3BB}</x14:id>
        </ext>
      </extLst>
    </cfRule>
  </conditionalFormatting>
  <conditionalFormatting sqref="O16:O121">
    <cfRule type="dataBar" priority="345">
      <dataBar>
        <cfvo type="min"/>
        <cfvo type="max"/>
        <color rgb="FFFFB628"/>
      </dataBar>
      <extLst>
        <ext xmlns:x14="http://schemas.microsoft.com/office/spreadsheetml/2009/9/main" uri="{B025F937-C7B1-47D3-B67F-A62EFF666E3E}">
          <x14:id>{2FA3F228-2104-4B4D-9586-BA47EC82E8CC}</x14:id>
        </ext>
      </extLst>
    </cfRule>
  </conditionalFormatting>
  <conditionalFormatting sqref="AU16:AV121">
    <cfRule type="containsText" dxfId="50" priority="1" operator="containsText" text="!">
      <formula>NOT(ISERROR(SEARCH("!",AU16)))</formula>
    </cfRule>
  </conditionalFormatting>
  <conditionalFormatting sqref="AW74">
    <cfRule type="containsText" dxfId="49" priority="3" operator="containsText" text="!">
      <formula>NOT(ISERROR(SEARCH("!",AW74)))</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2D1B755E-7D0F-433C-989E-7D2B2A6F3BB4}">
            <x14:dataBar minLength="0" maxLength="100" gradient="0">
              <x14:cfvo type="autoMin"/>
              <x14:cfvo type="autoMax"/>
              <x14:negativeFillColor rgb="FFFF0000"/>
              <x14:axisColor rgb="FF000000"/>
            </x14:dataBar>
          </x14:cfRule>
          <xm:sqref>K3:K8</xm:sqref>
        </x14:conditionalFormatting>
        <x14:conditionalFormatting xmlns:xm="http://schemas.microsoft.com/office/excel/2006/main">
          <x14:cfRule type="dataBar" id="{D201576A-E775-4F87-A7C1-EA0EC766E27D}">
            <x14:dataBar minLength="0" maxLength="100" gradient="0">
              <x14:cfvo type="autoMin"/>
              <x14:cfvo type="autoMax"/>
              <x14:negativeFillColor rgb="FFFF0000"/>
              <x14:axisColor rgb="FF000000"/>
            </x14:dataBar>
          </x14:cfRule>
          <xm:sqref>K16:K121</xm:sqref>
        </x14:conditionalFormatting>
        <x14:conditionalFormatting xmlns:xm="http://schemas.microsoft.com/office/excel/2006/main">
          <x14:cfRule type="dataBar" id="{706F2963-AA92-4CF6-853D-8A698B59E3BB}">
            <x14:dataBar minLength="0" maxLength="100" gradient="0">
              <x14:cfvo type="autoMin"/>
              <x14:cfvo type="autoMax"/>
              <x14:negativeFillColor rgb="FFFF0000"/>
              <x14:axisColor rgb="FF000000"/>
            </x14:dataBar>
          </x14:cfRule>
          <xm:sqref>M16:M121 O16:O121</xm:sqref>
        </x14:conditionalFormatting>
        <x14:conditionalFormatting xmlns:xm="http://schemas.microsoft.com/office/excel/2006/main">
          <x14:cfRule type="dataBar" id="{2FA3F228-2104-4B4D-9586-BA47EC82E8CC}">
            <x14:dataBar minLength="0" maxLength="100" gradient="0">
              <x14:cfvo type="autoMin"/>
              <x14:cfvo type="autoMax"/>
              <x14:negativeFillColor rgb="FFFF0000"/>
              <x14:axisColor rgb="FF000000"/>
            </x14:dataBar>
          </x14:cfRule>
          <xm:sqref>O16:O121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71437-3314-471B-ACFE-FED16100EFD3}">
  <sheetPr>
    <tabColor rgb="FF00B050"/>
  </sheetPr>
  <dimension ref="A3:T54"/>
  <sheetViews>
    <sheetView showGridLines="0" zoomScale="80" zoomScaleNormal="80" workbookViewId="0">
      <selection activeCell="Q36" sqref="Q36"/>
    </sheetView>
  </sheetViews>
  <sheetFormatPr baseColWidth="10" defaultColWidth="11.5" defaultRowHeight="14" x14ac:dyDescent="0.2"/>
  <cols>
    <col min="1" max="1" width="22.5" style="292" bestFit="1" customWidth="1"/>
    <col min="2" max="2" width="6.33203125" style="292" customWidth="1"/>
    <col min="3" max="3" width="20.6640625" style="289" hidden="1" customWidth="1"/>
    <col min="4" max="4" width="10.5" style="289" bestFit="1" customWidth="1"/>
    <col min="5" max="5" width="36.5" style="289" bestFit="1" customWidth="1"/>
    <col min="6" max="6" width="13.5" style="289" bestFit="1" customWidth="1"/>
    <col min="7" max="7" width="9.33203125" style="289" customWidth="1"/>
    <col min="8" max="8" width="11" style="289" customWidth="1"/>
    <col min="9" max="9" width="14.5" style="289" bestFit="1" customWidth="1"/>
    <col min="10" max="10" width="15.5" style="289" customWidth="1"/>
    <col min="11" max="11" width="15.33203125" style="289" hidden="1" customWidth="1"/>
    <col min="12" max="14" width="11.6640625" style="289" customWidth="1"/>
    <col min="15" max="15" width="10.6640625" style="289" bestFit="1" customWidth="1"/>
    <col min="16" max="16" width="13.6640625" style="289" bestFit="1" customWidth="1"/>
    <col min="17" max="17" width="51.6640625" style="292" bestFit="1" customWidth="1"/>
    <col min="18" max="16384" width="11.5" style="292"/>
  </cols>
  <sheetData>
    <row r="3" spans="1:19" ht="39.75" customHeight="1" x14ac:dyDescent="0.2">
      <c r="A3" s="289" t="s">
        <v>473</v>
      </c>
      <c r="B3" s="290" t="s">
        <v>474</v>
      </c>
      <c r="C3" s="290" t="s">
        <v>94</v>
      </c>
      <c r="D3" s="290" t="s">
        <v>169</v>
      </c>
      <c r="E3" s="291" t="s">
        <v>91</v>
      </c>
      <c r="F3" s="290" t="s">
        <v>461</v>
      </c>
      <c r="G3" s="290" t="s">
        <v>475</v>
      </c>
      <c r="H3" s="290" t="s">
        <v>476</v>
      </c>
      <c r="I3" s="290" t="s">
        <v>477</v>
      </c>
      <c r="J3" s="290" t="s">
        <v>478</v>
      </c>
      <c r="K3" s="290" t="s">
        <v>479</v>
      </c>
      <c r="L3" s="290" t="s">
        <v>500</v>
      </c>
      <c r="M3" s="290" t="s">
        <v>498</v>
      </c>
      <c r="N3" s="290" t="s">
        <v>499</v>
      </c>
      <c r="O3" s="290" t="s">
        <v>501</v>
      </c>
      <c r="P3" s="290" t="s">
        <v>480</v>
      </c>
      <c r="Q3" s="290" t="s">
        <v>481</v>
      </c>
      <c r="R3" s="290" t="s">
        <v>482</v>
      </c>
    </row>
    <row r="4" spans="1:19" ht="15" x14ac:dyDescent="0.2">
      <c r="A4" s="292" t="str">
        <f>+_xlfn.XLOOKUP(E4,'[1]Proyectos (NO FILTRAR)'!$F:$F,'[1]Proyectos (NO FILTRAR)'!$B:$B)</f>
        <v>RU-SEL-UG-FEL2A-072-A</v>
      </c>
      <c r="B4" s="293">
        <v>1</v>
      </c>
      <c r="C4" s="293" t="str">
        <f>+_xlfn.XLOOKUP(E4,'[1]Proyectos (NO FILTRAR)'!$F:$F,'[1]Proyectos (NO FILTRAR)'!$I:$I)</f>
        <v>Seligdar</v>
      </c>
      <c r="D4" s="293" t="str">
        <f>+_xlfn.XLOOKUP(E4,'[1]Proyectos (NO FILTRAR)'!$F:$F,'[1]Proyectos (NO FILTRAR)'!$G:$G)</f>
        <v>Rusia</v>
      </c>
      <c r="E4" s="294" t="s">
        <v>106</v>
      </c>
      <c r="F4" s="295" t="str">
        <f>+_xlfn.XLOOKUP(E4,'[1]Proyectos (NO FILTRAR)'!$F:$F,'[1]Proyectos (NO FILTRAR)'!$AA:$AA,"!",0,1)</f>
        <v>J.F.San Martin</v>
      </c>
      <c r="G4" s="293"/>
      <c r="H4" s="296"/>
      <c r="I4" s="293" t="s">
        <v>483</v>
      </c>
      <c r="J4" s="293" t="s">
        <v>483</v>
      </c>
      <c r="K4" s="293" t="s">
        <v>483</v>
      </c>
      <c r="L4" s="297">
        <f>+_xlfn.XLOOKUP($A4,'POM 2025'!$A:$A,'POM 2025'!$AU:$AU,0,0,1)</f>
        <v>1217640</v>
      </c>
      <c r="M4" s="297"/>
      <c r="N4" s="297">
        <f>+_xlfn.XLOOKUP(A4,'POM 2025'!$A:$A,'POM 2025'!$AW:$AW,0,0,1)</f>
        <v>0</v>
      </c>
      <c r="O4" s="298">
        <f t="shared" ref="O4:O21" si="0">+N4-L4</f>
        <v>-1217640</v>
      </c>
      <c r="P4" s="168">
        <f t="shared" ref="P4:P21" si="1">+IFERROR(O4/L4,0)</f>
        <v>-1</v>
      </c>
      <c r="Q4" s="299" t="s">
        <v>370</v>
      </c>
      <c r="R4" s="299"/>
      <c r="S4" s="300">
        <f t="shared" ref="S4:S20" si="2">+IF(AND(L4&gt;0,N4=0),0,IF(N4=0,0,IF(N4&gt;=L4,1,N4/L4)))</f>
        <v>0</v>
      </c>
    </row>
    <row r="5" spans="1:19" ht="15" x14ac:dyDescent="0.2">
      <c r="A5" s="292" t="str">
        <f>+_xlfn.XLOOKUP(E5,'[1]Proyectos (NO FILTRAR)'!$F:$F,'[1]Proyectos (NO FILTRAR)'!$B:$B)</f>
        <v>RU-POL-OP-FEL00-149-A</v>
      </c>
      <c r="B5" s="293">
        <v>2</v>
      </c>
      <c r="C5" s="293" t="str">
        <f>+_xlfn.XLOOKUP(E5,'[1]Proyectos (NO FILTRAR)'!$F:$F,'[1]Proyectos (NO FILTRAR)'!$I:$I)</f>
        <v>Polyus</v>
      </c>
      <c r="D5" s="293" t="str">
        <f>+_xlfn.XLOOKUP(E5,'[1]Proyectos (NO FILTRAR)'!$F:$F,'[1]Proyectos (NO FILTRAR)'!$G:$G)</f>
        <v>Rusia</v>
      </c>
      <c r="E5" s="294" t="s">
        <v>382</v>
      </c>
      <c r="F5" s="295" t="str">
        <f>+_xlfn.XLOOKUP(E5,'[1]Proyectos (NO FILTRAR)'!$F:$F,'[1]Proyectos (NO FILTRAR)'!$AA:$AA,"!",0,1)</f>
        <v>C.Hernandez</v>
      </c>
      <c r="G5" s="293"/>
      <c r="H5" s="296"/>
      <c r="I5" s="293" t="s">
        <v>483</v>
      </c>
      <c r="J5" s="293" t="s">
        <v>483</v>
      </c>
      <c r="K5" s="293" t="s">
        <v>483</v>
      </c>
      <c r="L5" s="297">
        <f>+_xlfn.XLOOKUP($A5,'POM 2025'!$A:$A,'POM 2025'!$AU:$AU,0,0,1)</f>
        <v>87873</v>
      </c>
      <c r="M5" s="297"/>
      <c r="N5" s="297">
        <f>+_xlfn.XLOOKUP(A5,'POM 2025'!$A:$A,'POM 2025'!$AW:$AW,0,0,1)</f>
        <v>0</v>
      </c>
      <c r="O5" s="298">
        <f t="shared" si="0"/>
        <v>-87873</v>
      </c>
      <c r="P5" s="168">
        <f t="shared" si="1"/>
        <v>-1</v>
      </c>
      <c r="Q5" s="299" t="s">
        <v>370</v>
      </c>
      <c r="R5" s="299"/>
      <c r="S5" s="300">
        <f t="shared" si="2"/>
        <v>0</v>
      </c>
    </row>
    <row r="6" spans="1:19" ht="15" x14ac:dyDescent="0.2">
      <c r="A6" s="292" t="str">
        <f>+_xlfn.XLOOKUP(E6,'[1]Proyectos (NO FILTRAR)'!$F:$F,'[1]Proyectos (NO FILTRAR)'!$B:$B)</f>
        <v>PE-ECR-UG-FEL00-188-A</v>
      </c>
      <c r="B6" s="293">
        <v>3</v>
      </c>
      <c r="C6" s="293" t="str">
        <f>+_xlfn.XLOOKUP(E6,'[1]Proyectos (NO FILTRAR)'!$F:$F,'[1]Proyectos (NO FILTRAR)'!$I:$I)</f>
        <v>Emincar</v>
      </c>
      <c r="D6" s="293" t="str">
        <f>+_xlfn.XLOOKUP(E6,'[1]Proyectos (NO FILTRAR)'!$F:$F,'[1]Proyectos (NO FILTRAR)'!$G:$G)</f>
        <v>Perú</v>
      </c>
      <c r="E6" s="294" t="s">
        <v>454</v>
      </c>
      <c r="F6" s="295" t="str">
        <f>+_xlfn.XLOOKUP(E6,'[1]Proyectos (NO FILTRAR)'!$F:$F,'[1]Proyectos (NO FILTRAR)'!$AA:$AA,"!",0,1)</f>
        <v>J.F. San Martin</v>
      </c>
      <c r="G6" s="293"/>
      <c r="H6" s="296"/>
      <c r="I6" s="293" t="s">
        <v>483</v>
      </c>
      <c r="J6" s="293" t="s">
        <v>483</v>
      </c>
      <c r="K6" s="293" t="s">
        <v>483</v>
      </c>
      <c r="L6" s="297">
        <f>+_xlfn.XLOOKUP($A6,'POM 2025'!$A:$A,'POM 2025'!$AU:$AU,0,0,1)</f>
        <v>67000</v>
      </c>
      <c r="M6" s="297"/>
      <c r="N6" s="297">
        <f>+_xlfn.XLOOKUP(A6,'POM 2025'!$A:$A,'POM 2025'!$AW:$AW,0,0,1)</f>
        <v>0</v>
      </c>
      <c r="O6" s="298">
        <f t="shared" si="0"/>
        <v>-67000</v>
      </c>
      <c r="P6" s="168">
        <f t="shared" si="1"/>
        <v>-1</v>
      </c>
      <c r="Q6" s="299" t="s">
        <v>484</v>
      </c>
      <c r="R6" s="299"/>
      <c r="S6" s="300">
        <f t="shared" si="2"/>
        <v>0</v>
      </c>
    </row>
    <row r="7" spans="1:19" ht="15" x14ac:dyDescent="0.2">
      <c r="A7" s="292" t="str">
        <f>+_xlfn.XLOOKUP(E7,'[1]Proyectos (NO FILTRAR)'!$F:$F,'[1]Proyectos (NO FILTRAR)'!$B:$B)</f>
        <v>RU-ATL-OP-FEL00-148-A</v>
      </c>
      <c r="B7" s="293">
        <v>4</v>
      </c>
      <c r="C7" s="293" t="str">
        <f>+_xlfn.XLOOKUP(E7,'[1]Proyectos (NO FILTRAR)'!$F:$F,'[1]Proyectos (NO FILTRAR)'!$I:$I)</f>
        <v>Atlas Mining</v>
      </c>
      <c r="D7" s="293" t="str">
        <f>+_xlfn.XLOOKUP(E7,'[1]Proyectos (NO FILTRAR)'!$F:$F,'[1]Proyectos (NO FILTRAR)'!$G:$G)</f>
        <v>Rusia</v>
      </c>
      <c r="E7" s="294" t="s">
        <v>381</v>
      </c>
      <c r="F7" s="295" t="str">
        <f>+_xlfn.XLOOKUP(E7,'[1]Proyectos (NO FILTRAR)'!$F:$F,'[1]Proyectos (NO FILTRAR)'!$AA:$AA,"!",0,1)</f>
        <v>J.F.San Martin</v>
      </c>
      <c r="G7" s="293"/>
      <c r="H7" s="296"/>
      <c r="I7" s="293" t="s">
        <v>483</v>
      </c>
      <c r="J7" s="293" t="s">
        <v>483</v>
      </c>
      <c r="K7" s="293" t="s">
        <v>483</v>
      </c>
      <c r="L7" s="297">
        <f>+_xlfn.XLOOKUP($A7,'POM 2025'!$A:$A,'POM 2025'!$AU:$AU,0,0,1)</f>
        <v>51000</v>
      </c>
      <c r="M7" s="297"/>
      <c r="N7" s="297">
        <f>+_xlfn.XLOOKUP(A7,'POM 2025'!$A:$A,'POM 2025'!$AW:$AW,0,0,1)</f>
        <v>0</v>
      </c>
      <c r="O7" s="298">
        <f t="shared" si="0"/>
        <v>-51000</v>
      </c>
      <c r="P7" s="168">
        <f t="shared" si="1"/>
        <v>-1</v>
      </c>
      <c r="Q7" s="299" t="s">
        <v>370</v>
      </c>
      <c r="R7" s="299"/>
      <c r="S7" s="300">
        <f t="shared" si="2"/>
        <v>0</v>
      </c>
    </row>
    <row r="8" spans="1:19" ht="15" x14ac:dyDescent="0.2">
      <c r="A8" s="292" t="str">
        <f>+_xlfn.XLOOKUP(E8,'[1]Proyectos (NO FILTRAR)'!$F:$F,'[1]Proyectos (NO FILTRAR)'!$B:$B)</f>
        <v>BR-ERC-UG-FEL00-152-A</v>
      </c>
      <c r="B8" s="293">
        <v>5</v>
      </c>
      <c r="C8" s="293" t="str">
        <f>+_xlfn.XLOOKUP(E8,'[1]Proyectos (NO FILTRAR)'!$F:$F,'[1]Proyectos (NO FILTRAR)'!$I:$I)</f>
        <v>EroCopper</v>
      </c>
      <c r="D8" s="293" t="str">
        <f>+_xlfn.XLOOKUP(E8,'[1]Proyectos (NO FILTRAR)'!$F:$F,'[1]Proyectos (NO FILTRAR)'!$G:$G)</f>
        <v>Brasil</v>
      </c>
      <c r="E8" s="294" t="s">
        <v>319</v>
      </c>
      <c r="F8" s="295" t="str">
        <f>+_xlfn.XLOOKUP(E8,'[1]Proyectos (NO FILTRAR)'!$F:$F,'[1]Proyectos (NO FILTRAR)'!$AA:$AA,"!",0,1)</f>
        <v>M.Fuentes</v>
      </c>
      <c r="G8" s="293">
        <v>8</v>
      </c>
      <c r="H8" s="296">
        <v>46041</v>
      </c>
      <c r="I8" s="293" t="s">
        <v>485</v>
      </c>
      <c r="J8" s="293" t="s">
        <v>485</v>
      </c>
      <c r="K8" s="293" t="s">
        <v>483</v>
      </c>
      <c r="L8" s="297">
        <f>+_xlfn.XLOOKUP($A8,'POM 2025'!$A:$A,'POM 2025'!$AU:$AU,0,0,1)</f>
        <v>47000</v>
      </c>
      <c r="M8" s="297"/>
      <c r="N8" s="297">
        <f>+_xlfn.XLOOKUP(A8,'POM 2025'!$A:$A,'POM 2025'!$AW:$AW,0,0,1)</f>
        <v>46571.709904761905</v>
      </c>
      <c r="O8" s="298">
        <f t="shared" si="0"/>
        <v>-428.29009523809509</v>
      </c>
      <c r="P8" s="168">
        <f t="shared" si="1"/>
        <v>-9.1125552178318112E-3</v>
      </c>
      <c r="Q8" s="299" t="s">
        <v>370</v>
      </c>
      <c r="R8" s="299"/>
      <c r="S8" s="300">
        <f t="shared" si="2"/>
        <v>0.99088744478216817</v>
      </c>
    </row>
    <row r="9" spans="1:19" ht="14.75" customHeight="1" x14ac:dyDescent="0.2">
      <c r="A9" s="292" t="str">
        <f>+_xlfn.XLOOKUP(E9,'[1]Proyectos (NO FILTRAR)'!$F:$F,'[1]Proyectos (NO FILTRAR)'!$B:$B)</f>
        <v>BR-EQG-UG-FEL03-172-A</v>
      </c>
      <c r="B9" s="293">
        <v>6</v>
      </c>
      <c r="C9" s="293" t="str">
        <f>+_xlfn.XLOOKUP(E9,'[1]Proyectos (NO FILTRAR)'!$F:$F,'[1]Proyectos (NO FILTRAR)'!$I:$I)</f>
        <v>Equinox Gold</v>
      </c>
      <c r="D9" s="293" t="str">
        <f>+_xlfn.XLOOKUP(E9,'[1]Proyectos (NO FILTRAR)'!$F:$F,'[1]Proyectos (NO FILTRAR)'!$G:$G)</f>
        <v>Brasil</v>
      </c>
      <c r="E9" s="294" t="s">
        <v>410</v>
      </c>
      <c r="F9" s="295" t="str">
        <f>+_xlfn.XLOOKUP(E9,'[1]Proyectos (NO FILTRAR)'!$F:$F,'[1]Proyectos (NO FILTRAR)'!$AA:$AA,"!",0,1)</f>
        <v>M.Fuentes</v>
      </c>
      <c r="G9" s="293">
        <v>5</v>
      </c>
      <c r="H9" s="296">
        <v>46042</v>
      </c>
      <c r="I9" s="293" t="s">
        <v>485</v>
      </c>
      <c r="J9" s="293" t="s">
        <v>483</v>
      </c>
      <c r="K9" s="293" t="s">
        <v>483</v>
      </c>
      <c r="L9" s="297">
        <f>+_xlfn.XLOOKUP($A9,'POM 2025'!$A:$A,'POM 2025'!$AU:$AU,0,0,1)</f>
        <v>45167.686199999996</v>
      </c>
      <c r="M9" s="297"/>
      <c r="N9" s="297">
        <f>+_xlfn.XLOOKUP(A9,'POM 2025'!$A:$A,'POM 2025'!$AW:$AW,0,0,1)</f>
        <v>47145</v>
      </c>
      <c r="O9" s="298">
        <f t="shared" si="0"/>
        <v>1977.3138000000035</v>
      </c>
      <c r="P9" s="168">
        <f t="shared" si="1"/>
        <v>4.3777177144841299E-2</v>
      </c>
      <c r="Q9" s="299" t="s">
        <v>370</v>
      </c>
      <c r="R9" s="299"/>
      <c r="S9" s="300">
        <f t="shared" si="2"/>
        <v>1</v>
      </c>
    </row>
    <row r="10" spans="1:19" ht="15" x14ac:dyDescent="0.2">
      <c r="A10" s="292" t="str">
        <f>+_xlfn.XLOOKUP(E10,'[1]Proyectos (NO FILTRAR)'!$F:$F,'[1]Proyectos (NO FILTRAR)'!$B:$B)</f>
        <v>PE-MMA-OP-FEL00-182-A</v>
      </c>
      <c r="B10" s="293">
        <v>7</v>
      </c>
      <c r="C10" s="293" t="str">
        <f>+_xlfn.XLOOKUP(E10,'[1]Proyectos (NO FILTRAR)'!$F:$F,'[1]Proyectos (NO FILTRAR)'!$I:$I)</f>
        <v>Miski Mayo</v>
      </c>
      <c r="D10" s="293" t="str">
        <f>+_xlfn.XLOOKUP(E10,'[1]Proyectos (NO FILTRAR)'!$F:$F,'[1]Proyectos (NO FILTRAR)'!$G:$G)</f>
        <v>Perú</v>
      </c>
      <c r="E10" s="294" t="s">
        <v>446</v>
      </c>
      <c r="F10" s="295" t="str">
        <f>+_xlfn.XLOOKUP(E10,'[1]Proyectos (NO FILTRAR)'!$F:$F,'[1]Proyectos (NO FILTRAR)'!$AA:$AA,"!",0,1)</f>
        <v>M.Fuentes</v>
      </c>
      <c r="G10" s="293">
        <v>3</v>
      </c>
      <c r="H10" s="296">
        <v>46048</v>
      </c>
      <c r="I10" s="293" t="s">
        <v>485</v>
      </c>
      <c r="J10" s="293" t="s">
        <v>483</v>
      </c>
      <c r="K10" s="293" t="s">
        <v>483</v>
      </c>
      <c r="L10" s="297">
        <f>+_xlfn.XLOOKUP($A10,'POM 2025'!$A:$A,'POM 2025'!$AU:$AU,0,0,1)</f>
        <v>43000</v>
      </c>
      <c r="M10" s="297"/>
      <c r="N10" s="297">
        <f>+_xlfn.XLOOKUP(A10,'POM 2025'!$A:$A,'POM 2025'!$AW:$AW,0,0,1)</f>
        <v>46313</v>
      </c>
      <c r="O10" s="298">
        <f t="shared" si="0"/>
        <v>3313</v>
      </c>
      <c r="P10" s="168">
        <f t="shared" si="1"/>
        <v>7.7046511627906974E-2</v>
      </c>
      <c r="Q10" s="299" t="s">
        <v>370</v>
      </c>
      <c r="R10" s="299"/>
      <c r="S10" s="300">
        <f t="shared" si="2"/>
        <v>1</v>
      </c>
    </row>
    <row r="11" spans="1:19" ht="15" x14ac:dyDescent="0.2">
      <c r="A11" s="292" t="str">
        <f>+_xlfn.XLOOKUP(E11,'[1]Proyectos (NO FILTRAR)'!$F:$F,'[1]Proyectos (NO FILTRAR)'!$B:$B)</f>
        <v>PE-CSC-CS-OTR00-192-A</v>
      </c>
      <c r="B11" s="293">
        <v>8</v>
      </c>
      <c r="C11" s="301" t="str">
        <f>+_xlfn.XLOOKUP(E11,'[1]Proyectos (NO FILTRAR)'!$F:$F,'[1]Proyectos (NO FILTRAR)'!$I:$I)</f>
        <v>CD Capital</v>
      </c>
      <c r="D11" s="301" t="str">
        <f>+_xlfn.XLOOKUP(E11,'[1]Proyectos (NO FILTRAR)'!$F:$F,'[1]Proyectos (NO FILTRAR)'!$G:$G)</f>
        <v>Perú</v>
      </c>
      <c r="E11" s="294" t="s">
        <v>459</v>
      </c>
      <c r="F11" s="295" t="str">
        <f>+_xlfn.XLOOKUP(E11,'[1]Proyectos (NO FILTRAR)'!$F:$F,'[1]Proyectos (NO FILTRAR)'!$AA:$AA,"!",0,1)</f>
        <v>M.Fuentes</v>
      </c>
      <c r="G11" s="293"/>
      <c r="H11" s="296"/>
      <c r="I11" s="293" t="s">
        <v>483</v>
      </c>
      <c r="J11" s="293" t="s">
        <v>483</v>
      </c>
      <c r="K11" s="293" t="s">
        <v>483</v>
      </c>
      <c r="L11" s="297">
        <f>+_xlfn.XLOOKUP($A11,'POM 2025'!$A:$A,'POM 2025'!$AU:$AU,0,0,1)</f>
        <v>41284</v>
      </c>
      <c r="M11" s="297"/>
      <c r="N11" s="297">
        <f>+_xlfn.XLOOKUP(A11,'POM 2025'!$A:$A,'POM 2025'!$AW:$AW,0,0,1)</f>
        <v>51680</v>
      </c>
      <c r="O11" s="298">
        <f t="shared" si="0"/>
        <v>10396</v>
      </c>
      <c r="P11" s="168">
        <f t="shared" si="1"/>
        <v>0.25181668442980332</v>
      </c>
      <c r="Q11" s="299" t="s">
        <v>370</v>
      </c>
      <c r="R11" s="299"/>
      <c r="S11" s="300">
        <f t="shared" si="2"/>
        <v>1</v>
      </c>
    </row>
    <row r="12" spans="1:19" ht="15" x14ac:dyDescent="0.2">
      <c r="A12" s="292" t="str">
        <f>+_xlfn.XLOOKUP(E12,'[1]Proyectos (NO FILTRAR)'!$F:$F,'[1]Proyectos (NO FILTRAR)'!$B:$B)</f>
        <v>PE-ALP-GM-FEL00-156-A</v>
      </c>
      <c r="B12" s="293">
        <v>9</v>
      </c>
      <c r="C12" s="293" t="str">
        <f>+_xlfn.XLOOKUP(E12,'[1]Proyectos (NO FILTRAR)'!$F:$F,'[1]Proyectos (NO FILTRAR)'!$I:$I)</f>
        <v>Alpayana</v>
      </c>
      <c r="D12" s="293" t="str">
        <f>+_xlfn.XLOOKUP(E12,'[1]Proyectos (NO FILTRAR)'!$F:$F,'[1]Proyectos (NO FILTRAR)'!$G:$G)</f>
        <v>Perú</v>
      </c>
      <c r="E12" s="294" t="s">
        <v>323</v>
      </c>
      <c r="F12" s="295" t="str">
        <f>+_xlfn.XLOOKUP(E12,'[1]Proyectos (NO FILTRAR)'!$F:$F,'[1]Proyectos (NO FILTRAR)'!$AA:$AA,"!",0,1)</f>
        <v>C.Hernandez</v>
      </c>
      <c r="G12" s="293"/>
      <c r="H12" s="296"/>
      <c r="I12" s="293" t="s">
        <v>483</v>
      </c>
      <c r="J12" s="293" t="s">
        <v>483</v>
      </c>
      <c r="K12" s="293" t="s">
        <v>483</v>
      </c>
      <c r="L12" s="297">
        <f>+_xlfn.XLOOKUP($A12,'POM 2025'!$A:$A,'POM 2025'!$AU:$AU,0,0,1)</f>
        <v>40000</v>
      </c>
      <c r="M12" s="297"/>
      <c r="N12" s="297">
        <f>+_xlfn.XLOOKUP(A12,'POM 2025'!$A:$A,'POM 2025'!$AW:$AW,0,0,1)</f>
        <v>36078</v>
      </c>
      <c r="O12" s="298">
        <f t="shared" si="0"/>
        <v>-3922</v>
      </c>
      <c r="P12" s="168">
        <f t="shared" si="1"/>
        <v>-9.8049999999999998E-2</v>
      </c>
      <c r="Q12" s="299" t="s">
        <v>370</v>
      </c>
      <c r="R12" s="299"/>
      <c r="S12" s="300">
        <f t="shared" si="2"/>
        <v>0.90195000000000003</v>
      </c>
    </row>
    <row r="13" spans="1:19" ht="15" x14ac:dyDescent="0.2">
      <c r="A13" s="292" t="str">
        <f>+_xlfn.XLOOKUP(E13,'[1]Proyectos (NO FILTRAR)'!$F:$F,'[1]Proyectos (NO FILTRAR)'!$B:$B)</f>
        <v>RU-POL-OP-FEL00-173-A</v>
      </c>
      <c r="B13" s="293">
        <v>10</v>
      </c>
      <c r="C13" s="293" t="str">
        <f>+_xlfn.XLOOKUP(E13,'[1]Proyectos (NO FILTRAR)'!$F:$F,'[1]Proyectos (NO FILTRAR)'!$I:$I)</f>
        <v>Polyus</v>
      </c>
      <c r="D13" s="293" t="str">
        <f>+_xlfn.XLOOKUP(E13,'[1]Proyectos (NO FILTRAR)'!$F:$F,'[1]Proyectos (NO FILTRAR)'!$G:$G)</f>
        <v>Rusia</v>
      </c>
      <c r="E13" s="294" t="s">
        <v>411</v>
      </c>
      <c r="F13" s="295" t="str">
        <f>+_xlfn.XLOOKUP(E13,'[1]Proyectos (NO FILTRAR)'!$F:$F,'[1]Proyectos (NO FILTRAR)'!$AA:$AA,"!",0,1)</f>
        <v>C.Hernandez</v>
      </c>
      <c r="G13" s="293"/>
      <c r="H13" s="296"/>
      <c r="I13" s="293" t="s">
        <v>483</v>
      </c>
      <c r="J13" s="293" t="s">
        <v>483</v>
      </c>
      <c r="K13" s="293" t="s">
        <v>483</v>
      </c>
      <c r="L13" s="297">
        <f>+_xlfn.XLOOKUP($A13,'POM 2025'!$A:$A,'POM 2025'!$AU:$AU,0,0,1)</f>
        <v>33597</v>
      </c>
      <c r="M13" s="297"/>
      <c r="N13" s="297">
        <f>+_xlfn.XLOOKUP(A13,'POM 2025'!$A:$A,'POM 2025'!$AW:$AW,0,0,1)</f>
        <v>0</v>
      </c>
      <c r="O13" s="298">
        <f t="shared" si="0"/>
        <v>-33597</v>
      </c>
      <c r="P13" s="168">
        <f t="shared" si="1"/>
        <v>-1</v>
      </c>
      <c r="Q13" s="299" t="s">
        <v>370</v>
      </c>
      <c r="R13" s="299"/>
      <c r="S13" s="300">
        <f t="shared" si="2"/>
        <v>0</v>
      </c>
    </row>
    <row r="14" spans="1:19" ht="15" x14ac:dyDescent="0.2">
      <c r="A14" s="292" t="str">
        <f>+_xlfn.XLOOKUP(E14,'[1]Proyectos (NO FILTRAR)'!$F:$F,'[1]Proyectos (NO FILTRAR)'!$B:$B)</f>
        <v>OT-RES-CS-OTR00-178-A</v>
      </c>
      <c r="B14" s="293">
        <v>11</v>
      </c>
      <c r="C14" s="293" t="str">
        <f>+_xlfn.XLOOKUP(E14,'[1]Proyectos (NO FILTRAR)'!$F:$F,'[1]Proyectos (NO FILTRAR)'!$I:$I)</f>
        <v>Resolution</v>
      </c>
      <c r="D14" s="293" t="str">
        <f>+_xlfn.XLOOKUP(E14,'[1]Proyectos (NO FILTRAR)'!$F:$F,'[1]Proyectos (NO FILTRAR)'!$G:$G)</f>
        <v>Otros</v>
      </c>
      <c r="E14" s="294" t="s">
        <v>437</v>
      </c>
      <c r="F14" s="294" t="str">
        <f>+_xlfn.XLOOKUP(E14,'[1]Proyectos (NO FILTRAR)'!$F:$F,'[1]Proyectos (NO FILTRAR)'!$AA:$AA,"!",0,1)</f>
        <v>M.Fuentes</v>
      </c>
      <c r="G14" s="293">
        <v>4</v>
      </c>
      <c r="H14" s="296">
        <v>46049</v>
      </c>
      <c r="I14" s="293" t="s">
        <v>485</v>
      </c>
      <c r="J14" s="293" t="s">
        <v>483</v>
      </c>
      <c r="K14" s="293" t="s">
        <v>483</v>
      </c>
      <c r="L14" s="297">
        <f>+_xlfn.XLOOKUP($A14,'POM 2025'!$A:$A,'POM 2025'!$AU:$AU,0,0,1)</f>
        <v>20000</v>
      </c>
      <c r="M14" s="297"/>
      <c r="N14" s="297">
        <f>+_xlfn.XLOOKUP(A14,'POM 2025'!$A:$A,'POM 2025'!$AW:$AW,0,0,1)</f>
        <v>38737</v>
      </c>
      <c r="O14" s="298">
        <f t="shared" si="0"/>
        <v>18737</v>
      </c>
      <c r="P14" s="168">
        <f t="shared" si="1"/>
        <v>0.93684999999999996</v>
      </c>
      <c r="Q14" s="299" t="s">
        <v>370</v>
      </c>
      <c r="R14" s="299"/>
      <c r="S14" s="300">
        <f t="shared" si="2"/>
        <v>1</v>
      </c>
    </row>
    <row r="15" spans="1:19" ht="15" x14ac:dyDescent="0.2">
      <c r="A15" s="292" t="str">
        <f>+_xlfn.XLOOKUP(E15,'[1]Proyectos (NO FILTRAR)'!$F:$F,'[1]Proyectos (NO FILTRAR)'!$B:$B)</f>
        <v>CH-COL-CS-OTR00-185-A</v>
      </c>
      <c r="B15" s="293">
        <v>12</v>
      </c>
      <c r="C15" s="293" t="str">
        <f>+_xlfn.XLOOKUP(E15,'[1]Proyectos (NO FILTRAR)'!$F:$F,'[1]Proyectos (NO FILTRAR)'!$I:$I)</f>
        <v>Collahuasi</v>
      </c>
      <c r="D15" s="293" t="str">
        <f>+_xlfn.XLOOKUP(E15,'[1]Proyectos (NO FILTRAR)'!$F:$F,'[1]Proyectos (NO FILTRAR)'!$G:$G)</f>
        <v>Chile</v>
      </c>
      <c r="E15" s="294" t="s">
        <v>451</v>
      </c>
      <c r="F15" s="295" t="str">
        <f>+_xlfn.XLOOKUP(E15,'[1]Proyectos (NO FILTRAR)'!$F:$F,'[1]Proyectos (NO FILTRAR)'!$AA:$AA,"!",0,1)</f>
        <v>J.F. San Martin</v>
      </c>
      <c r="G15" s="293"/>
      <c r="H15" s="296"/>
      <c r="I15" s="293" t="s">
        <v>483</v>
      </c>
      <c r="J15" s="293" t="s">
        <v>483</v>
      </c>
      <c r="K15" s="293" t="s">
        <v>483</v>
      </c>
      <c r="L15" s="297">
        <f>+_xlfn.XLOOKUP($A15,'POM 2025'!$A:$A,'POM 2025'!$AU:$AU,0,0,1)</f>
        <v>20000</v>
      </c>
      <c r="M15" s="297"/>
      <c r="N15" s="297">
        <f>+_xlfn.XLOOKUP(A15,'POM 2025'!$A:$A,'POM 2025'!$AW:$AW,0,0,1)</f>
        <v>0</v>
      </c>
      <c r="O15" s="298">
        <f t="shared" si="0"/>
        <v>-20000</v>
      </c>
      <c r="P15" s="168">
        <f t="shared" si="1"/>
        <v>-1</v>
      </c>
      <c r="Q15" s="299" t="s">
        <v>370</v>
      </c>
      <c r="R15" s="299"/>
      <c r="S15" s="300">
        <f t="shared" si="2"/>
        <v>0</v>
      </c>
    </row>
    <row r="16" spans="1:19" ht="15" x14ac:dyDescent="0.2">
      <c r="A16" s="292" t="str">
        <f>+_xlfn.XLOOKUP(E16,'[1]Proyectos (NO FILTRAR)'!$F:$F,'[1]Proyectos (NO FILTRAR)'!$B:$B)</f>
        <v>PE-BRO-GM-FEL00-191-A</v>
      </c>
      <c r="B16" s="293">
        <v>13</v>
      </c>
      <c r="C16" s="293" t="str">
        <f>+_xlfn.XLOOKUP(E16,'[1]Proyectos (NO FILTRAR)'!$F:$F,'[1]Proyectos (NO FILTRAR)'!$I:$I)</f>
        <v>El Brocal</v>
      </c>
      <c r="D16" s="293" t="str">
        <f>+_xlfn.XLOOKUP(E16,'[1]Proyectos (NO FILTRAR)'!$F:$F,'[1]Proyectos (NO FILTRAR)'!$G:$G)</f>
        <v>Perú</v>
      </c>
      <c r="E16" s="294" t="s">
        <v>457</v>
      </c>
      <c r="F16" s="295" t="str">
        <f>+_xlfn.XLOOKUP(E16,'[1]Proyectos (NO FILTRAR)'!$F:$F,'[1]Proyectos (NO FILTRAR)'!$AA:$AA,"!",0,1)</f>
        <v>C.Hernandez</v>
      </c>
      <c r="G16" s="293">
        <v>1</v>
      </c>
      <c r="H16" s="296">
        <v>46048</v>
      </c>
      <c r="I16" s="293" t="s">
        <v>485</v>
      </c>
      <c r="J16" s="293" t="s">
        <v>483</v>
      </c>
      <c r="K16" s="293" t="s">
        <v>483</v>
      </c>
      <c r="L16" s="297">
        <f>+_xlfn.XLOOKUP($A16,'POM 2025'!$A:$A,'POM 2025'!$AU:$AU,0,0,1)</f>
        <v>20000</v>
      </c>
      <c r="M16" s="297"/>
      <c r="N16" s="297">
        <f>+_xlfn.XLOOKUP(A16,'POM 2025'!$A:$A,'POM 2025'!$AW:$AW,0,0,1)</f>
        <v>9596</v>
      </c>
      <c r="O16" s="298">
        <f t="shared" si="0"/>
        <v>-10404</v>
      </c>
      <c r="P16" s="168">
        <f t="shared" si="1"/>
        <v>-0.5202</v>
      </c>
      <c r="Q16" s="299" t="s">
        <v>370</v>
      </c>
      <c r="R16" s="299"/>
      <c r="S16" s="300">
        <f t="shared" si="2"/>
        <v>0.4798</v>
      </c>
    </row>
    <row r="17" spans="1:20" ht="15" x14ac:dyDescent="0.2">
      <c r="A17" s="292" t="str">
        <f>+_xlfn.XLOOKUP(E17,'[1]Proyectos (NO FILTRAR)'!$F:$F,'[1]Proyectos (NO FILTRAR)'!$B:$B)</f>
        <v>BR-AUM-UG-FEL2A-181-A</v>
      </c>
      <c r="B17" s="293">
        <v>14</v>
      </c>
      <c r="C17" s="293" t="str">
        <f>+_xlfn.XLOOKUP(E17,'[1]Proyectos (NO FILTRAR)'!$F:$F,'[1]Proyectos (NO FILTRAR)'!$I:$I)</f>
        <v>AuraMinerals</v>
      </c>
      <c r="D17" s="293" t="str">
        <f>+_xlfn.XLOOKUP(E17,'[1]Proyectos (NO FILTRAR)'!$F:$F,'[1]Proyectos (NO FILTRAR)'!$G:$G)</f>
        <v>Brasil</v>
      </c>
      <c r="E17" s="294" t="s">
        <v>448</v>
      </c>
      <c r="F17" s="295" t="str">
        <f>+_xlfn.XLOOKUP(E17,'[1]Proyectos (NO FILTRAR)'!$F:$F,'[1]Proyectos (NO FILTRAR)'!$AA:$AA,"!",0,1)</f>
        <v>M.Fuentes</v>
      </c>
      <c r="G17" s="293">
        <v>3</v>
      </c>
      <c r="H17" s="296">
        <v>46042</v>
      </c>
      <c r="I17" s="293" t="s">
        <v>485</v>
      </c>
      <c r="J17" s="293" t="s">
        <v>483</v>
      </c>
      <c r="K17" s="293" t="s">
        <v>483</v>
      </c>
      <c r="L17" s="297">
        <f>+_xlfn.XLOOKUP($A17,'POM 2025'!$A:$A,'POM 2025'!$AU:$AU,0,0,1)</f>
        <v>18000</v>
      </c>
      <c r="M17" s="297"/>
      <c r="N17" s="297">
        <f>+_xlfn.XLOOKUP(A17,'POM 2025'!$A:$A,'POM 2025'!$AW:$AW,0,0,1)</f>
        <v>15152</v>
      </c>
      <c r="O17" s="298">
        <f t="shared" si="0"/>
        <v>-2848</v>
      </c>
      <c r="P17" s="168">
        <f t="shared" si="1"/>
        <v>-0.15822222222222221</v>
      </c>
      <c r="Q17" s="299" t="s">
        <v>370</v>
      </c>
      <c r="R17" s="299"/>
      <c r="S17" s="300">
        <f t="shared" si="2"/>
        <v>0.84177777777777774</v>
      </c>
    </row>
    <row r="18" spans="1:20" ht="15" x14ac:dyDescent="0.2">
      <c r="A18" s="292" t="str">
        <f>+_xlfn.XLOOKUP(E18,'[1]Proyectos (NO FILTRAR)'!$F:$F,'[1]Proyectos (NO FILTRAR)'!$B:$B)</f>
        <v>CH-COD-UG-FEL00-174-A</v>
      </c>
      <c r="B18" s="293">
        <v>15</v>
      </c>
      <c r="C18" s="293" t="str">
        <f>+_xlfn.XLOOKUP(E18,'[1]Proyectos (NO FILTRAR)'!$F:$F,'[1]Proyectos (NO FILTRAR)'!$I:$I)</f>
        <v>Codelco</v>
      </c>
      <c r="D18" s="293" t="str">
        <f>+_xlfn.XLOOKUP(E18,'[1]Proyectos (NO FILTRAR)'!$F:$F,'[1]Proyectos (NO FILTRAR)'!$G:$G)</f>
        <v>Chile</v>
      </c>
      <c r="E18" s="294" t="s">
        <v>412</v>
      </c>
      <c r="F18" s="295" t="str">
        <f>+_xlfn.XLOOKUP(E18,'[1]Proyectos (NO FILTRAR)'!$F:$F,'[1]Proyectos (NO FILTRAR)'!$AA:$AA,"!",0,1)</f>
        <v>M.Fuentes</v>
      </c>
      <c r="G18" s="293"/>
      <c r="H18" s="296"/>
      <c r="I18" s="293" t="s">
        <v>483</v>
      </c>
      <c r="J18" s="293" t="s">
        <v>483</v>
      </c>
      <c r="K18" s="293" t="s">
        <v>483</v>
      </c>
      <c r="L18" s="297">
        <f>+_xlfn.XLOOKUP($A18,'POM 2025'!$A:$A,'POM 2025'!$AU:$AU,0,0,1)</f>
        <v>17056</v>
      </c>
      <c r="M18" s="297"/>
      <c r="N18" s="297">
        <f>+_xlfn.XLOOKUP(A18,'POM 2025'!$A:$A,'POM 2025'!$AW:$AW,0,0,1)</f>
        <v>0</v>
      </c>
      <c r="O18" s="298">
        <f t="shared" si="0"/>
        <v>-17056</v>
      </c>
      <c r="P18" s="168">
        <f t="shared" si="1"/>
        <v>-1</v>
      </c>
      <c r="Q18" s="299" t="s">
        <v>370</v>
      </c>
      <c r="R18" s="299"/>
      <c r="S18" s="300">
        <f t="shared" si="2"/>
        <v>0</v>
      </c>
    </row>
    <row r="19" spans="1:20" ht="15" x14ac:dyDescent="0.2">
      <c r="A19" s="292" t="str">
        <f>+_xlfn.XLOOKUP(E19,'[1]Proyectos (NO FILTRAR)'!$F:$F,'[1]Proyectos (NO FILTRAR)'!$B:$B)</f>
        <v>CH-AMS-OP-FEL00-171-A</v>
      </c>
      <c r="B19" s="293">
        <v>16</v>
      </c>
      <c r="C19" s="293" t="str">
        <f>+_xlfn.XLOOKUP(E19,'[1]Proyectos (NO FILTRAR)'!$F:$F,'[1]Proyectos (NO FILTRAR)'!$I:$I)</f>
        <v>AMSA</v>
      </c>
      <c r="D19" s="293" t="str">
        <f>+_xlfn.XLOOKUP(E19,'[1]Proyectos (NO FILTRAR)'!$F:$F,'[1]Proyectos (NO FILTRAR)'!$G:$G)</f>
        <v>Chile</v>
      </c>
      <c r="E19" s="294" t="s">
        <v>409</v>
      </c>
      <c r="F19" s="295" t="str">
        <f>+_xlfn.XLOOKUP(E19,'[1]Proyectos (NO FILTRAR)'!$F:$F,'[1]Proyectos (NO FILTRAR)'!$AA:$AA,"!",0,1)</f>
        <v>J.F. San Martin</v>
      </c>
      <c r="G19" s="293"/>
      <c r="H19" s="296"/>
      <c r="I19" s="293" t="s">
        <v>483</v>
      </c>
      <c r="J19" s="293" t="s">
        <v>483</v>
      </c>
      <c r="K19" s="293" t="s">
        <v>483</v>
      </c>
      <c r="L19" s="297">
        <f>+_xlfn.XLOOKUP($A19,'POM 2025'!$A:$A,'POM 2025'!$AU:$AU,0,0,1)</f>
        <v>11964</v>
      </c>
      <c r="M19" s="297"/>
      <c r="N19" s="297">
        <f>+_xlfn.XLOOKUP(A19,'POM 2025'!$A:$A,'POM 2025'!$AW:$AW,0,0,1)</f>
        <v>0</v>
      </c>
      <c r="O19" s="298">
        <f t="shared" si="0"/>
        <v>-11964</v>
      </c>
      <c r="P19" s="168">
        <f t="shared" si="1"/>
        <v>-1</v>
      </c>
      <c r="Q19" s="299" t="s">
        <v>370</v>
      </c>
      <c r="R19" s="299"/>
      <c r="S19" s="300">
        <f t="shared" si="2"/>
        <v>0</v>
      </c>
    </row>
    <row r="20" spans="1:20" ht="15" x14ac:dyDescent="0.2">
      <c r="A20" s="292" t="str">
        <f>+_xlfn.XLOOKUP(E20,'[1]Proyectos (NO FILTRAR)'!$F:$F,'[1]Proyectos (NO FILTRAR)'!$B:$B)</f>
        <v>PE-SPM-UG-FEL03-160-A</v>
      </c>
      <c r="B20" s="293">
        <v>17</v>
      </c>
      <c r="C20" s="293" t="str">
        <f>+_xlfn.XLOOKUP(E20,'[1]Proyectos (NO FILTRAR)'!$F:$F,'[1]Proyectos (NO FILTRAR)'!$I:$I)</f>
        <v>Santander Peruvian Mine</v>
      </c>
      <c r="D20" s="293" t="str">
        <f>+_xlfn.XLOOKUP(E20,'[1]Proyectos (NO FILTRAR)'!$F:$F,'[1]Proyectos (NO FILTRAR)'!$G:$G)</f>
        <v>Perú</v>
      </c>
      <c r="E20" s="294" t="s">
        <v>327</v>
      </c>
      <c r="F20" s="295" t="str">
        <f>+_xlfn.XLOOKUP(E20,'[1]Proyectos (NO FILTRAR)'!$F:$F,'[1]Proyectos (NO FILTRAR)'!$AA:$AA,"!",0,1)</f>
        <v>M.Fuentes</v>
      </c>
      <c r="G20" s="293"/>
      <c r="H20" s="296"/>
      <c r="I20" s="293" t="s">
        <v>483</v>
      </c>
      <c r="J20" s="293" t="s">
        <v>483</v>
      </c>
      <c r="K20" s="293" t="s">
        <v>483</v>
      </c>
      <c r="L20" s="297">
        <f>+_xlfn.XLOOKUP($A20,'POM 2025'!$A:$A,'POM 2025'!$AU:$AU,0,0,1)</f>
        <v>5034</v>
      </c>
      <c r="M20" s="297"/>
      <c r="N20" s="297">
        <f>+_xlfn.XLOOKUP(A20,'POM 2025'!$A:$A,'POM 2025'!$AW:$AW,0,0,1)</f>
        <v>0</v>
      </c>
      <c r="O20" s="298">
        <f t="shared" si="0"/>
        <v>-5034</v>
      </c>
      <c r="P20" s="168">
        <f t="shared" si="1"/>
        <v>-1</v>
      </c>
      <c r="Q20" s="299" t="s">
        <v>370</v>
      </c>
      <c r="R20" s="299"/>
      <c r="S20" s="300">
        <f t="shared" si="2"/>
        <v>0</v>
      </c>
    </row>
    <row r="21" spans="1:20" s="302" customFormat="1" ht="15" customHeight="1" x14ac:dyDescent="0.2">
      <c r="B21" s="368" t="s">
        <v>486</v>
      </c>
      <c r="C21" s="368"/>
      <c r="D21" s="368"/>
      <c r="E21" s="368"/>
      <c r="F21" s="368"/>
      <c r="G21" s="368"/>
      <c r="H21" s="368"/>
      <c r="I21" s="368"/>
      <c r="J21" s="368"/>
      <c r="K21" s="290"/>
      <c r="L21" s="303">
        <f>+SUBTOTAL(9,L4:L20)</f>
        <v>1785615.6861999999</v>
      </c>
      <c r="M21" s="303"/>
      <c r="N21" s="303">
        <f>+SUBTOTAL(9,N4:N20)</f>
        <v>291272.70990476187</v>
      </c>
      <c r="O21" s="303">
        <f t="shared" si="0"/>
        <v>-1494342.9762952379</v>
      </c>
      <c r="P21" s="304">
        <f t="shared" si="1"/>
        <v>-0.8368782755685662</v>
      </c>
      <c r="Q21" s="303"/>
      <c r="R21" s="303"/>
      <c r="S21" s="305">
        <f>+AVERAGE(S4:S20)</f>
        <v>0.42437736603293802</v>
      </c>
    </row>
    <row r="22" spans="1:20" x14ac:dyDescent="0.2">
      <c r="B22" s="306"/>
      <c r="C22" s="307"/>
      <c r="D22" s="307"/>
      <c r="E22" s="307"/>
      <c r="F22" s="307"/>
      <c r="G22" s="307"/>
      <c r="H22" s="307"/>
      <c r="I22" s="307"/>
      <c r="J22" s="307"/>
      <c r="K22" s="307"/>
      <c r="L22" s="307"/>
      <c r="M22" s="307"/>
      <c r="N22" s="307"/>
      <c r="O22" s="307"/>
      <c r="P22" s="307"/>
      <c r="Q22" s="307"/>
      <c r="R22" s="307"/>
    </row>
    <row r="23" spans="1:20" ht="15" x14ac:dyDescent="0.2">
      <c r="A23" s="292" t="str">
        <f>+_xlfn.XLOOKUP(E23,'[1]Proyectos (NO FILTRAR)'!$F:$F,'[1]Proyectos (NO FILTRAR)'!$B:$B)</f>
        <v>BR-CBM-CS-OTR00-164-A</v>
      </c>
      <c r="B23" s="293">
        <v>18</v>
      </c>
      <c r="C23" s="293" t="str">
        <f>+_xlfn.XLOOKUP(E23,'[1]Proyectos (NO FILTRAR)'!$F:$F,'[1]Proyectos (NO FILTRAR)'!$I:$I)</f>
        <v>CBMM</v>
      </c>
      <c r="D23" s="293" t="str">
        <f>+_xlfn.XLOOKUP(E23,'[1]Proyectos (NO FILTRAR)'!$F:$F,'[1]Proyectos (NO FILTRAR)'!$G:$G)</f>
        <v>Brasil</v>
      </c>
      <c r="E23" s="301" t="s">
        <v>344</v>
      </c>
      <c r="F23" s="295" t="str">
        <f>+_xlfn.XLOOKUP(E23,'[1]Proyectos (NO FILTRAR)'!$F:$F,'[1]Proyectos (NO FILTRAR)'!$AA:$AA,"!",0,1)</f>
        <v>M.Fuentes</v>
      </c>
      <c r="G23" s="293">
        <v>4</v>
      </c>
      <c r="H23" s="296">
        <v>46044</v>
      </c>
      <c r="I23" s="293" t="s">
        <v>485</v>
      </c>
      <c r="J23" s="293" t="s">
        <v>485</v>
      </c>
      <c r="K23" s="293" t="s">
        <v>483</v>
      </c>
      <c r="L23" s="298">
        <f>+_xlfn.XLOOKUP($A23,'POM 2025'!$A:$A,'POM 2025'!$AU:$AU,0,0,1)</f>
        <v>0</v>
      </c>
      <c r="M23" s="298"/>
      <c r="N23" s="297">
        <f>+_xlfn.XLOOKUP(A23,'POM 2025'!$A:$A,'POM 2025'!$AW:$AW,0,0,1)</f>
        <v>7778</v>
      </c>
      <c r="O23" s="298">
        <f>+N23-L23</f>
        <v>7778</v>
      </c>
      <c r="P23" s="168">
        <f>+IFERROR(O23/L23,0)</f>
        <v>0</v>
      </c>
      <c r="Q23" s="299" t="s">
        <v>370</v>
      </c>
      <c r="R23" s="299"/>
    </row>
    <row r="24" spans="1:20" x14ac:dyDescent="0.2">
      <c r="B24" s="368" t="s">
        <v>487</v>
      </c>
      <c r="C24" s="368"/>
      <c r="D24" s="368"/>
      <c r="E24" s="368"/>
      <c r="F24" s="368"/>
      <c r="G24" s="368"/>
      <c r="H24" s="368"/>
      <c r="I24" s="368"/>
      <c r="J24" s="368"/>
      <c r="K24" s="290"/>
      <c r="L24" s="303">
        <f>+SUM(L23:L23)</f>
        <v>0</v>
      </c>
      <c r="M24" s="303"/>
      <c r="N24" s="303">
        <f>+SUM(N23:N23)</f>
        <v>7778</v>
      </c>
      <c r="O24" s="303">
        <f>+SUM(O23:O23)</f>
        <v>7778</v>
      </c>
      <c r="P24" s="304">
        <f>+IFERROR(O24/L24,0)</f>
        <v>0</v>
      </c>
      <c r="Q24" s="303"/>
      <c r="R24" s="303"/>
    </row>
    <row r="25" spans="1:20" hidden="1" x14ac:dyDescent="0.2">
      <c r="B25" s="308"/>
      <c r="C25" s="308"/>
      <c r="D25" s="308"/>
      <c r="E25" s="309"/>
      <c r="F25" s="308"/>
      <c r="G25" s="308"/>
      <c r="H25" s="310"/>
      <c r="I25" s="308"/>
      <c r="J25" s="308"/>
      <c r="K25" s="307"/>
      <c r="L25" s="311"/>
      <c r="M25" s="311"/>
      <c r="N25" s="311"/>
      <c r="O25" s="311"/>
      <c r="P25" s="312"/>
      <c r="Q25" s="313"/>
      <c r="R25" s="313"/>
    </row>
    <row r="26" spans="1:20" ht="15" hidden="1" x14ac:dyDescent="0.2">
      <c r="A26" s="292">
        <f>+_xlfn.XLOOKUP(E26,'[1]Proyectos (NO FILTRAR)'!$F:$F,'[1]Proyectos (NO FILTRAR)'!$B:$B)</f>
        <v>0</v>
      </c>
      <c r="B26" s="293">
        <v>16</v>
      </c>
      <c r="C26" s="293">
        <f>+_xlfn.XLOOKUP(E26,'[1]Proyectos (NO FILTRAR)'!$F:$F,'[1]Proyectos (NO FILTRAR)'!$I:$I)</f>
        <v>0</v>
      </c>
      <c r="D26" s="293">
        <f>+_xlfn.XLOOKUP(E26,'[1]Proyectos (NO FILTRAR)'!$F:$F,'[1]Proyectos (NO FILTRAR)'!$G:$G)</f>
        <v>0</v>
      </c>
      <c r="E26" s="301"/>
      <c r="F26" s="295">
        <f>+_xlfn.XLOOKUP(E26,'[1]Proyectos (NO FILTRAR)'!$F:$F,'[1]Proyectos (NO FILTRAR)'!$AA:$AA,"",0,1)</f>
        <v>0</v>
      </c>
      <c r="G26" s="293">
        <v>7</v>
      </c>
      <c r="H26" s="296"/>
      <c r="I26" s="293"/>
      <c r="J26" s="293"/>
      <c r="K26" s="293"/>
      <c r="L26" s="298">
        <f>+_xlfn.XLOOKUP($A26,'POM 2025__old'!$A:$A,'POM 2025__old'!$AO:$AO,0,0,1)</f>
        <v>0</v>
      </c>
      <c r="M26" s="298"/>
      <c r="N26" s="297">
        <f>+_xlfn.XLOOKUP(A26,'POM 2025__old'!$A:$A,'POM 2025__old'!$AP:$AP,0,0,1)</f>
        <v>0</v>
      </c>
      <c r="O26" s="298">
        <f>+N26-L26</f>
        <v>0</v>
      </c>
      <c r="P26" s="168">
        <f>+IFERROR(O26/L26,0)</f>
        <v>0</v>
      </c>
      <c r="Q26" s="299" t="s">
        <v>371</v>
      </c>
      <c r="R26" s="299"/>
    </row>
    <row r="27" spans="1:20" hidden="1" x14ac:dyDescent="0.2">
      <c r="B27" s="369" t="s">
        <v>487</v>
      </c>
      <c r="C27" s="369"/>
      <c r="D27" s="369"/>
      <c r="E27" s="369"/>
      <c r="F27" s="369"/>
      <c r="G27" s="369"/>
      <c r="H27" s="369"/>
      <c r="I27" s="369"/>
      <c r="J27" s="369"/>
      <c r="K27" s="314"/>
      <c r="L27" s="315">
        <f>+SUM(L26:L26)</f>
        <v>0</v>
      </c>
      <c r="M27" s="315"/>
      <c r="N27" s="315">
        <f>+SUM(N26:N26)</f>
        <v>0</v>
      </c>
      <c r="O27" s="315">
        <f>+SUM(O26:O26)</f>
        <v>0</v>
      </c>
      <c r="P27" s="316">
        <f>+IFERROR(O27/L27,0)</f>
        <v>0</v>
      </c>
      <c r="Q27" s="315"/>
      <c r="R27" s="315"/>
    </row>
    <row r="28" spans="1:20" x14ac:dyDescent="0.2">
      <c r="B28" s="308"/>
      <c r="C28" s="308"/>
      <c r="D28" s="308"/>
      <c r="E28" s="309"/>
      <c r="F28" s="308"/>
      <c r="G28" s="308"/>
      <c r="H28" s="310"/>
      <c r="I28" s="308"/>
      <c r="J28" s="308"/>
      <c r="K28" s="307"/>
      <c r="L28" s="311"/>
      <c r="M28" s="311"/>
      <c r="N28" s="311"/>
      <c r="O28" s="311"/>
      <c r="P28" s="312"/>
      <c r="Q28" s="313"/>
      <c r="R28" s="313"/>
    </row>
    <row r="29" spans="1:20" x14ac:dyDescent="0.2">
      <c r="B29" s="368" t="s">
        <v>488</v>
      </c>
      <c r="C29" s="368"/>
      <c r="D29" s="368"/>
      <c r="E29" s="368"/>
      <c r="F29" s="368"/>
      <c r="G29" s="368"/>
      <c r="H29" s="368"/>
      <c r="I29" s="368"/>
      <c r="J29" s="368"/>
      <c r="K29" s="290"/>
      <c r="L29" s="303">
        <f>+L21+L24+L27</f>
        <v>1785615.6861999999</v>
      </c>
      <c r="M29" s="303"/>
      <c r="N29" s="303">
        <f>+N21+N24+N27</f>
        <v>299050.70990476187</v>
      </c>
      <c r="O29" s="303">
        <f>+N29-L29</f>
        <v>-1486564.9762952379</v>
      </c>
      <c r="P29" s="304">
        <f>+IFERROR(O29/L29,0)</f>
        <v>-0.83252235505324379</v>
      </c>
      <c r="Q29" s="303"/>
      <c r="R29" s="303"/>
      <c r="T29" s="292">
        <f>+N29/L29</f>
        <v>0.16747764494675613</v>
      </c>
    </row>
    <row r="31" spans="1:20" x14ac:dyDescent="0.2">
      <c r="J31" s="289" t="s">
        <v>489</v>
      </c>
      <c r="L31" s="317">
        <f>+COUNTIF(L4:L17,"&gt;"&amp;0)</f>
        <v>14</v>
      </c>
      <c r="M31" s="317">
        <f>+IFERROR(L21/L31,0)</f>
        <v>127543.97758571428</v>
      </c>
      <c r="N31" s="289" t="s">
        <v>490</v>
      </c>
    </row>
    <row r="32" spans="1:20" x14ac:dyDescent="0.2">
      <c r="J32" s="289" t="s">
        <v>491</v>
      </c>
      <c r="L32" s="317">
        <f>+COUNTIF(N4:N17,"&gt;"&amp;0)</f>
        <v>8</v>
      </c>
      <c r="M32" s="317">
        <f>+IFERROR(N21/L32,0)</f>
        <v>36409.088738095234</v>
      </c>
      <c r="N32" s="289" t="s">
        <v>490</v>
      </c>
    </row>
    <row r="34" spans="6:19" ht="15" x14ac:dyDescent="0.2">
      <c r="J34" s="290" t="s">
        <v>169</v>
      </c>
      <c r="K34" s="318"/>
      <c r="L34" s="290" t="s">
        <v>492</v>
      </c>
      <c r="M34" s="290" t="s">
        <v>493</v>
      </c>
      <c r="N34" s="290" t="s">
        <v>480</v>
      </c>
      <c r="O34" s="290" t="s">
        <v>494</v>
      </c>
      <c r="Q34" s="300"/>
    </row>
    <row r="35" spans="6:19" x14ac:dyDescent="0.2">
      <c r="J35" s="295" t="s">
        <v>216</v>
      </c>
      <c r="K35" s="295"/>
      <c r="L35" s="317">
        <f t="shared" ref="L35:M39" si="3">+SUMIF($D:$D,$J35,L:L)</f>
        <v>49020</v>
      </c>
      <c r="M35" s="317">
        <f t="shared" si="3"/>
        <v>0</v>
      </c>
      <c r="N35" s="319">
        <f t="shared" ref="N35:N40" si="4">+IFERROR((M35-L35)/L35,0)</f>
        <v>-1</v>
      </c>
      <c r="O35" s="319">
        <f>+IFERROR(M35/L35,0)</f>
        <v>0</v>
      </c>
    </row>
    <row r="36" spans="6:19" x14ac:dyDescent="0.2">
      <c r="J36" s="295" t="s">
        <v>309</v>
      </c>
      <c r="K36" s="295"/>
      <c r="L36" s="317">
        <f t="shared" si="3"/>
        <v>216318</v>
      </c>
      <c r="M36" s="317">
        <f t="shared" si="3"/>
        <v>0</v>
      </c>
      <c r="N36" s="319">
        <f t="shared" si="4"/>
        <v>-1</v>
      </c>
      <c r="O36" s="319">
        <f t="shared" ref="O36:O40" si="5">+IFERROR(M36/L36,0)</f>
        <v>0</v>
      </c>
    </row>
    <row r="37" spans="6:19" x14ac:dyDescent="0.2">
      <c r="J37" s="295" t="s">
        <v>308</v>
      </c>
      <c r="K37" s="295"/>
      <c r="L37" s="317">
        <f t="shared" si="3"/>
        <v>110167.6862</v>
      </c>
      <c r="M37" s="317">
        <f t="shared" si="3"/>
        <v>0</v>
      </c>
      <c r="N37" s="319">
        <f t="shared" si="4"/>
        <v>-1</v>
      </c>
      <c r="O37" s="319">
        <f t="shared" si="5"/>
        <v>0</v>
      </c>
    </row>
    <row r="38" spans="6:19" ht="15" x14ac:dyDescent="0.2">
      <c r="F38" s="320"/>
      <c r="J38" s="295" t="s">
        <v>69</v>
      </c>
      <c r="K38" s="295"/>
      <c r="L38" s="317">
        <f t="shared" si="3"/>
        <v>20000</v>
      </c>
      <c r="M38" s="317">
        <f t="shared" si="3"/>
        <v>0</v>
      </c>
      <c r="N38" s="319">
        <f t="shared" si="4"/>
        <v>-1</v>
      </c>
      <c r="O38" s="319">
        <f t="shared" si="5"/>
        <v>0</v>
      </c>
      <c r="R38" s="321"/>
      <c r="S38" s="166"/>
    </row>
    <row r="39" spans="6:19" x14ac:dyDescent="0.2">
      <c r="F39" s="320"/>
      <c r="J39" s="295" t="s">
        <v>383</v>
      </c>
      <c r="K39" s="295"/>
      <c r="L39" s="317">
        <f t="shared" si="3"/>
        <v>1390110</v>
      </c>
      <c r="M39" s="317">
        <f t="shared" si="3"/>
        <v>0</v>
      </c>
      <c r="N39" s="319">
        <f t="shared" si="4"/>
        <v>-1</v>
      </c>
      <c r="O39" s="319">
        <f t="shared" si="5"/>
        <v>0</v>
      </c>
    </row>
    <row r="40" spans="6:19" x14ac:dyDescent="0.2">
      <c r="J40" s="290"/>
      <c r="K40" s="322"/>
      <c r="L40" s="323">
        <f>+SUM(L35:L39)</f>
        <v>1785615.6861999999</v>
      </c>
      <c r="M40" s="323">
        <f>+SUM(M35:M39)</f>
        <v>0</v>
      </c>
      <c r="N40" s="324">
        <f t="shared" si="4"/>
        <v>-1</v>
      </c>
      <c r="O40" s="324">
        <f t="shared" si="5"/>
        <v>0</v>
      </c>
    </row>
    <row r="41" spans="6:19" x14ac:dyDescent="0.2">
      <c r="F41" s="320"/>
    </row>
    <row r="42" spans="6:19" x14ac:dyDescent="0.2">
      <c r="F42" s="320"/>
      <c r="M42" s="325"/>
    </row>
    <row r="43" spans="6:19" ht="15" x14ac:dyDescent="0.2">
      <c r="F43" s="320"/>
      <c r="J43" s="290" t="s">
        <v>495</v>
      </c>
      <c r="K43" s="290"/>
      <c r="L43" s="290" t="s">
        <v>312</v>
      </c>
      <c r="M43" s="290" t="s">
        <v>493</v>
      </c>
      <c r="P43" s="326"/>
    </row>
    <row r="44" spans="6:19" x14ac:dyDescent="0.2">
      <c r="F44" s="320"/>
      <c r="J44" s="295" t="s">
        <v>496</v>
      </c>
      <c r="K44" s="295"/>
      <c r="L44" s="295">
        <f>COUNTIF($I$4:$I$29,"Pendiente")</f>
        <v>11</v>
      </c>
      <c r="M44" s="327">
        <f>SUMIF($I$4:$I$29,"Pendiente",$N$4:$N$29)</f>
        <v>87758</v>
      </c>
      <c r="N44" s="326"/>
      <c r="O44" s="326"/>
    </row>
    <row r="45" spans="6:19" x14ac:dyDescent="0.2">
      <c r="J45" s="295" t="s">
        <v>497</v>
      </c>
      <c r="K45" s="295"/>
      <c r="L45" s="295">
        <f>COUNTIF($I$4:$I$29,"OK")</f>
        <v>7</v>
      </c>
      <c r="M45" s="327">
        <f>SUMIF($I$4:$I$29,"OK",$N$4:$N$29)</f>
        <v>211292.7099047619</v>
      </c>
    </row>
    <row r="46" spans="6:19" x14ac:dyDescent="0.2">
      <c r="L46" s="328">
        <f>L45/L31</f>
        <v>0.5</v>
      </c>
    </row>
    <row r="49" spans="1:19" x14ac:dyDescent="0.2">
      <c r="F49" s="320"/>
    </row>
    <row r="50" spans="1:19" x14ac:dyDescent="0.2">
      <c r="F50" s="320"/>
    </row>
    <row r="51" spans="1:19" x14ac:dyDescent="0.2">
      <c r="F51" s="320"/>
    </row>
    <row r="52" spans="1:19" s="289" customFormat="1" x14ac:dyDescent="0.2">
      <c r="A52" s="292"/>
      <c r="B52" s="292"/>
      <c r="F52" s="320"/>
      <c r="Q52" s="292"/>
      <c r="R52" s="292"/>
      <c r="S52" s="292"/>
    </row>
    <row r="53" spans="1:19" s="289" customFormat="1" x14ac:dyDescent="0.2">
      <c r="A53" s="292"/>
      <c r="B53" s="292"/>
      <c r="F53" s="320"/>
      <c r="Q53" s="292"/>
      <c r="R53" s="292"/>
      <c r="S53" s="292"/>
    </row>
    <row r="54" spans="1:19" s="289" customFormat="1" x14ac:dyDescent="0.2">
      <c r="A54" s="292"/>
      <c r="B54" s="292"/>
      <c r="F54" s="320"/>
      <c r="Q54" s="292"/>
      <c r="R54" s="292"/>
      <c r="S54" s="292"/>
    </row>
  </sheetData>
  <mergeCells count="4">
    <mergeCell ref="B21:J21"/>
    <mergeCell ref="B24:J24"/>
    <mergeCell ref="B27:J27"/>
    <mergeCell ref="B29:J29"/>
  </mergeCells>
  <conditionalFormatting sqref="C4:D20 F4:G20">
    <cfRule type="cellIs" dxfId="48" priority="41" operator="lessThan">
      <formula>0</formula>
    </cfRule>
  </conditionalFormatting>
  <conditionalFormatting sqref="C23:D23">
    <cfRule type="cellIs" dxfId="47" priority="24" operator="lessThan">
      <formula>0</formula>
    </cfRule>
  </conditionalFormatting>
  <conditionalFormatting sqref="C25:D26">
    <cfRule type="cellIs" dxfId="46" priority="12" operator="lessThan">
      <formula>0</formula>
    </cfRule>
  </conditionalFormatting>
  <conditionalFormatting sqref="C28:D28 F28:G28">
    <cfRule type="cellIs" dxfId="45" priority="31" operator="lessThan">
      <formula>0</formula>
    </cfRule>
  </conditionalFormatting>
  <conditionalFormatting sqref="F23:G23">
    <cfRule type="cellIs" dxfId="44" priority="17" operator="lessThan">
      <formula>0</formula>
    </cfRule>
  </conditionalFormatting>
  <conditionalFormatting sqref="F25:G26">
    <cfRule type="cellIs" dxfId="43" priority="5" operator="lessThan">
      <formula>0</formula>
    </cfRule>
  </conditionalFormatting>
  <conditionalFormatting sqref="G2:H2 G4:H20 G22 G23:H23 G25:H26 G28:H28 G30 G37:H38 G40:H40 G42:H43">
    <cfRule type="containsText" dxfId="42" priority="46" operator="containsText" text="Guillermo">
      <formula>NOT(ISERROR(SEARCH("Guillermo",G2)))</formula>
    </cfRule>
    <cfRule type="containsText" dxfId="41" priority="45" operator="containsText" text="Sebastián">
      <formula>NOT(ISERROR(SEARCH("Sebastián",G2)))</formula>
    </cfRule>
  </conditionalFormatting>
  <conditionalFormatting sqref="G31:H35">
    <cfRule type="containsText" dxfId="40" priority="40" operator="containsText" text="Guillermo">
      <formula>NOT(ISERROR(SEARCH("Guillermo",G31)))</formula>
    </cfRule>
    <cfRule type="containsText" dxfId="39" priority="39" operator="containsText" text="Sebastián">
      <formula>NOT(ISERROR(SEARCH("Sebastián",G31)))</formula>
    </cfRule>
  </conditionalFormatting>
  <conditionalFormatting sqref="I23:K23">
    <cfRule type="containsText" dxfId="38" priority="21" operator="containsText" text="No aplica">
      <formula>NOT(ISERROR(SEARCH("No aplica",I23)))</formula>
    </cfRule>
    <cfRule type="containsText" dxfId="37" priority="22" operator="containsText" text="OK">
      <formula>NOT(ISERROR(SEARCH("OK",I23)))</formula>
    </cfRule>
    <cfRule type="containsText" dxfId="36" priority="23" operator="containsText" text="Pendiente">
      <formula>NOT(ISERROR(SEARCH("Pendiente",I23)))</formula>
    </cfRule>
  </conditionalFormatting>
  <conditionalFormatting sqref="I25:K26">
    <cfRule type="containsText" dxfId="35" priority="9" operator="containsText" text="No aplica">
      <formula>NOT(ISERROR(SEARCH("No aplica",I25)))</formula>
    </cfRule>
    <cfRule type="containsText" dxfId="34" priority="10" operator="containsText" text="OK">
      <formula>NOT(ISERROR(SEARCH("OK",I25)))</formula>
    </cfRule>
    <cfRule type="containsText" dxfId="33" priority="11" operator="containsText" text="Pendiente">
      <formula>NOT(ISERROR(SEARCH("Pendiente",I25)))</formula>
    </cfRule>
  </conditionalFormatting>
  <conditionalFormatting sqref="I28:K28">
    <cfRule type="containsText" dxfId="32" priority="29" operator="containsText" text="OK">
      <formula>NOT(ISERROR(SEARCH("OK",I28)))</formula>
    </cfRule>
    <cfRule type="containsText" dxfId="31" priority="30" operator="containsText" text="Pendiente">
      <formula>NOT(ISERROR(SEARCH("Pendiente",I28)))</formula>
    </cfRule>
    <cfRule type="containsText" dxfId="30" priority="28" operator="containsText" text="No aplica">
      <formula>NOT(ISERROR(SEARCH("No aplica",I28)))</formula>
    </cfRule>
  </conditionalFormatting>
  <conditionalFormatting sqref="I1:L3 I30:L30 I31:K32 I33:L33 I34">
    <cfRule type="containsText" dxfId="29" priority="44" operator="containsText" text="Pendiente">
      <formula>NOT(ISERROR(SEARCH("Pendiente",I1)))</formula>
    </cfRule>
    <cfRule type="containsText" dxfId="28" priority="43" operator="containsText" text="OK">
      <formula>NOT(ISERROR(SEARCH("OK",I1)))</formula>
    </cfRule>
    <cfRule type="containsText" dxfId="27" priority="42" operator="containsText" text="No aplica">
      <formula>NOT(ISERROR(SEARCH("No aplica",I1)))</formula>
    </cfRule>
  </conditionalFormatting>
  <conditionalFormatting sqref="K24">
    <cfRule type="containsText" dxfId="26" priority="18" operator="containsText" text="No aplica">
      <formula>NOT(ISERROR(SEARCH("No aplica",K24)))</formula>
    </cfRule>
    <cfRule type="containsText" dxfId="25" priority="19" operator="containsText" text="OK">
      <formula>NOT(ISERROR(SEARCH("OK",K24)))</formula>
    </cfRule>
    <cfRule type="containsText" dxfId="24" priority="20" operator="containsText" text="Pendiente">
      <formula>NOT(ISERROR(SEARCH("Pendiente",K24)))</formula>
    </cfRule>
  </conditionalFormatting>
  <conditionalFormatting sqref="K27">
    <cfRule type="containsText" dxfId="23" priority="7" operator="containsText" text="OK">
      <formula>NOT(ISERROR(SEARCH("OK",K27)))</formula>
    </cfRule>
    <cfRule type="containsText" dxfId="22" priority="6" operator="containsText" text="No aplica">
      <formula>NOT(ISERROR(SEARCH("No aplica",K27)))</formula>
    </cfRule>
    <cfRule type="containsText" dxfId="21" priority="8" operator="containsText" text="Pendiente">
      <formula>NOT(ISERROR(SEARCH("Pendiente",K27)))</formula>
    </cfRule>
  </conditionalFormatting>
  <conditionalFormatting sqref="K29">
    <cfRule type="containsText" dxfId="20" priority="27" operator="containsText" text="Pendiente">
      <formula>NOT(ISERROR(SEARCH("Pendiente",K29)))</formula>
    </cfRule>
    <cfRule type="containsText" dxfId="19" priority="26" operator="containsText" text="OK">
      <formula>NOT(ISERROR(SEARCH("OK",K29)))</formula>
    </cfRule>
    <cfRule type="containsText" dxfId="18" priority="25" operator="containsText" text="No aplica">
      <formula>NOT(ISERROR(SEARCH("No aplica",K29)))</formula>
    </cfRule>
  </conditionalFormatting>
  <conditionalFormatting sqref="L23:M23">
    <cfRule type="cellIs" dxfId="17" priority="16" operator="equal">
      <formula>0</formula>
    </cfRule>
  </conditionalFormatting>
  <conditionalFormatting sqref="L26:M26">
    <cfRule type="cellIs" dxfId="16" priority="4" operator="equal">
      <formula>0</formula>
    </cfRule>
  </conditionalFormatting>
  <conditionalFormatting sqref="M3 I4:K20 K21 I22:M22 I35:M38 J39:L39 M39:M40 I39:I1048576 K40:L40 J41:L42 J44:L1048576">
    <cfRule type="containsText" dxfId="15" priority="36" operator="containsText" text="No aplica">
      <formula>NOT(ISERROR(SEARCH("No aplica",I3)))</formula>
    </cfRule>
    <cfRule type="containsText" dxfId="14" priority="37" operator="containsText" text="OK">
      <formula>NOT(ISERROR(SEARCH("OK",I3)))</formula>
    </cfRule>
    <cfRule type="containsText" dxfId="13" priority="38" operator="containsText" text="Pendiente">
      <formula>NOT(ISERROR(SEARCH("Pendiente",I3)))</formula>
    </cfRule>
  </conditionalFormatting>
  <conditionalFormatting sqref="Q4:Q20">
    <cfRule type="containsText" dxfId="12" priority="32" operator="containsText" text="En proceso">
      <formula>NOT(ISERROR(SEARCH("En proceso",Q4)))</formula>
    </cfRule>
    <cfRule type="containsText" dxfId="11" priority="33" operator="containsText" text="Si">
      <formula>NOT(ISERROR(SEARCH("Si",Q4)))</formula>
    </cfRule>
    <cfRule type="containsText" dxfId="10" priority="34" operator="containsText" text="No">
      <formula>NOT(ISERROR(SEARCH("No",Q4)))</formula>
    </cfRule>
  </conditionalFormatting>
  <conditionalFormatting sqref="Q23">
    <cfRule type="containsText" dxfId="9" priority="15" operator="containsText" text="No">
      <formula>NOT(ISERROR(SEARCH("No",Q23)))</formula>
    </cfRule>
    <cfRule type="containsText" dxfId="8" priority="14" operator="containsText" text="Si">
      <formula>NOT(ISERROR(SEARCH("Si",Q23)))</formula>
    </cfRule>
    <cfRule type="containsText" dxfId="7" priority="13" operator="containsText" text="En proceso">
      <formula>NOT(ISERROR(SEARCH("En proceso",Q23)))</formula>
    </cfRule>
  </conditionalFormatting>
  <conditionalFormatting sqref="Q26">
    <cfRule type="containsText" dxfId="6" priority="3" operator="containsText" text="No">
      <formula>NOT(ISERROR(SEARCH("No",Q26)))</formula>
    </cfRule>
    <cfRule type="containsText" dxfId="5" priority="2" operator="containsText" text="Si">
      <formula>NOT(ISERROR(SEARCH("Si",Q26)))</formula>
    </cfRule>
    <cfRule type="containsText" dxfId="4" priority="1" operator="containsText" text="En proceso">
      <formula>NOT(ISERROR(SEARCH("En proceso",Q26)))</formula>
    </cfRule>
  </conditionalFormatting>
  <conditionalFormatting sqref="S4:S20">
    <cfRule type="cellIs" dxfId="3" priority="35" operator="lessThan">
      <formula>0.85</formula>
    </cfRule>
  </conditionalFormatting>
  <pageMargins left="0.7" right="0.7" top="0.75" bottom="0.75" header="0.3" footer="0.3"/>
  <pageSetup scale="2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E848A-7258-4468-BDC7-03FAAD8DF1DC}">
  <sheetPr>
    <tabColor rgb="FF00B050"/>
  </sheetPr>
  <dimension ref="A1:E23"/>
  <sheetViews>
    <sheetView workbookViewId="0">
      <selection activeCell="C23" sqref="C23"/>
    </sheetView>
  </sheetViews>
  <sheetFormatPr baseColWidth="10" defaultRowHeight="15" x14ac:dyDescent="0.2"/>
  <cols>
    <col min="2" max="2" width="39.5" bestFit="1" customWidth="1"/>
  </cols>
  <sheetData>
    <row r="1" spans="1:5" x14ac:dyDescent="0.2">
      <c r="A1" t="s">
        <v>312</v>
      </c>
      <c r="B1" t="s">
        <v>127</v>
      </c>
      <c r="C1" t="s">
        <v>504</v>
      </c>
      <c r="D1" t="s">
        <v>505</v>
      </c>
      <c r="E1" t="s">
        <v>22</v>
      </c>
    </row>
    <row r="2" spans="1:5" x14ac:dyDescent="0.2">
      <c r="A2">
        <v>1</v>
      </c>
      <c r="B2" t="s">
        <v>319</v>
      </c>
      <c r="C2" s="107">
        <f>+_xlfn.XLOOKUP($B2,'POM 2025'!$B:$B,'POM 2025'!AU:AU,0,0,1)</f>
        <v>47000</v>
      </c>
      <c r="D2" s="107">
        <f>+_xlfn.XLOOKUP($B2,'POM 2025'!$B:$B,'POM 2025'!AV:AV,0,0,1)</f>
        <v>47000</v>
      </c>
      <c r="E2" s="107">
        <f>+_xlfn.XLOOKUP($B2,'POM 2025'!$B:$B,'POM 2025'!AW:AW,0,0,1)</f>
        <v>46571.709904761905</v>
      </c>
    </row>
    <row r="3" spans="1:5" x14ac:dyDescent="0.2">
      <c r="A3">
        <v>2</v>
      </c>
      <c r="B3" t="s">
        <v>454</v>
      </c>
      <c r="C3" s="107">
        <f>+_xlfn.XLOOKUP($B3,'POM 2025'!$B:$B,'POM 2025'!AU:AU,0,0,1)</f>
        <v>67000</v>
      </c>
      <c r="D3" s="107">
        <f>+_xlfn.XLOOKUP($B3,'POM 2025'!$B:$B,'POM 2025'!AV:AV,0,0,1)</f>
        <v>0</v>
      </c>
      <c r="E3" s="107">
        <f>+_xlfn.XLOOKUP($B3,'POM 2025'!$B:$B,'POM 2025'!AW:AW,0,0,1)</f>
        <v>0</v>
      </c>
    </row>
    <row r="4" spans="1:5" x14ac:dyDescent="0.2">
      <c r="A4">
        <v>3</v>
      </c>
      <c r="B4" t="s">
        <v>410</v>
      </c>
      <c r="C4" s="107">
        <f>+_xlfn.XLOOKUP($B4,'POM 2025'!$B:$B,'POM 2025'!AU:AU,0,0,1)</f>
        <v>45167.686199999996</v>
      </c>
      <c r="D4" s="107">
        <f>+_xlfn.XLOOKUP($B4,'POM 2025'!$B:$B,'POM 2025'!AV:AV,0,0,1)</f>
        <v>45167.686199999996</v>
      </c>
      <c r="E4" s="107">
        <f>+_xlfn.XLOOKUP($B4,'POM 2025'!$B:$B,'POM 2025'!AW:AW,0,0,1)</f>
        <v>47145</v>
      </c>
    </row>
    <row r="5" spans="1:5" x14ac:dyDescent="0.2">
      <c r="A5">
        <v>4</v>
      </c>
      <c r="B5" t="s">
        <v>448</v>
      </c>
      <c r="C5" s="107">
        <f>+_xlfn.XLOOKUP($B5,'POM 2025'!$B:$B,'POM 2025'!AU:AU,0,0,1)</f>
        <v>18000</v>
      </c>
      <c r="D5" s="107">
        <f>+_xlfn.XLOOKUP($B5,'POM 2025'!$B:$B,'POM 2025'!AV:AV,0,0,1)</f>
        <v>18000</v>
      </c>
      <c r="E5" s="107">
        <f>+_xlfn.XLOOKUP($B5,'POM 2025'!$B:$B,'POM 2025'!AW:AW,0,0,1)</f>
        <v>15152</v>
      </c>
    </row>
    <row r="6" spans="1:5" x14ac:dyDescent="0.2">
      <c r="A6">
        <v>5</v>
      </c>
      <c r="B6" t="s">
        <v>323</v>
      </c>
      <c r="C6" s="107">
        <f>+_xlfn.XLOOKUP($B6,'POM 2025'!$B:$B,'POM 2025'!AU:AU,0,0,1)</f>
        <v>40000</v>
      </c>
      <c r="D6" s="107">
        <f>+_xlfn.XLOOKUP($B6,'POM 2025'!$B:$B,'POM 2025'!AV:AV,0,0,1)</f>
        <v>40000</v>
      </c>
      <c r="E6" s="107">
        <f>+_xlfn.XLOOKUP($B6,'POM 2025'!$B:$B,'POM 2025'!AW:AW,0,0,1)</f>
        <v>36078</v>
      </c>
    </row>
    <row r="7" spans="1:5" x14ac:dyDescent="0.2">
      <c r="A7">
        <v>6</v>
      </c>
      <c r="B7" t="s">
        <v>437</v>
      </c>
      <c r="C7" s="107">
        <f>+_xlfn.XLOOKUP($B7,'POM 2025'!$B:$B,'POM 2025'!AU:AU,0,0,1)</f>
        <v>20000</v>
      </c>
      <c r="D7" s="107">
        <f>+_xlfn.XLOOKUP($B7,'POM 2025'!$B:$B,'POM 2025'!AV:AV,0,0,1)</f>
        <v>30994</v>
      </c>
      <c r="E7" s="107">
        <f>+_xlfn.XLOOKUP($B7,'POM 2025'!$B:$B,'POM 2025'!AW:AW,0,0,1)</f>
        <v>38737</v>
      </c>
    </row>
    <row r="8" spans="1:5" x14ac:dyDescent="0.2">
      <c r="A8">
        <v>7</v>
      </c>
      <c r="B8" t="s">
        <v>457</v>
      </c>
      <c r="C8" s="107">
        <f>+_xlfn.XLOOKUP($B8,'POM 2025'!$B:$B,'POM 2025'!AU:AU,0,0,1)</f>
        <v>20000</v>
      </c>
      <c r="D8" s="107">
        <f>+_xlfn.XLOOKUP($B8,'POM 2025'!$B:$B,'POM 2025'!AV:AV,0,0,1)</f>
        <v>10000</v>
      </c>
      <c r="E8" s="107">
        <f>+_xlfn.XLOOKUP($B8,'POM 2025'!$B:$B,'POM 2025'!AW:AW,0,0,1)</f>
        <v>9596</v>
      </c>
    </row>
    <row r="9" spans="1:5" x14ac:dyDescent="0.2">
      <c r="A9">
        <v>8</v>
      </c>
      <c r="B9" t="s">
        <v>446</v>
      </c>
      <c r="C9" s="107">
        <f>+_xlfn.XLOOKUP($B9,'POM 2025'!$B:$B,'POM 2025'!AU:AU,0,0,1)</f>
        <v>43000</v>
      </c>
      <c r="D9" s="107">
        <f>+_xlfn.XLOOKUP($B9,'POM 2025'!$B:$B,'POM 2025'!AV:AV,0,0,1)</f>
        <v>43000</v>
      </c>
      <c r="E9" s="107">
        <f>+_xlfn.XLOOKUP($B9,'POM 2025'!$B:$B,'POM 2025'!AW:AW,0,0,1)</f>
        <v>46313</v>
      </c>
    </row>
    <row r="10" spans="1:5" x14ac:dyDescent="0.2">
      <c r="A10">
        <v>9</v>
      </c>
      <c r="B10" t="s">
        <v>409</v>
      </c>
      <c r="C10" s="107">
        <f>+_xlfn.XLOOKUP($B10,'POM 2025'!$B:$B,'POM 2025'!AU:AU,0,0,1)</f>
        <v>11964</v>
      </c>
      <c r="D10" s="107">
        <f>+_xlfn.XLOOKUP($B10,'POM 2025'!$B:$B,'POM 2025'!AV:AV,0,0,1)</f>
        <v>11964</v>
      </c>
      <c r="E10" s="107">
        <f>+_xlfn.XLOOKUP($B10,'POM 2025'!$B:$B,'POM 2025'!AW:AW,0,0,1)</f>
        <v>0</v>
      </c>
    </row>
    <row r="11" spans="1:5" x14ac:dyDescent="0.2">
      <c r="A11">
        <v>10</v>
      </c>
      <c r="B11" t="s">
        <v>327</v>
      </c>
      <c r="C11" s="107">
        <f>+_xlfn.XLOOKUP($B11,'POM 2025'!$B:$B,'POM 2025'!AU:AU,0,0,1)</f>
        <v>5034</v>
      </c>
      <c r="D11" s="107">
        <f>+_xlfn.XLOOKUP($B11,'POM 2025'!$B:$B,'POM 2025'!AV:AV,0,0,1)</f>
        <v>5034</v>
      </c>
      <c r="E11" s="107">
        <f>+_xlfn.XLOOKUP($B11,'POM 2025'!$B:$B,'POM 2025'!AW:AW,0,0,1)</f>
        <v>0</v>
      </c>
    </row>
    <row r="12" spans="1:5" x14ac:dyDescent="0.2">
      <c r="A12">
        <v>11</v>
      </c>
      <c r="B12" t="s">
        <v>412</v>
      </c>
      <c r="C12" s="107">
        <f>+_xlfn.XLOOKUP($B12,'POM 2025'!$B:$B,'POM 2025'!AU:AU,0,0,1)</f>
        <v>17056</v>
      </c>
      <c r="D12" s="107">
        <f>+_xlfn.XLOOKUP($B12,'POM 2025'!$B:$B,'POM 2025'!AV:AV,0,0,1)</f>
        <v>17056</v>
      </c>
      <c r="E12" s="107">
        <f>+_xlfn.XLOOKUP($B12,'POM 2025'!$B:$B,'POM 2025'!AW:AW,0,0,1)</f>
        <v>0</v>
      </c>
    </row>
    <row r="13" spans="1:5" x14ac:dyDescent="0.2">
      <c r="A13">
        <v>12</v>
      </c>
      <c r="B13" t="s">
        <v>459</v>
      </c>
      <c r="C13" s="107">
        <f>+_xlfn.XLOOKUP($B13,'POM 2025'!$B:$B,'POM 2025'!AU:AU,0,0,1)</f>
        <v>41284</v>
      </c>
      <c r="D13" s="107">
        <f>+_xlfn.XLOOKUP($B13,'POM 2025'!$B:$B,'POM 2025'!AV:AV,0,0,1)</f>
        <v>66605</v>
      </c>
      <c r="E13" s="107">
        <f>+_xlfn.XLOOKUP($B13,'POM 2025'!$B:$B,'POM 2025'!AW:AW,0,0,1)</f>
        <v>51680</v>
      </c>
    </row>
    <row r="14" spans="1:5" x14ac:dyDescent="0.2">
      <c r="A14">
        <v>13</v>
      </c>
      <c r="B14" t="s">
        <v>451</v>
      </c>
      <c r="C14" s="107">
        <f>+_xlfn.XLOOKUP($B14,'POM 2025'!$B:$B,'POM 2025'!AU:AU,0,0,1)</f>
        <v>20000</v>
      </c>
      <c r="D14" s="107">
        <f>+_xlfn.XLOOKUP($B14,'POM 2025'!$B:$B,'POM 2025'!AV:AV,0,0,1)</f>
        <v>5000</v>
      </c>
      <c r="E14" s="107">
        <f>+_xlfn.XLOOKUP($B14,'POM 2025'!$B:$B,'POM 2025'!AW:AW,0,0,1)</f>
        <v>0</v>
      </c>
    </row>
    <row r="15" spans="1:5" x14ac:dyDescent="0.2">
      <c r="A15">
        <v>14</v>
      </c>
      <c r="B15" t="s">
        <v>382</v>
      </c>
      <c r="C15" s="107">
        <f>+_xlfn.XLOOKUP($B15,'POM 2025'!$B:$B,'POM 2025'!AU:AU,0,0,1)</f>
        <v>87873</v>
      </c>
      <c r="D15" s="107">
        <f>+_xlfn.XLOOKUP($B15,'POM 2025'!$B:$B,'POM 2025'!AV:AV,0,0,1)</f>
        <v>87873</v>
      </c>
      <c r="E15" s="107">
        <f>+_xlfn.XLOOKUP($B15,'POM 2025'!$B:$B,'POM 2025'!AW:AW,0,0,1)</f>
        <v>0</v>
      </c>
    </row>
    <row r="16" spans="1:5" x14ac:dyDescent="0.2">
      <c r="A16">
        <v>15</v>
      </c>
      <c r="B16" t="s">
        <v>411</v>
      </c>
      <c r="C16" s="107">
        <f>+_xlfn.XLOOKUP($B16,'POM 2025'!$B:$B,'POM 2025'!AU:AU,0,0,1)</f>
        <v>33597</v>
      </c>
      <c r="D16" s="107">
        <f>+_xlfn.XLOOKUP($B16,'POM 2025'!$B:$B,'POM 2025'!AV:AV,0,0,1)</f>
        <v>33597</v>
      </c>
      <c r="E16" s="107">
        <f>+_xlfn.XLOOKUP($B16,'POM 2025'!$B:$B,'POM 2025'!AW:AW,0,0,1)</f>
        <v>0</v>
      </c>
    </row>
    <row r="17" spans="1:5" x14ac:dyDescent="0.2">
      <c r="A17">
        <v>16</v>
      </c>
      <c r="B17" t="s">
        <v>106</v>
      </c>
      <c r="C17" s="107">
        <f>+_xlfn.XLOOKUP($B17,'POM 2025'!$B:$B,'POM 2025'!AU:AU,0,0,1)</f>
        <v>1217640</v>
      </c>
      <c r="D17" s="107">
        <f>+_xlfn.XLOOKUP($B17,'POM 2025'!$B:$B,'POM 2025'!AV:AV,0,0,1)</f>
        <v>1217640</v>
      </c>
      <c r="E17" s="107">
        <f>+_xlfn.XLOOKUP($B17,'POM 2025'!$B:$B,'POM 2025'!AW:AW,0,0,1)</f>
        <v>0</v>
      </c>
    </row>
    <row r="18" spans="1:5" x14ac:dyDescent="0.2">
      <c r="A18">
        <v>17</v>
      </c>
      <c r="B18" t="s">
        <v>381</v>
      </c>
      <c r="C18" s="107">
        <f>+_xlfn.XLOOKUP($B18,'POM 2025'!$B:$B,'POM 2025'!AU:AU,0,0,1)</f>
        <v>51000</v>
      </c>
      <c r="D18" s="107">
        <f>+_xlfn.XLOOKUP($B18,'POM 2025'!$B:$B,'POM 2025'!AV:AV,0,0,1)</f>
        <v>0</v>
      </c>
      <c r="E18" s="107">
        <f>+_xlfn.XLOOKUP($B18,'POM 2025'!$B:$B,'POM 2025'!AW:AW,0,0,1)</f>
        <v>0</v>
      </c>
    </row>
    <row r="19" spans="1:5" x14ac:dyDescent="0.2">
      <c r="A19">
        <v>18</v>
      </c>
      <c r="B19" t="s">
        <v>344</v>
      </c>
      <c r="C19" s="107">
        <f>+_xlfn.XLOOKUP($B19,'POM 2025'!$B:$B,'POM 2025'!AU:AU,0,0,1)</f>
        <v>0</v>
      </c>
      <c r="D19" s="107">
        <f>+_xlfn.XLOOKUP($B19,'POM 2025'!$B:$B,'POM 2025'!AV:AV,0,0,1)</f>
        <v>7778</v>
      </c>
      <c r="E19" s="107">
        <f>+_xlfn.XLOOKUP($B19,'POM 2025'!$B:$B,'POM 2025'!AW:AW,0,0,1)</f>
        <v>7778</v>
      </c>
    </row>
    <row r="20" spans="1:5" x14ac:dyDescent="0.2">
      <c r="A20">
        <v>19</v>
      </c>
      <c r="B20" t="s">
        <v>460</v>
      </c>
      <c r="C20" s="107">
        <f>+_xlfn.XLOOKUP($B20,'POM 2025'!$B:$B,'POM 2025'!AU:AU,0,0,1)</f>
        <v>0</v>
      </c>
      <c r="D20" s="107">
        <f>+_xlfn.XLOOKUP($B20,'POM 2025'!$B:$B,'POM 2025'!AV:AV,0,0,1)</f>
        <v>5000</v>
      </c>
      <c r="E20" s="107">
        <f>+_xlfn.XLOOKUP($B20,'POM 2025'!$B:$B,'POM 2025'!AW:AW,0,0,1)</f>
        <v>0</v>
      </c>
    </row>
    <row r="21" spans="1:5" x14ac:dyDescent="0.2">
      <c r="A21">
        <v>20</v>
      </c>
      <c r="B21" t="s">
        <v>452</v>
      </c>
      <c r="C21" s="107">
        <f>+_xlfn.XLOOKUP($B21,'POM 2025'!$B:$B,'POM 2025'!AU:AU,0,0,1)</f>
        <v>0</v>
      </c>
      <c r="D21" s="107">
        <f>+_xlfn.XLOOKUP($B21,'POM 2025'!$B:$B,'POM 2025'!AV:AV,0,0,1)</f>
        <v>12000</v>
      </c>
      <c r="E21" s="107">
        <f>+_xlfn.XLOOKUP($B21,'POM 2025'!$B:$B,'POM 2025'!AW:AW,0,0,1)</f>
        <v>0</v>
      </c>
    </row>
    <row r="22" spans="1:5" x14ac:dyDescent="0.2">
      <c r="A22">
        <v>21</v>
      </c>
      <c r="B22" t="s">
        <v>458</v>
      </c>
      <c r="C22" s="107">
        <f>+_xlfn.XLOOKUP($B22,'POM 2025'!$B:$B,'POM 2025'!AU:AU,0,0,1)</f>
        <v>0</v>
      </c>
      <c r="D22" s="107">
        <f>+_xlfn.XLOOKUP($B22,'POM 2025'!$B:$B,'POM 2025'!AV:AV,0,0,1)</f>
        <v>35000</v>
      </c>
      <c r="E22" s="107">
        <f>+_xlfn.XLOOKUP($B22,'POM 2025'!$B:$B,'POM 2025'!AW:AW,0,0,1)</f>
        <v>20200</v>
      </c>
    </row>
    <row r="23" spans="1:5" x14ac:dyDescent="0.2">
      <c r="C23" s="111">
        <f>SUM(C2:C22)</f>
        <v>1785615.6861999999</v>
      </c>
      <c r="D23" s="111">
        <f t="shared" ref="D23:E23" si="0">SUM(D2:D22)</f>
        <v>1738708.6861999999</v>
      </c>
      <c r="E23" s="111">
        <f t="shared" si="0"/>
        <v>319250.70990476187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5027-4F0E-4336-BAD8-D9C0FC7BF179}">
  <dimension ref="A1:O30"/>
  <sheetViews>
    <sheetView zoomScale="80" zoomScaleNormal="80" workbookViewId="0">
      <selection activeCell="K39" sqref="K39"/>
    </sheetView>
  </sheetViews>
  <sheetFormatPr baseColWidth="10" defaultColWidth="11.5" defaultRowHeight="13" x14ac:dyDescent="0.2"/>
  <cols>
    <col min="1" max="1" width="3.5" style="120" bestFit="1" customWidth="1"/>
    <col min="2" max="2" width="44.5" style="120" bestFit="1" customWidth="1"/>
    <col min="3" max="3" width="6.33203125" style="120" bestFit="1" customWidth="1"/>
    <col min="4" max="4" width="14.5" style="120" bestFit="1" customWidth="1"/>
    <col min="5" max="5" width="12.6640625" style="120" bestFit="1" customWidth="1"/>
    <col min="6" max="6" width="11.33203125" style="120" bestFit="1" customWidth="1"/>
    <col min="7" max="7" width="10.33203125" style="120" bestFit="1" customWidth="1"/>
    <col min="8" max="8" width="11.33203125" style="120" bestFit="1" customWidth="1"/>
    <col min="9" max="9" width="9.5" style="120" bestFit="1" customWidth="1"/>
    <col min="10" max="10" width="10.33203125" style="120" bestFit="1" customWidth="1"/>
    <col min="11" max="11" width="11.33203125" style="120" bestFit="1" customWidth="1"/>
    <col min="12" max="12" width="9.5" style="120" bestFit="1" customWidth="1"/>
    <col min="13" max="16384" width="11.5" style="120"/>
  </cols>
  <sheetData>
    <row r="1" spans="1:15" x14ac:dyDescent="0.2">
      <c r="G1" s="370">
        <v>46023</v>
      </c>
      <c r="H1" s="371"/>
      <c r="I1" s="372"/>
      <c r="J1" s="370">
        <v>46054</v>
      </c>
      <c r="K1" s="371"/>
      <c r="L1" s="372"/>
    </row>
    <row r="2" spans="1:15" x14ac:dyDescent="0.2">
      <c r="G2" s="351" t="s">
        <v>504</v>
      </c>
      <c r="H2" s="331" t="s">
        <v>518</v>
      </c>
      <c r="I2" s="352" t="s">
        <v>519</v>
      </c>
      <c r="J2" s="351" t="s">
        <v>504</v>
      </c>
      <c r="K2" s="331" t="s">
        <v>518</v>
      </c>
      <c r="L2" s="352" t="s">
        <v>519</v>
      </c>
    </row>
    <row r="3" spans="1:15" ht="14" thickBot="1" x14ac:dyDescent="0.25">
      <c r="G3" s="341">
        <f>+SUM(G6:G100001)</f>
        <v>1785615.6861999999</v>
      </c>
      <c r="H3" s="342">
        <f t="shared" ref="H3:L3" si="0">+SUM(H6:H100001)</f>
        <v>1738708.6861999999</v>
      </c>
      <c r="I3" s="353">
        <f t="shared" si="0"/>
        <v>319250.70990476187</v>
      </c>
      <c r="J3" s="341">
        <f t="shared" si="0"/>
        <v>778370.21507472231</v>
      </c>
      <c r="K3" s="342">
        <f t="shared" si="0"/>
        <v>2083098.2480000001</v>
      </c>
      <c r="L3" s="353">
        <f t="shared" si="0"/>
        <v>581543.78780952375</v>
      </c>
    </row>
    <row r="4" spans="1:15" ht="14" thickBot="1" x14ac:dyDescent="0.25">
      <c r="O4" s="124"/>
    </row>
    <row r="5" spans="1:15" x14ac:dyDescent="0.2">
      <c r="A5" s="336" t="s">
        <v>312</v>
      </c>
      <c r="B5" s="337" t="s">
        <v>367</v>
      </c>
      <c r="C5" s="337" t="s">
        <v>169</v>
      </c>
      <c r="D5" s="337" t="s">
        <v>509</v>
      </c>
      <c r="E5" s="337" t="s">
        <v>510</v>
      </c>
      <c r="F5" s="338" t="s">
        <v>511</v>
      </c>
      <c r="G5" s="336" t="s">
        <v>512</v>
      </c>
      <c r="H5" s="337" t="s">
        <v>513</v>
      </c>
      <c r="I5" s="338" t="s">
        <v>514</v>
      </c>
      <c r="J5" s="336" t="s">
        <v>515</v>
      </c>
      <c r="K5" s="337" t="s">
        <v>516</v>
      </c>
      <c r="L5" s="338" t="s">
        <v>517</v>
      </c>
    </row>
    <row r="6" spans="1:15" x14ac:dyDescent="0.2">
      <c r="A6" s="344">
        <v>1</v>
      </c>
      <c r="B6" s="335" t="s">
        <v>319</v>
      </c>
      <c r="C6" s="333" t="s">
        <v>308</v>
      </c>
      <c r="D6" s="334">
        <f>+_xlfn.XLOOKUP($B6,'POM 2025'!$B:$B,'POM 2025'!$I:$I,0,0,1)</f>
        <v>562180</v>
      </c>
      <c r="E6" s="354">
        <f>+_xlfn.XLOOKUP($B6,'POM 2025'!$B:$B,'POM 2025'!$J:$J,0,0,1)</f>
        <v>553762.09667654987</v>
      </c>
      <c r="F6" s="345">
        <f>+D6-E6</f>
        <v>8417.9033234501258</v>
      </c>
      <c r="G6" s="339">
        <f>+_xlfn.XLOOKUP($B6,'POM 2025'!$B:$B,'POM 2025'!AU:AU,0,0,1)</f>
        <v>47000</v>
      </c>
      <c r="H6" s="332">
        <f>+_xlfn.XLOOKUP($B6,'POM 2025'!$B:$B,'POM 2025'!AV:AV,0,0,1)</f>
        <v>47000</v>
      </c>
      <c r="I6" s="340">
        <f>+_xlfn.XLOOKUP($B6,'POM 2025'!$B:$B,'POM 2025'!AW:AW,0,0,1)</f>
        <v>46571.709904761905</v>
      </c>
      <c r="J6" s="339">
        <f>+_xlfn.XLOOKUP($B6,'POM 2025'!$B:$B,'POM 2025'!AX:AX,0,0,1)</f>
        <v>59681.1224489796</v>
      </c>
      <c r="K6" s="332">
        <f>+_xlfn.XLOOKUP($B6,'POM 2025'!$B:$B,'POM 2025'!AY:AY,0,0,1)</f>
        <v>61000</v>
      </c>
      <c r="L6" s="340">
        <f>+_xlfn.XLOOKUP($B6,'POM 2025'!$B:$B,'POM 2025'!AZ:AZ,0,0,1)</f>
        <v>70943.787809523827</v>
      </c>
    </row>
    <row r="7" spans="1:15" x14ac:dyDescent="0.2">
      <c r="A7" s="344">
        <v>2</v>
      </c>
      <c r="B7" s="335" t="s">
        <v>454</v>
      </c>
      <c r="C7" s="333" t="s">
        <v>309</v>
      </c>
      <c r="D7" s="334">
        <f>+_xlfn.XLOOKUP($B7,'POM 2025'!$B:$B,'POM 2025'!$I:$I,0,0,1)</f>
        <v>187113</v>
      </c>
      <c r="E7" s="354">
        <f>+_xlfn.XLOOKUP($B7,'POM 2025'!$B:$B,'POM 2025'!$J:$J,0,0,1)</f>
        <v>183496</v>
      </c>
      <c r="F7" s="345">
        <f t="shared" ref="F7:F22" si="1">+D7-E7</f>
        <v>3617</v>
      </c>
      <c r="G7" s="339">
        <f>+_xlfn.XLOOKUP($B7,'POM 2025'!$B:$B,'POM 2025'!AU:AU,0,0,1)</f>
        <v>67000</v>
      </c>
      <c r="H7" s="332">
        <f>+_xlfn.XLOOKUP($B7,'POM 2025'!$B:$B,'POM 2025'!AV:AV,0,0,1)</f>
        <v>0</v>
      </c>
      <c r="I7" s="340">
        <f>+_xlfn.XLOOKUP($B7,'POM 2025'!$B:$B,'POM 2025'!AW:AW,0,0,1)</f>
        <v>0</v>
      </c>
      <c r="J7" s="339">
        <f>+_xlfn.XLOOKUP($B7,'POM 2025'!$B:$B,'POM 2025'!AX:AX,0,0,1)</f>
        <v>45169.569202566447</v>
      </c>
      <c r="K7" s="332">
        <f>+_xlfn.XLOOKUP($B7,'POM 2025'!$B:$B,'POM 2025'!AY:AY,0,0,1)</f>
        <v>65000</v>
      </c>
      <c r="L7" s="340">
        <f>+_xlfn.XLOOKUP($B7,'POM 2025'!$B:$B,'POM 2025'!AZ:AZ,0,0,1)</f>
        <v>66050</v>
      </c>
    </row>
    <row r="8" spans="1:15" x14ac:dyDescent="0.2">
      <c r="A8" s="344">
        <v>3</v>
      </c>
      <c r="B8" s="335" t="s">
        <v>410</v>
      </c>
      <c r="C8" s="333" t="s">
        <v>308</v>
      </c>
      <c r="D8" s="334">
        <f>+_xlfn.XLOOKUP($B8,'POM 2025'!$B:$B,'POM 2025'!$I:$I,0,0,1)</f>
        <v>353992.61</v>
      </c>
      <c r="E8" s="354">
        <f>+_xlfn.XLOOKUP($B8,'POM 2025'!$B:$B,'POM 2025'!$J:$J,0,0,1)</f>
        <v>353993</v>
      </c>
      <c r="F8" s="345">
        <f t="shared" si="1"/>
        <v>-0.39000000001396984</v>
      </c>
      <c r="G8" s="339">
        <f>+_xlfn.XLOOKUP($B8,'POM 2025'!$B:$B,'POM 2025'!AU:AU,0,0,1)</f>
        <v>45167.686199999996</v>
      </c>
      <c r="H8" s="332">
        <f>+_xlfn.XLOOKUP($B8,'POM 2025'!$B:$B,'POM 2025'!AV:AV,0,0,1)</f>
        <v>45167.686199999996</v>
      </c>
      <c r="I8" s="340">
        <f>+_xlfn.XLOOKUP($B8,'POM 2025'!$B:$B,'POM 2025'!AW:AW,0,0,1)</f>
        <v>47145</v>
      </c>
      <c r="J8" s="339">
        <f>+_xlfn.XLOOKUP($B8,'POM 2025'!$B:$B,'POM 2025'!AX:AX,0,0,1)</f>
        <v>0</v>
      </c>
      <c r="K8" s="332">
        <f>+_xlfn.XLOOKUP($B8,'POM 2025'!$B:$B,'POM 2025'!AY:AY,0,0,1)</f>
        <v>0</v>
      </c>
      <c r="L8" s="340">
        <f>+_xlfn.XLOOKUP($B8,'POM 2025'!$B:$B,'POM 2025'!AZ:AZ,0,0,1)</f>
        <v>0</v>
      </c>
    </row>
    <row r="9" spans="1:15" x14ac:dyDescent="0.2">
      <c r="A9" s="344">
        <v>4</v>
      </c>
      <c r="B9" s="335" t="s">
        <v>448</v>
      </c>
      <c r="C9" s="333" t="s">
        <v>308</v>
      </c>
      <c r="D9" s="334">
        <f>+_xlfn.XLOOKUP($B9,'POM 2025'!$B:$B,'POM 2025'!$I:$I,0,0,1)</f>
        <v>192082.19</v>
      </c>
      <c r="E9" s="354">
        <f>+_xlfn.XLOOKUP($B9,'POM 2025'!$B:$B,'POM 2025'!$J:$J,0,0,1)</f>
        <v>192082.2</v>
      </c>
      <c r="F9" s="345">
        <f t="shared" si="1"/>
        <v>-1.0000000009313226E-2</v>
      </c>
      <c r="G9" s="339">
        <f>+_xlfn.XLOOKUP($B9,'POM 2025'!$B:$B,'POM 2025'!AU:AU,0,0,1)</f>
        <v>18000</v>
      </c>
      <c r="H9" s="332">
        <f>+_xlfn.XLOOKUP($B9,'POM 2025'!$B:$B,'POM 2025'!AV:AV,0,0,1)</f>
        <v>18000</v>
      </c>
      <c r="I9" s="340">
        <f>+_xlfn.XLOOKUP($B9,'POM 2025'!$B:$B,'POM 2025'!AW:AW,0,0,1)</f>
        <v>15152</v>
      </c>
      <c r="J9" s="339">
        <f>+_xlfn.XLOOKUP($B9,'POM 2025'!$B:$B,'POM 2025'!AX:AX,0,0,1)</f>
        <v>75316.205533596862</v>
      </c>
      <c r="K9" s="332">
        <f>+_xlfn.XLOOKUP($B9,'POM 2025'!$B:$B,'POM 2025'!AY:AY,0,0,1)</f>
        <v>69500</v>
      </c>
      <c r="L9" s="340">
        <f>+_xlfn.XLOOKUP($B9,'POM 2025'!$B:$B,'POM 2025'!AZ:AZ,0,0,1)</f>
        <v>69222</v>
      </c>
    </row>
    <row r="10" spans="1:15" x14ac:dyDescent="0.2">
      <c r="A10" s="344">
        <v>5</v>
      </c>
      <c r="B10" s="335" t="s">
        <v>323</v>
      </c>
      <c r="C10" s="333" t="s">
        <v>309</v>
      </c>
      <c r="D10" s="334">
        <f>+_xlfn.XLOOKUP($B10,'POM 2025'!$B:$B,'POM 2025'!$I:$I,0,0,1)</f>
        <v>187619</v>
      </c>
      <c r="E10" s="354">
        <f>+_xlfn.XLOOKUP($B10,'POM 2025'!$B:$B,'POM 2025'!$J:$J,0,0,1)</f>
        <v>187619</v>
      </c>
      <c r="F10" s="345">
        <f t="shared" si="1"/>
        <v>0</v>
      </c>
      <c r="G10" s="339">
        <f>+_xlfn.XLOOKUP($B10,'POM 2025'!$B:$B,'POM 2025'!AU:AU,0,0,1)</f>
        <v>40000</v>
      </c>
      <c r="H10" s="332">
        <f>+_xlfn.XLOOKUP($B10,'POM 2025'!$B:$B,'POM 2025'!AV:AV,0,0,1)</f>
        <v>40000</v>
      </c>
      <c r="I10" s="340">
        <f>+_xlfn.XLOOKUP($B10,'POM 2025'!$B:$B,'POM 2025'!AW:AW,0,0,1)</f>
        <v>36078</v>
      </c>
      <c r="J10" s="339">
        <f>+_xlfn.XLOOKUP($B10,'POM 2025'!$B:$B,'POM 2025'!AX:AX,0,0,1)</f>
        <v>0</v>
      </c>
      <c r="K10" s="332">
        <f>+_xlfn.XLOOKUP($B10,'POM 2025'!$B:$B,'POM 2025'!AY:AY,0,0,1)</f>
        <v>20228</v>
      </c>
      <c r="L10" s="340">
        <f>+_xlfn.XLOOKUP($B10,'POM 2025'!$B:$B,'POM 2025'!AZ:AZ,0,0,1)</f>
        <v>20228</v>
      </c>
    </row>
    <row r="11" spans="1:15" x14ac:dyDescent="0.2">
      <c r="A11" s="344">
        <v>6</v>
      </c>
      <c r="B11" s="335" t="s">
        <v>437</v>
      </c>
      <c r="C11" s="333" t="s">
        <v>69</v>
      </c>
      <c r="D11" s="334">
        <f>+_xlfn.XLOOKUP($B11,'POM 2025'!$B:$B,'POM 2025'!$I:$I,0,0,1)</f>
        <v>217777</v>
      </c>
      <c r="E11" s="354">
        <f>+_xlfn.XLOOKUP($B11,'POM 2025'!$B:$B,'POM 2025'!$J:$J,0,0,1)</f>
        <v>249576</v>
      </c>
      <c r="F11" s="345">
        <f t="shared" si="1"/>
        <v>-31799</v>
      </c>
      <c r="G11" s="339">
        <f>+_xlfn.XLOOKUP($B11,'POM 2025'!$B:$B,'POM 2025'!AU:AU,0,0,1)</f>
        <v>20000</v>
      </c>
      <c r="H11" s="332">
        <f>+_xlfn.XLOOKUP($B11,'POM 2025'!$B:$B,'POM 2025'!AV:AV,0,0,1)</f>
        <v>30994</v>
      </c>
      <c r="I11" s="340">
        <f>+_xlfn.XLOOKUP($B11,'POM 2025'!$B:$B,'POM 2025'!AW:AW,0,0,1)</f>
        <v>38737</v>
      </c>
      <c r="J11" s="339">
        <f>+_xlfn.XLOOKUP($B11,'POM 2025'!$B:$B,'POM 2025'!AX:AX,0,0,1)</f>
        <v>28836.477987421382</v>
      </c>
      <c r="K11" s="332">
        <f>+_xlfn.XLOOKUP($B11,'POM 2025'!$B:$B,'POM 2025'!AY:AY,0,0,1)</f>
        <v>5000</v>
      </c>
      <c r="L11" s="340">
        <f>+_xlfn.XLOOKUP($B11,'POM 2025'!$B:$B,'POM 2025'!AZ:AZ,0,0,1)</f>
        <v>6418</v>
      </c>
    </row>
    <row r="12" spans="1:15" x14ac:dyDescent="0.2">
      <c r="A12" s="344">
        <v>7</v>
      </c>
      <c r="B12" s="335" t="s">
        <v>457</v>
      </c>
      <c r="C12" s="333" t="s">
        <v>309</v>
      </c>
      <c r="D12" s="334">
        <f>+_xlfn.XLOOKUP($B12,'POM 2025'!$B:$B,'POM 2025'!$I:$I,0,0,1)</f>
        <v>214363</v>
      </c>
      <c r="E12" s="354">
        <f>+_xlfn.XLOOKUP($B12,'POM 2025'!$B:$B,'POM 2025'!$J:$J,0,0,1)</f>
        <v>142403</v>
      </c>
      <c r="F12" s="345">
        <f t="shared" si="1"/>
        <v>71960</v>
      </c>
      <c r="G12" s="339">
        <f>+_xlfn.XLOOKUP($B12,'POM 2025'!$B:$B,'POM 2025'!AU:AU,0,0,1)</f>
        <v>20000</v>
      </c>
      <c r="H12" s="332">
        <f>+_xlfn.XLOOKUP($B12,'POM 2025'!$B:$B,'POM 2025'!AV:AV,0,0,1)</f>
        <v>10000</v>
      </c>
      <c r="I12" s="340">
        <f>+_xlfn.XLOOKUP($B12,'POM 2025'!$B:$B,'POM 2025'!AW:AW,0,0,1)</f>
        <v>9596</v>
      </c>
      <c r="J12" s="339">
        <f>+_xlfn.XLOOKUP($B12,'POM 2025'!$B:$B,'POM 2025'!AX:AX,0,0,1)</f>
        <v>54480.340494527809</v>
      </c>
      <c r="K12" s="332">
        <f>+_xlfn.XLOOKUP($B12,'POM 2025'!$B:$B,'POM 2025'!AY:AY,0,0,1)</f>
        <v>30000</v>
      </c>
      <c r="L12" s="340">
        <f>+_xlfn.XLOOKUP($B12,'POM 2025'!$B:$B,'POM 2025'!AZ:AZ,0,0,1)</f>
        <v>26815</v>
      </c>
    </row>
    <row r="13" spans="1:15" x14ac:dyDescent="0.2">
      <c r="A13" s="344">
        <v>8</v>
      </c>
      <c r="B13" s="335" t="s">
        <v>446</v>
      </c>
      <c r="C13" s="333" t="s">
        <v>309</v>
      </c>
      <c r="D13" s="334">
        <f>+_xlfn.XLOOKUP($B13,'POM 2025'!$B:$B,'POM 2025'!$I:$I,0,0,1)</f>
        <v>141747</v>
      </c>
      <c r="E13" s="354">
        <f>+_xlfn.XLOOKUP($B13,'POM 2025'!$B:$B,'POM 2025'!$J:$J,0,0,1)</f>
        <v>138948</v>
      </c>
      <c r="F13" s="345">
        <f t="shared" si="1"/>
        <v>2799</v>
      </c>
      <c r="G13" s="339">
        <f>+_xlfn.XLOOKUP($B13,'POM 2025'!$B:$B,'POM 2025'!AU:AU,0,0,1)</f>
        <v>43000</v>
      </c>
      <c r="H13" s="332">
        <f>+_xlfn.XLOOKUP($B13,'POM 2025'!$B:$B,'POM 2025'!AV:AV,0,0,1)</f>
        <v>43000</v>
      </c>
      <c r="I13" s="340">
        <f>+_xlfn.XLOOKUP($B13,'POM 2025'!$B:$B,'POM 2025'!AW:AW,0,0,1)</f>
        <v>46313</v>
      </c>
      <c r="J13" s="339">
        <f>+_xlfn.XLOOKUP($B13,'POM 2025'!$B:$B,'POM 2025'!AX:AX,0,0,1)</f>
        <v>34000</v>
      </c>
      <c r="K13" s="332">
        <f>+_xlfn.XLOOKUP($B13,'POM 2025'!$B:$B,'POM 2025'!AY:AY,0,0,1)</f>
        <v>45000</v>
      </c>
      <c r="L13" s="340">
        <f>+_xlfn.XLOOKUP($B13,'POM 2025'!$B:$B,'POM 2025'!AZ:AZ,0,0,1)</f>
        <v>32927</v>
      </c>
    </row>
    <row r="14" spans="1:15" x14ac:dyDescent="0.2">
      <c r="A14" s="344">
        <v>9</v>
      </c>
      <c r="B14" s="335" t="s">
        <v>409</v>
      </c>
      <c r="C14" s="333" t="s">
        <v>216</v>
      </c>
      <c r="D14" s="334">
        <f>+_xlfn.XLOOKUP($B14,'POM 2025'!$B:$B,'POM 2025'!$I:$I,0,0,1)</f>
        <v>153605.26</v>
      </c>
      <c r="E14" s="354">
        <f>+_xlfn.XLOOKUP($B14,'POM 2025'!$B:$B,'POM 2025'!$J:$J,0,0,1)</f>
        <v>153605</v>
      </c>
      <c r="F14" s="345">
        <f t="shared" si="1"/>
        <v>0.26000000000931323</v>
      </c>
      <c r="G14" s="339">
        <f>+_xlfn.XLOOKUP($B14,'POM 2025'!$B:$B,'POM 2025'!AU:AU,0,0,1)</f>
        <v>11964</v>
      </c>
      <c r="H14" s="332">
        <f>+_xlfn.XLOOKUP($B14,'POM 2025'!$B:$B,'POM 2025'!AV:AV,0,0,1)</f>
        <v>11964</v>
      </c>
      <c r="I14" s="340">
        <f>+_xlfn.XLOOKUP($B14,'POM 2025'!$B:$B,'POM 2025'!AW:AW,0,0,1)</f>
        <v>0</v>
      </c>
      <c r="J14" s="339">
        <f>+_xlfn.XLOOKUP($B14,'POM 2025'!$B:$B,'POM 2025'!AX:AX,0,0,1)</f>
        <v>0</v>
      </c>
      <c r="K14" s="332">
        <f>+_xlfn.XLOOKUP($B14,'POM 2025'!$B:$B,'POM 2025'!AY:AY,0,0,1)</f>
        <v>23913</v>
      </c>
      <c r="L14" s="340">
        <f>+_xlfn.XLOOKUP($B14,'POM 2025'!$B:$B,'POM 2025'!AZ:AZ,0,0,1)</f>
        <v>23913</v>
      </c>
      <c r="M14" s="124"/>
    </row>
    <row r="15" spans="1:15" x14ac:dyDescent="0.2">
      <c r="A15" s="344">
        <v>10</v>
      </c>
      <c r="B15" s="335" t="s">
        <v>327</v>
      </c>
      <c r="C15" s="333" t="s">
        <v>309</v>
      </c>
      <c r="D15" s="334">
        <f>+_xlfn.XLOOKUP($B15,'POM 2025'!$B:$B,'POM 2025'!$I:$I,0,0,1)</f>
        <v>122239</v>
      </c>
      <c r="E15" s="354">
        <f>+_xlfn.XLOOKUP($B15,'POM 2025'!$B:$B,'POM 2025'!$J:$J,0,0,1)</f>
        <v>122239.29000000001</v>
      </c>
      <c r="F15" s="345">
        <f t="shared" si="1"/>
        <v>-0.29000000000814907</v>
      </c>
      <c r="G15" s="339">
        <f>+_xlfn.XLOOKUP($B15,'POM 2025'!$B:$B,'POM 2025'!AU:AU,0,0,1)</f>
        <v>5034</v>
      </c>
      <c r="H15" s="332">
        <f>+_xlfn.XLOOKUP($B15,'POM 2025'!$B:$B,'POM 2025'!AV:AV,0,0,1)</f>
        <v>5034</v>
      </c>
      <c r="I15" s="340">
        <f>+_xlfn.XLOOKUP($B15,'POM 2025'!$B:$B,'POM 2025'!AW:AW,0,0,1)</f>
        <v>0</v>
      </c>
      <c r="J15" s="339">
        <f>+_xlfn.XLOOKUP($B15,'POM 2025'!$B:$B,'POM 2025'!AX:AX,0,0,1)</f>
        <v>0</v>
      </c>
      <c r="K15" s="332">
        <f>+_xlfn.XLOOKUP($B15,'POM 2025'!$B:$B,'POM 2025'!AY:AY,0,0,1)</f>
        <v>0</v>
      </c>
      <c r="L15" s="340">
        <f>+_xlfn.XLOOKUP($B15,'POM 2025'!$B:$B,'POM 2025'!AZ:AZ,0,0,1)</f>
        <v>0</v>
      </c>
    </row>
    <row r="16" spans="1:15" x14ac:dyDescent="0.2">
      <c r="A16" s="344">
        <v>11</v>
      </c>
      <c r="B16" s="335" t="s">
        <v>412</v>
      </c>
      <c r="C16" s="333" t="s">
        <v>216</v>
      </c>
      <c r="D16" s="334">
        <f>+_xlfn.XLOOKUP($B16,'POM 2025'!$B:$B,'POM 2025'!$I:$I,0,0,1)</f>
        <v>85371</v>
      </c>
      <c r="E16" s="354">
        <f>+_xlfn.XLOOKUP($B16,'POM 2025'!$B:$B,'POM 2025'!$J:$J,0,0,1)</f>
        <v>85370.751999999993</v>
      </c>
      <c r="F16" s="345">
        <f t="shared" si="1"/>
        <v>0.2480000000068685</v>
      </c>
      <c r="G16" s="339">
        <f>+_xlfn.XLOOKUP($B16,'POM 2025'!$B:$B,'POM 2025'!AU:AU,0,0,1)</f>
        <v>17056</v>
      </c>
      <c r="H16" s="332">
        <f>+_xlfn.XLOOKUP($B16,'POM 2025'!$B:$B,'POM 2025'!AV:AV,0,0,1)</f>
        <v>17056</v>
      </c>
      <c r="I16" s="340">
        <f>+_xlfn.XLOOKUP($B16,'POM 2025'!$B:$B,'POM 2025'!AW:AW,0,0,1)</f>
        <v>0</v>
      </c>
      <c r="J16" s="339">
        <f>+_xlfn.XLOOKUP($B16,'POM 2025'!$B:$B,'POM 2025'!AX:AX,0,0,1)</f>
        <v>0</v>
      </c>
      <c r="K16" s="332">
        <f>+_xlfn.XLOOKUP($B16,'POM 2025'!$B:$B,'POM 2025'!AY:AY,0,0,1)</f>
        <v>17056.248000000007</v>
      </c>
      <c r="L16" s="340">
        <f>+_xlfn.XLOOKUP($B16,'POM 2025'!$B:$B,'POM 2025'!AZ:AZ,0,0,1)</f>
        <v>17056</v>
      </c>
    </row>
    <row r="17" spans="1:12" x14ac:dyDescent="0.2">
      <c r="A17" s="344">
        <v>12</v>
      </c>
      <c r="B17" s="335" t="s">
        <v>459</v>
      </c>
      <c r="C17" s="333" t="s">
        <v>309</v>
      </c>
      <c r="D17" s="334">
        <f>+_xlfn.XLOOKUP($B17,'POM 2025'!$B:$B,'POM 2025'!$I:$I,0,0,1)</f>
        <v>61505</v>
      </c>
      <c r="E17" s="354">
        <f>+_xlfn.XLOOKUP($B17,'POM 2025'!$B:$B,'POM 2025'!$J:$J,0,0,1)</f>
        <v>61505</v>
      </c>
      <c r="F17" s="345">
        <f t="shared" si="1"/>
        <v>0</v>
      </c>
      <c r="G17" s="339">
        <f>+_xlfn.XLOOKUP($B17,'POM 2025'!$B:$B,'POM 2025'!AU:AU,0,0,1)</f>
        <v>41284</v>
      </c>
      <c r="H17" s="332">
        <f>+_xlfn.XLOOKUP($B17,'POM 2025'!$B:$B,'POM 2025'!AV:AV,0,0,1)</f>
        <v>66605</v>
      </c>
      <c r="I17" s="340">
        <f>+_xlfn.XLOOKUP($B17,'POM 2025'!$B:$B,'POM 2025'!AW:AW,0,0,1)</f>
        <v>51680</v>
      </c>
      <c r="J17" s="339">
        <f>+_xlfn.XLOOKUP($B17,'POM 2025'!$B:$B,'POM 2025'!AX:AX,0,0,1)</f>
        <v>4918.0327868852546</v>
      </c>
      <c r="K17" s="332">
        <f>+_xlfn.XLOOKUP($B17,'POM 2025'!$B:$B,'POM 2025'!AY:AY,0,0,1)</f>
        <v>18900</v>
      </c>
      <c r="L17" s="340">
        <f>+_xlfn.XLOOKUP($B17,'POM 2025'!$B:$B,'POM 2025'!AZ:AZ,0,0,1)</f>
        <v>9825</v>
      </c>
    </row>
    <row r="18" spans="1:12" x14ac:dyDescent="0.2">
      <c r="A18" s="344">
        <v>13</v>
      </c>
      <c r="B18" s="335" t="s">
        <v>451</v>
      </c>
      <c r="C18" s="333" t="s">
        <v>216</v>
      </c>
      <c r="D18" s="334">
        <f>+_xlfn.XLOOKUP($B18,'POM 2025'!$B:$B,'POM 2025'!$I:$I,0,0,1)</f>
        <v>40120</v>
      </c>
      <c r="E18" s="354">
        <f>+_xlfn.XLOOKUP($B18,'POM 2025'!$B:$B,'POM 2025'!$J:$J,0,0,1)</f>
        <v>40120</v>
      </c>
      <c r="F18" s="345">
        <f t="shared" si="1"/>
        <v>0</v>
      </c>
      <c r="G18" s="339">
        <f>+_xlfn.XLOOKUP($B18,'POM 2025'!$B:$B,'POM 2025'!AU:AU,0,0,1)</f>
        <v>20000</v>
      </c>
      <c r="H18" s="332">
        <f>+_xlfn.XLOOKUP($B18,'POM 2025'!$B:$B,'POM 2025'!AV:AV,0,0,1)</f>
        <v>5000</v>
      </c>
      <c r="I18" s="340">
        <f>+_xlfn.XLOOKUP($B18,'POM 2025'!$B:$B,'POM 2025'!AW:AW,0,0,1)</f>
        <v>0</v>
      </c>
      <c r="J18" s="339">
        <f>+_xlfn.XLOOKUP($B18,'POM 2025'!$B:$B,'POM 2025'!AX:AX,0,0,1)</f>
        <v>22302</v>
      </c>
      <c r="K18" s="332">
        <f>+_xlfn.XLOOKUP($B18,'POM 2025'!$B:$B,'POM 2025'!AY:AY,0,0,1)</f>
        <v>30000</v>
      </c>
      <c r="L18" s="340">
        <f>+_xlfn.XLOOKUP($B18,'POM 2025'!$B:$B,'POM 2025'!AZ:AZ,0,0,1)</f>
        <v>25294</v>
      </c>
    </row>
    <row r="19" spans="1:12" x14ac:dyDescent="0.2">
      <c r="A19" s="344">
        <v>14</v>
      </c>
      <c r="B19" s="335" t="s">
        <v>382</v>
      </c>
      <c r="C19" s="333" t="s">
        <v>383</v>
      </c>
      <c r="D19" s="334">
        <f>+_xlfn.XLOOKUP($B19,'POM 2025'!$B:$B,'POM 2025'!$I:$I,0,0,1)</f>
        <v>153748</v>
      </c>
      <c r="E19" s="354">
        <f>+_xlfn.XLOOKUP($B19,'POM 2025'!$B:$B,'POM 2025'!$J:$J,0,0,1)</f>
        <v>153748</v>
      </c>
      <c r="F19" s="345">
        <f t="shared" si="1"/>
        <v>0</v>
      </c>
      <c r="G19" s="339">
        <f>+_xlfn.XLOOKUP($B19,'POM 2025'!$B:$B,'POM 2025'!AU:AU,0,0,1)</f>
        <v>87873</v>
      </c>
      <c r="H19" s="332">
        <f>+_xlfn.XLOOKUP($B19,'POM 2025'!$B:$B,'POM 2025'!AV:AV,0,0,1)</f>
        <v>87873</v>
      </c>
      <c r="I19" s="340">
        <f>+_xlfn.XLOOKUP($B19,'POM 2025'!$B:$B,'POM 2025'!AW:AW,0,0,1)</f>
        <v>0</v>
      </c>
      <c r="J19" s="339">
        <f>+_xlfn.XLOOKUP($B19,'POM 2025'!$B:$B,'POM 2025'!AX:AX,0,0,1)</f>
        <v>0</v>
      </c>
      <c r="K19" s="332">
        <f>+_xlfn.XLOOKUP($B19,'POM 2025'!$B:$B,'POM 2025'!AY:AY,0,0,1)</f>
        <v>83000</v>
      </c>
      <c r="L19" s="340">
        <f>+_xlfn.XLOOKUP($B19,'POM 2025'!$B:$B,'POM 2025'!AZ:AZ,0,0,1)</f>
        <v>0</v>
      </c>
    </row>
    <row r="20" spans="1:12" x14ac:dyDescent="0.2">
      <c r="A20" s="344">
        <v>15</v>
      </c>
      <c r="B20" s="335" t="s">
        <v>411</v>
      </c>
      <c r="C20" s="333" t="s">
        <v>383</v>
      </c>
      <c r="D20" s="334">
        <f>+_xlfn.XLOOKUP($B20,'POM 2025'!$B:$B,'POM 2025'!$I:$I,0,0,1)</f>
        <v>178686</v>
      </c>
      <c r="E20" s="354">
        <f>+_xlfn.XLOOKUP($B20,'POM 2025'!$B:$B,'POM 2025'!$J:$J,0,0,1)</f>
        <v>178686</v>
      </c>
      <c r="F20" s="345">
        <f t="shared" si="1"/>
        <v>0</v>
      </c>
      <c r="G20" s="339">
        <f>+_xlfn.XLOOKUP($B20,'POM 2025'!$B:$B,'POM 2025'!AU:AU,0,0,1)</f>
        <v>33597</v>
      </c>
      <c r="H20" s="332">
        <f>+_xlfn.XLOOKUP($B20,'POM 2025'!$B:$B,'POM 2025'!AV:AV,0,0,1)</f>
        <v>33597</v>
      </c>
      <c r="I20" s="340">
        <f>+_xlfn.XLOOKUP($B20,'POM 2025'!$B:$B,'POM 2025'!AW:AW,0,0,1)</f>
        <v>0</v>
      </c>
      <c r="J20" s="339">
        <f>+_xlfn.XLOOKUP($B20,'POM 2025'!$B:$B,'POM 2025'!AX:AX,0,0,1)</f>
        <v>0</v>
      </c>
      <c r="K20" s="332">
        <f>+_xlfn.XLOOKUP($B20,'POM 2025'!$B:$B,'POM 2025'!AY:AY,0,0,1)</f>
        <v>66000</v>
      </c>
      <c r="L20" s="340">
        <f>+_xlfn.XLOOKUP($B20,'POM 2025'!$B:$B,'POM 2025'!AZ:AZ,0,0,1)</f>
        <v>0</v>
      </c>
    </row>
    <row r="21" spans="1:12" x14ac:dyDescent="0.2">
      <c r="A21" s="344">
        <v>16</v>
      </c>
      <c r="B21" s="335" t="s">
        <v>106</v>
      </c>
      <c r="C21" s="333" t="s">
        <v>383</v>
      </c>
      <c r="D21" s="334">
        <f>+_xlfn.XLOOKUP($B21,'POM 2025'!$B:$B,'POM 2025'!$I:$I,0,0,1)</f>
        <v>4339988</v>
      </c>
      <c r="E21" s="354">
        <f>+_xlfn.XLOOKUP($B21,'POM 2025'!$B:$B,'POM 2025'!$J:$J,0,0,1)</f>
        <v>3397349.7</v>
      </c>
      <c r="F21" s="345">
        <f t="shared" si="1"/>
        <v>942638.29999999981</v>
      </c>
      <c r="G21" s="339">
        <f>+_xlfn.XLOOKUP($B21,'POM 2025'!$B:$B,'POM 2025'!AU:AU,0,0,1)</f>
        <v>1217640</v>
      </c>
      <c r="H21" s="332">
        <f>+_xlfn.XLOOKUP($B21,'POM 2025'!$B:$B,'POM 2025'!AV:AV,0,0,1)</f>
        <v>1217640</v>
      </c>
      <c r="I21" s="340">
        <f>+_xlfn.XLOOKUP($B21,'POM 2025'!$B:$B,'POM 2025'!AW:AW,0,0,1)</f>
        <v>0</v>
      </c>
      <c r="J21" s="339">
        <f>+_xlfn.XLOOKUP($B21,'POM 2025'!$B:$B,'POM 2025'!AX:AX,0,0,1)</f>
        <v>126000</v>
      </c>
      <c r="K21" s="332">
        <f>+_xlfn.XLOOKUP($B21,'POM 2025'!$B:$B,'POM 2025'!AY:AY,0,0,1)</f>
        <v>1217640</v>
      </c>
      <c r="L21" s="340">
        <f>+_xlfn.XLOOKUP($B21,'POM 2025'!$B:$B,'POM 2025'!AZ:AZ,0,0,1)</f>
        <v>0</v>
      </c>
    </row>
    <row r="22" spans="1:12" x14ac:dyDescent="0.2">
      <c r="A22" s="344">
        <v>17</v>
      </c>
      <c r="B22" s="335" t="s">
        <v>381</v>
      </c>
      <c r="C22" s="333" t="s">
        <v>383</v>
      </c>
      <c r="D22" s="334">
        <f>+_xlfn.XLOOKUP($B22,'POM 2025'!$B:$B,'POM 2025'!$I:$I,0,0,1)</f>
        <v>225000</v>
      </c>
      <c r="E22" s="354">
        <f>+_xlfn.XLOOKUP($B22,'POM 2025'!$B:$B,'POM 2025'!$J:$J,0,0,1)</f>
        <v>15000</v>
      </c>
      <c r="F22" s="345">
        <f t="shared" si="1"/>
        <v>210000</v>
      </c>
      <c r="G22" s="339">
        <f>+_xlfn.XLOOKUP($B22,'POM 2025'!$B:$B,'POM 2025'!AU:AU,0,0,1)</f>
        <v>51000</v>
      </c>
      <c r="H22" s="332">
        <f>+_xlfn.XLOOKUP($B22,'POM 2025'!$B:$B,'POM 2025'!AV:AV,0,0,1)</f>
        <v>0</v>
      </c>
      <c r="I22" s="340">
        <f>+_xlfn.XLOOKUP($B22,'POM 2025'!$B:$B,'POM 2025'!AW:AW,0,0,1)</f>
        <v>0</v>
      </c>
      <c r="J22" s="339">
        <f>+_xlfn.XLOOKUP($B22,'POM 2025'!$B:$B,'POM 2025'!AX:AX,0,0,1)</f>
        <v>27078.712469569924</v>
      </c>
      <c r="K22" s="332">
        <f>+_xlfn.XLOOKUP($B22,'POM 2025'!$B:$B,'POM 2025'!AY:AY,0,0,1)</f>
        <v>10000</v>
      </c>
      <c r="L22" s="340">
        <f>+_xlfn.XLOOKUP($B22,'POM 2025'!$B:$B,'POM 2025'!AZ:AZ,0,0,1)</f>
        <v>0</v>
      </c>
    </row>
    <row r="23" spans="1:12" x14ac:dyDescent="0.2">
      <c r="A23" s="344">
        <v>18</v>
      </c>
      <c r="B23" s="335" t="s">
        <v>344</v>
      </c>
      <c r="C23" s="333" t="s">
        <v>308</v>
      </c>
      <c r="D23" s="334">
        <f>+_xlfn.XLOOKUP($B23,'POM 2025'!$B:$B,'POM 2025'!$I:$I,0,0,1)</f>
        <v>80293</v>
      </c>
      <c r="E23" s="354">
        <f>+_xlfn.XLOOKUP($B23,'POM 2025'!$B:$B,'POM 2025'!$J:$J,0,0,1)</f>
        <v>80293</v>
      </c>
      <c r="F23" s="345">
        <f t="shared" ref="F23:F30" si="2">+D23-E23</f>
        <v>0</v>
      </c>
      <c r="G23" s="339">
        <f>+_xlfn.XLOOKUP($B23,'POM 2025'!$B:$B,'POM 2025'!AU:AU,0,0,1)</f>
        <v>0</v>
      </c>
      <c r="H23" s="332">
        <f>+_xlfn.XLOOKUP($B23,'POM 2025'!$B:$B,'POM 2025'!AV:AV,0,0,1)</f>
        <v>7778</v>
      </c>
      <c r="I23" s="340">
        <f>+_xlfn.XLOOKUP($B23,'POM 2025'!$B:$B,'POM 2025'!AW:AW,0,0,1)</f>
        <v>7778</v>
      </c>
      <c r="J23" s="339">
        <f>+_xlfn.XLOOKUP($B23,'POM 2025'!$B:$B,'POM 2025'!AX:AX,0,0,1)</f>
        <v>0</v>
      </c>
      <c r="K23" s="332">
        <f>+_xlfn.XLOOKUP($B23,'POM 2025'!$B:$B,'POM 2025'!AY:AY,0,0,1)</f>
        <v>0</v>
      </c>
      <c r="L23" s="340">
        <f>+_xlfn.XLOOKUP($B23,'POM 2025'!$B:$B,'POM 2025'!AZ:AZ,0,0,1)</f>
        <v>0</v>
      </c>
    </row>
    <row r="24" spans="1:12" x14ac:dyDescent="0.2">
      <c r="A24" s="344">
        <v>19</v>
      </c>
      <c r="B24" s="335" t="s">
        <v>460</v>
      </c>
      <c r="C24" s="333" t="s">
        <v>216</v>
      </c>
      <c r="D24" s="334">
        <f>+_xlfn.XLOOKUP($B24,'POM 2025'!$B:$B,'POM 2025'!$I:$I,0,0,1)</f>
        <v>257988</v>
      </c>
      <c r="E24" s="354">
        <f>+_xlfn.XLOOKUP($B24,'POM 2025'!$B:$B,'POM 2025'!$J:$J,0,0,1)</f>
        <v>257988</v>
      </c>
      <c r="F24" s="345">
        <f t="shared" si="2"/>
        <v>0</v>
      </c>
      <c r="G24" s="339">
        <f>+_xlfn.XLOOKUP($B24,'POM 2025'!$B:$B,'POM 2025'!AU:AU,0,0,1)</f>
        <v>0</v>
      </c>
      <c r="H24" s="332">
        <f>+_xlfn.XLOOKUP($B24,'POM 2025'!$B:$B,'POM 2025'!AV:AV,0,0,1)</f>
        <v>5000</v>
      </c>
      <c r="I24" s="340">
        <f>+_xlfn.XLOOKUP($B24,'POM 2025'!$B:$B,'POM 2025'!AW:AW,0,0,1)</f>
        <v>0</v>
      </c>
      <c r="J24" s="339">
        <f>+_xlfn.XLOOKUP($B24,'POM 2025'!$B:$B,'POM 2025'!AX:AX,0,0,1)</f>
        <v>132678.81739893439</v>
      </c>
      <c r="K24" s="332">
        <f>+_xlfn.XLOOKUP($B24,'POM 2025'!$B:$B,'POM 2025'!AY:AY,0,0,1)</f>
        <v>100000</v>
      </c>
      <c r="L24" s="340">
        <f>+_xlfn.XLOOKUP($B24,'POM 2025'!$B:$B,'POM 2025'!AZ:AZ,0,0,1)</f>
        <v>103193</v>
      </c>
    </row>
    <row r="25" spans="1:12" x14ac:dyDescent="0.2">
      <c r="A25" s="344">
        <v>20</v>
      </c>
      <c r="B25" s="335" t="s">
        <v>452</v>
      </c>
      <c r="C25" s="333" t="s">
        <v>216</v>
      </c>
      <c r="D25" s="334">
        <f>+_xlfn.XLOOKUP($B25,'POM 2025'!$B:$B,'POM 2025'!$I:$I,0,0,1)</f>
        <v>229330</v>
      </c>
      <c r="E25" s="354">
        <f>+_xlfn.XLOOKUP($B25,'POM 2025'!$B:$B,'POM 2025'!$J:$J,0,0,1)</f>
        <v>140236</v>
      </c>
      <c r="F25" s="345">
        <f t="shared" si="2"/>
        <v>89094</v>
      </c>
      <c r="G25" s="339">
        <f>+_xlfn.XLOOKUP($B25,'POM 2025'!$B:$B,'POM 2025'!AU:AU,0,0,1)</f>
        <v>0</v>
      </c>
      <c r="H25" s="332">
        <f>+_xlfn.XLOOKUP($B25,'POM 2025'!$B:$B,'POM 2025'!AV:AV,0,0,1)</f>
        <v>12000</v>
      </c>
      <c r="I25" s="340">
        <f>+_xlfn.XLOOKUP($B25,'POM 2025'!$B:$B,'POM 2025'!AW:AW,0,0,1)</f>
        <v>0</v>
      </c>
      <c r="J25" s="339">
        <f>+_xlfn.XLOOKUP($B25,'POM 2025'!$B:$B,'POM 2025'!AX:AX,0,0,1)</f>
        <v>22509.13413413415</v>
      </c>
      <c r="K25" s="332">
        <f>+_xlfn.XLOOKUP($B25,'POM 2025'!$B:$B,'POM 2025'!AY:AY,0,0,1)</f>
        <v>39000</v>
      </c>
      <c r="L25" s="340">
        <f>+_xlfn.XLOOKUP($B25,'POM 2025'!$B:$B,'POM 2025'!AZ:AZ,0,0,1)</f>
        <v>30588</v>
      </c>
    </row>
    <row r="26" spans="1:12" x14ac:dyDescent="0.2">
      <c r="A26" s="344">
        <v>21</v>
      </c>
      <c r="B26" s="335" t="s">
        <v>458</v>
      </c>
      <c r="C26" s="333" t="s">
        <v>309</v>
      </c>
      <c r="D26" s="334">
        <f>+_xlfn.XLOOKUP($B26,'POM 2025'!$B:$B,'POM 2025'!$I:$I,0,0,1)</f>
        <v>92800</v>
      </c>
      <c r="E26" s="354">
        <f>+_xlfn.XLOOKUP($B26,'POM 2025'!$B:$B,'POM 2025'!$J:$J,0,0,1)</f>
        <v>92800</v>
      </c>
      <c r="F26" s="345">
        <f t="shared" si="2"/>
        <v>0</v>
      </c>
      <c r="G26" s="339">
        <f>+_xlfn.XLOOKUP($B26,'POM 2025'!$B:$B,'POM 2025'!AU:AU,0,0,1)</f>
        <v>0</v>
      </c>
      <c r="H26" s="332">
        <f>+_xlfn.XLOOKUP($B26,'POM 2025'!$B:$B,'POM 2025'!AV:AV,0,0,1)</f>
        <v>35000</v>
      </c>
      <c r="I26" s="340">
        <f>+_xlfn.XLOOKUP($B26,'POM 2025'!$B:$B,'POM 2025'!AW:AW,0,0,1)</f>
        <v>20200</v>
      </c>
      <c r="J26" s="339">
        <f>+_xlfn.XLOOKUP($B26,'POM 2025'!$B:$B,'POM 2025'!AX:AX,0,0,1)</f>
        <v>40593.628331681968</v>
      </c>
      <c r="K26" s="332">
        <f>+_xlfn.XLOOKUP($B26,'POM 2025'!$B:$B,'POM 2025'!AY:AY,0,0,1)</f>
        <v>41000</v>
      </c>
      <c r="L26" s="340">
        <f>+_xlfn.XLOOKUP($B26,'POM 2025'!$B:$B,'POM 2025'!AZ:AZ,0,0,1)</f>
        <v>40415</v>
      </c>
    </row>
    <row r="27" spans="1:12" x14ac:dyDescent="0.2">
      <c r="A27" s="344">
        <v>22</v>
      </c>
      <c r="B27" s="335" t="s">
        <v>506</v>
      </c>
      <c r="C27" s="333" t="s">
        <v>216</v>
      </c>
      <c r="D27" s="334">
        <f>+_xlfn.XLOOKUP($B27,'POM 2025'!$B:$B,'POM 2025'!$I:$I,0,0,1)</f>
        <v>100665</v>
      </c>
      <c r="E27" s="354">
        <f>+_xlfn.XLOOKUP($B27,'POM 2025'!$B:$B,'POM 2025'!$J:$J,0,0,1)</f>
        <v>70564.991111111114</v>
      </c>
      <c r="F27" s="345">
        <f t="shared" si="2"/>
        <v>30100.008888888886</v>
      </c>
      <c r="G27" s="339">
        <f>+_xlfn.XLOOKUP($B27,'POM 2025'!$B:$B,'POM 2025'!AU:AU,0,0,1)</f>
        <v>0</v>
      </c>
      <c r="H27" s="332">
        <f>+_xlfn.XLOOKUP($B27,'POM 2025'!$B:$B,'POM 2025'!AV:AV,0,0,1)</f>
        <v>0</v>
      </c>
      <c r="I27" s="340">
        <f>+_xlfn.XLOOKUP($B27,'POM 2025'!$B:$B,'POM 2025'!AW:AW,0,0,1)</f>
        <v>0</v>
      </c>
      <c r="J27" s="339">
        <f>+_xlfn.XLOOKUP($B27,'POM 2025'!$B:$B,'POM 2025'!AX:AX,0,0,1)</f>
        <v>4497.3682206405683</v>
      </c>
      <c r="K27" s="332">
        <f>+_xlfn.XLOOKUP($B27,'POM 2025'!$B:$B,'POM 2025'!AY:AY,0,0,1)</f>
        <v>15000</v>
      </c>
      <c r="L27" s="340">
        <f>+_xlfn.XLOOKUP($B27,'POM 2025'!$B:$B,'POM 2025'!AZ:AZ,0,0,1)</f>
        <v>13169</v>
      </c>
    </row>
    <row r="28" spans="1:12" x14ac:dyDescent="0.2">
      <c r="A28" s="344">
        <v>23</v>
      </c>
      <c r="B28" s="335" t="s">
        <v>507</v>
      </c>
      <c r="C28" s="333" t="s">
        <v>69</v>
      </c>
      <c r="D28" s="334">
        <f>+_xlfn.XLOOKUP($B28,'POM 2025'!$B:$B,'POM 2025'!$I:$I,0,0,1)</f>
        <v>499350</v>
      </c>
      <c r="E28" s="354">
        <f>+_xlfn.XLOOKUP($B28,'POM 2025'!$B:$B,'POM 2025'!$J:$J,0,0,1)</f>
        <v>239844</v>
      </c>
      <c r="F28" s="345">
        <f t="shared" si="2"/>
        <v>259506</v>
      </c>
      <c r="G28" s="339">
        <f>+_xlfn.XLOOKUP($B28,'POM 2025'!$B:$B,'POM 2025'!AU:AU,0,0,1)</f>
        <v>0</v>
      </c>
      <c r="H28" s="332">
        <f>+_xlfn.XLOOKUP($B28,'POM 2025'!$B:$B,'POM 2025'!AV:AV,0,0,1)</f>
        <v>0</v>
      </c>
      <c r="I28" s="340">
        <f>+_xlfn.XLOOKUP($B28,'POM 2025'!$B:$B,'POM 2025'!AW:AW,0,0,1)</f>
        <v>0</v>
      </c>
      <c r="J28" s="339">
        <f>+_xlfn.XLOOKUP($B28,'POM 2025'!$B:$B,'POM 2025'!AX:AX,0,0,1)</f>
        <v>100308.80606578384</v>
      </c>
      <c r="K28" s="332">
        <f>+_xlfn.XLOOKUP($B28,'POM 2025'!$B:$B,'POM 2025'!AY:AY,0,0,1)</f>
        <v>80000</v>
      </c>
      <c r="L28" s="340">
        <f>+_xlfn.XLOOKUP($B28,'POM 2025'!$B:$B,'POM 2025'!AZ:AZ,0,0,1)</f>
        <v>0</v>
      </c>
    </row>
    <row r="29" spans="1:12" x14ac:dyDescent="0.2">
      <c r="A29" s="344">
        <v>24</v>
      </c>
      <c r="B29" s="335" t="s">
        <v>508</v>
      </c>
      <c r="C29" s="333" t="s">
        <v>216</v>
      </c>
      <c r="D29" s="334">
        <f>+_xlfn.XLOOKUP($B29,'POM 2025'!$B:$B,'POM 2025'!$I:$I,0,0,1)</f>
        <v>74196</v>
      </c>
      <c r="E29" s="354">
        <f>+_xlfn.XLOOKUP($B29,'POM 2025'!$B:$B,'POM 2025'!$J:$J,0,0,1)</f>
        <v>78100</v>
      </c>
      <c r="F29" s="345">
        <f t="shared" si="2"/>
        <v>-3904</v>
      </c>
      <c r="G29" s="339">
        <f>+_xlfn.XLOOKUP($B29,'POM 2025'!$B:$B,'POM 2025'!AU:AU,0,0,1)</f>
        <v>0</v>
      </c>
      <c r="H29" s="332">
        <f>+_xlfn.XLOOKUP($B29,'POM 2025'!$B:$B,'POM 2025'!AV:AV,0,0,1)</f>
        <v>0</v>
      </c>
      <c r="I29" s="340">
        <f>+_xlfn.XLOOKUP($B29,'POM 2025'!$B:$B,'POM 2025'!AW:AW,0,0,1)</f>
        <v>0</v>
      </c>
      <c r="J29" s="339">
        <f>+_xlfn.XLOOKUP($B29,'POM 2025'!$B:$B,'POM 2025'!AX:AX,0,0,1)</f>
        <v>0</v>
      </c>
      <c r="K29" s="332">
        <f>+_xlfn.XLOOKUP($B29,'POM 2025'!$B:$B,'POM 2025'!AY:AY,0,0,1)</f>
        <v>20000</v>
      </c>
      <c r="L29" s="340">
        <f>+_xlfn.XLOOKUP($B29,'POM 2025'!$B:$B,'POM 2025'!AZ:AZ,0,0,1)</f>
        <v>0</v>
      </c>
    </row>
    <row r="30" spans="1:12" ht="14" thickBot="1" x14ac:dyDescent="0.25">
      <c r="A30" s="346">
        <v>25</v>
      </c>
      <c r="B30" s="347" t="s">
        <v>345</v>
      </c>
      <c r="C30" s="348" t="s">
        <v>216</v>
      </c>
      <c r="D30" s="349">
        <f>+_xlfn.XLOOKUP($B30,'POM 2025'!$B:$B,'POM 2025'!$I:$I,0,0,1)</f>
        <v>80125</v>
      </c>
      <c r="E30" s="355">
        <f>+_xlfn.XLOOKUP($B30,'POM 2025'!$B:$B,'POM 2025'!$J:$J,0,0,1)</f>
        <v>79751</v>
      </c>
      <c r="F30" s="350">
        <f t="shared" si="2"/>
        <v>374</v>
      </c>
      <c r="G30" s="341">
        <f>+_xlfn.XLOOKUP($B30,'POM 2025'!$B:$B,'POM 2025'!AU:AU,0,0,1)</f>
        <v>0</v>
      </c>
      <c r="H30" s="342">
        <f>+_xlfn.XLOOKUP($B30,'POM 2025'!$B:$B,'POM 2025'!AV:AV,0,0,1)</f>
        <v>0</v>
      </c>
      <c r="I30" s="343">
        <f>+_xlfn.XLOOKUP($B30,'POM 2025'!$B:$B,'POM 2025'!AW:AW,0,0,1)</f>
        <v>0</v>
      </c>
      <c r="J30" s="341">
        <f>+_xlfn.XLOOKUP($B30,'POM 2025'!$B:$B,'POM 2025'!AX:AX,0,0,1)</f>
        <v>0</v>
      </c>
      <c r="K30" s="342">
        <f>+_xlfn.XLOOKUP($B30,'POM 2025'!$B:$B,'POM 2025'!AY:AY,0,0,1)</f>
        <v>25861</v>
      </c>
      <c r="L30" s="343">
        <f>+_xlfn.XLOOKUP($B30,'POM 2025'!$B:$B,'POM 2025'!AZ:AZ,0,0,1)</f>
        <v>25487</v>
      </c>
    </row>
  </sheetData>
  <mergeCells count="2">
    <mergeCell ref="G1:I1"/>
    <mergeCell ref="J1:L1"/>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FA18-C3E7-4A61-BBDA-917F86DA2B8A}">
  <sheetPr codeName="Hoja17"/>
  <dimension ref="A2:S42"/>
  <sheetViews>
    <sheetView zoomScale="90" zoomScaleNormal="90" workbookViewId="0">
      <pane xSplit="3" ySplit="7" topLeftCell="D8" activePane="bottomRight" state="frozen"/>
      <selection pane="topRight" activeCell="D1" sqref="D1"/>
      <selection pane="bottomLeft" activeCell="A4" sqref="A4"/>
      <selection pane="bottomRight" activeCell="F45" sqref="F45"/>
    </sheetView>
  </sheetViews>
  <sheetFormatPr baseColWidth="10" defaultColWidth="21.33203125" defaultRowHeight="13" x14ac:dyDescent="0.2"/>
  <cols>
    <col min="1" max="1" width="4.33203125" style="120" customWidth="1"/>
    <col min="2" max="2" width="23.6640625" style="120" hidden="1" customWidth="1"/>
    <col min="3" max="3" width="44.33203125" style="120" bestFit="1" customWidth="1"/>
    <col min="4" max="4" width="7.5" style="120" bestFit="1" customWidth="1"/>
    <col min="5" max="5" width="11.5" style="120" bestFit="1" customWidth="1"/>
    <col min="6" max="6" width="12.6640625" style="120" bestFit="1" customWidth="1"/>
    <col min="7" max="7" width="12.6640625" style="120" hidden="1" customWidth="1"/>
    <col min="8" max="8" width="12.6640625" style="120" bestFit="1" customWidth="1"/>
    <col min="9" max="9" width="19" style="124" bestFit="1" customWidth="1"/>
    <col min="10" max="10" width="15.33203125" style="122" customWidth="1"/>
    <col min="11" max="11" width="12.33203125" style="120" bestFit="1" customWidth="1"/>
    <col min="12" max="12" width="12.33203125" style="120" customWidth="1"/>
    <col min="13" max="13" width="18.6640625" style="120" bestFit="1" customWidth="1"/>
    <col min="14" max="14" width="70" style="120" bestFit="1" customWidth="1"/>
    <col min="15" max="15" width="13.5" style="120" customWidth="1"/>
    <col min="16" max="16" width="11.5" style="120" customWidth="1"/>
    <col min="17" max="18" width="10.5" style="120" customWidth="1"/>
    <col min="19" max="19" width="12.5" style="120" bestFit="1" customWidth="1"/>
    <col min="20" max="16384" width="21.33203125" style="120"/>
  </cols>
  <sheetData>
    <row r="2" spans="1:19" ht="15" x14ac:dyDescent="0.2">
      <c r="D2" s="121" t="s">
        <v>379</v>
      </c>
      <c r="E2" s="120">
        <f>+COUNTIF(Tabla1[Empresa],D2)</f>
        <v>10</v>
      </c>
      <c r="H2" s="121" t="s">
        <v>360</v>
      </c>
      <c r="I2" s="120">
        <f>+COUNTIF(Tabla1[Estado],H2)</f>
        <v>30</v>
      </c>
      <c r="K2" s="121" t="s">
        <v>405</v>
      </c>
      <c r="L2" s="121"/>
      <c r="M2" s="119">
        <f>+COUNTIF(M8:M42,"Si")</f>
        <v>20</v>
      </c>
    </row>
    <row r="3" spans="1:19" x14ac:dyDescent="0.2">
      <c r="D3" s="121" t="s">
        <v>380</v>
      </c>
      <c r="E3" s="120">
        <f>+COUNTIF(Tabla1[Empresa],D3)</f>
        <v>24</v>
      </c>
      <c r="H3" s="121" t="s">
        <v>406</v>
      </c>
      <c r="I3" s="120">
        <f>+COUNTIF(Tabla1[Estado],H3)</f>
        <v>5</v>
      </c>
    </row>
    <row r="5" spans="1:19" x14ac:dyDescent="0.2">
      <c r="B5" s="123">
        <f ca="1">+TODAY()</f>
        <v>46209</v>
      </c>
    </row>
    <row r="6" spans="1:19" x14ac:dyDescent="0.2">
      <c r="J6" s="125"/>
    </row>
    <row r="7" spans="1:19" s="134" customFormat="1" ht="28" x14ac:dyDescent="0.2">
      <c r="A7" s="134" t="s">
        <v>312</v>
      </c>
      <c r="B7" s="134" t="s">
        <v>125</v>
      </c>
      <c r="C7" s="134" t="s">
        <v>367</v>
      </c>
      <c r="D7" s="134" t="s">
        <v>169</v>
      </c>
      <c r="E7" s="134" t="s">
        <v>368</v>
      </c>
      <c r="F7" s="134" t="s">
        <v>378</v>
      </c>
      <c r="G7" s="134" t="s">
        <v>408</v>
      </c>
      <c r="H7" s="134" t="s">
        <v>404</v>
      </c>
      <c r="I7" s="134" t="s">
        <v>103</v>
      </c>
      <c r="J7" s="135" t="s">
        <v>129</v>
      </c>
      <c r="K7" s="126" t="s">
        <v>366</v>
      </c>
      <c r="L7" s="126" t="s">
        <v>424</v>
      </c>
      <c r="M7" s="134" t="s">
        <v>369</v>
      </c>
      <c r="N7" s="134" t="s">
        <v>374</v>
      </c>
      <c r="O7" s="134" t="s">
        <v>372</v>
      </c>
      <c r="P7" s="134" t="s">
        <v>373</v>
      </c>
      <c r="Q7" s="134" t="s">
        <v>415</v>
      </c>
      <c r="R7" s="134" t="s">
        <v>377</v>
      </c>
      <c r="S7" s="134" t="s">
        <v>407</v>
      </c>
    </row>
    <row r="8" spans="1:19" x14ac:dyDescent="0.2">
      <c r="A8" s="120">
        <v>1</v>
      </c>
      <c r="B8" s="120" t="s">
        <v>328</v>
      </c>
      <c r="C8" s="120" t="s">
        <v>301</v>
      </c>
      <c r="D8" s="120" t="s">
        <v>216</v>
      </c>
      <c r="E8" s="127" t="s">
        <v>370</v>
      </c>
      <c r="F8" s="120" t="s">
        <v>379</v>
      </c>
      <c r="G8" s="120">
        <v>2025</v>
      </c>
      <c r="H8" s="120" t="s">
        <v>360</v>
      </c>
      <c r="I8" s="120" t="s">
        <v>30</v>
      </c>
      <c r="J8" s="124">
        <v>183430</v>
      </c>
      <c r="K8" s="122">
        <f>+_xlfn.XLOOKUP(Tabla1[[#This Row],[Código]],'POM 2025__old'!A:A,'POM 2025__old'!K:K,0,0,1)</f>
        <v>1.0542665867088263</v>
      </c>
      <c r="L8" s="122">
        <v>0.89</v>
      </c>
      <c r="M8" s="120" t="s">
        <v>370</v>
      </c>
      <c r="N8" s="128" t="s">
        <v>375</v>
      </c>
      <c r="O8" s="129">
        <v>45691</v>
      </c>
      <c r="P8" s="129">
        <v>45792</v>
      </c>
      <c r="Q8" s="130">
        <f t="shared" ref="Q8:Q42" si="0">+(P8-O8)</f>
        <v>101</v>
      </c>
      <c r="R8" s="130">
        <f ca="1">$B$5-P8</f>
        <v>417</v>
      </c>
      <c r="S8" s="120">
        <f ca="1">+IF(Tabla1[[#This Row],[Dias atraso]]&gt;30,-1,IF(AND(Tabla1[[#This Row],[Dias atraso]]&lt;=30,Tabla1[[#This Row],[Dias atraso]]&gt;0),0,1))</f>
        <v>-1</v>
      </c>
    </row>
    <row r="9" spans="1:19" x14ac:dyDescent="0.2">
      <c r="A9" s="120">
        <v>2</v>
      </c>
      <c r="B9" s="120" t="s">
        <v>293</v>
      </c>
      <c r="C9" s="120" t="s">
        <v>291</v>
      </c>
      <c r="D9" s="120" t="s">
        <v>216</v>
      </c>
      <c r="E9" s="127" t="s">
        <v>370</v>
      </c>
      <c r="F9" s="120" t="s">
        <v>379</v>
      </c>
      <c r="G9" s="120">
        <v>2024</v>
      </c>
      <c r="H9" s="120" t="s">
        <v>360</v>
      </c>
      <c r="I9" s="120" t="s">
        <v>30</v>
      </c>
      <c r="J9" s="124">
        <v>907608</v>
      </c>
      <c r="K9" s="122">
        <f>+_xlfn.XLOOKUP(Tabla1[[#This Row],[Código]],'POM 2025__old'!A:A,'POM 2025__old'!K:K,0,0,1)</f>
        <v>1</v>
      </c>
      <c r="L9" s="122">
        <v>0.99</v>
      </c>
      <c r="M9" s="120" t="s">
        <v>370</v>
      </c>
      <c r="N9" s="128" t="s">
        <v>390</v>
      </c>
      <c r="O9" s="129">
        <v>45649</v>
      </c>
      <c r="P9" s="129">
        <v>45826</v>
      </c>
      <c r="Q9" s="130">
        <f t="shared" si="0"/>
        <v>177</v>
      </c>
      <c r="R9" s="130">
        <f ca="1">$B$5-P9</f>
        <v>383</v>
      </c>
      <c r="S9" s="120">
        <f ca="1">+IF(Tabla1[[#This Row],[Dias atraso]]&gt;30,-1,IF(AND(Tabla1[[#This Row],[Dias atraso]]&lt;=30,Tabla1[[#This Row],[Dias atraso]]&gt;0),0,1))</f>
        <v>-1</v>
      </c>
    </row>
    <row r="10" spans="1:19" x14ac:dyDescent="0.2">
      <c r="A10" s="120">
        <v>3</v>
      </c>
      <c r="B10" s="120" t="s">
        <v>329</v>
      </c>
      <c r="C10" s="120" t="s">
        <v>306</v>
      </c>
      <c r="D10" s="120" t="s">
        <v>309</v>
      </c>
      <c r="E10" s="127" t="s">
        <v>370</v>
      </c>
      <c r="F10" s="120" t="s">
        <v>379</v>
      </c>
      <c r="G10" s="120">
        <v>2025</v>
      </c>
      <c r="H10" s="120" t="s">
        <v>360</v>
      </c>
      <c r="I10" s="120" t="s">
        <v>30</v>
      </c>
      <c r="J10" s="124">
        <v>920000</v>
      </c>
      <c r="K10" s="122">
        <f>+_xlfn.XLOOKUP(Tabla1[[#This Row],[Código]],'POM 2025__old'!A:A,'POM 2025__old'!K:K,0,0,1)</f>
        <v>0.94071231273342071</v>
      </c>
      <c r="L10" s="122">
        <v>0.56000000000000005</v>
      </c>
      <c r="M10" s="120" t="s">
        <v>370</v>
      </c>
      <c r="N10" s="128" t="s">
        <v>392</v>
      </c>
      <c r="O10" s="129">
        <v>45708</v>
      </c>
      <c r="P10" s="129">
        <v>45842</v>
      </c>
      <c r="Q10" s="130">
        <f t="shared" si="0"/>
        <v>134</v>
      </c>
      <c r="R10" s="130">
        <f ca="1">$B$5-P10</f>
        <v>367</v>
      </c>
      <c r="S10" s="120">
        <f ca="1">+IF(Tabla1[[#This Row],[Dias atraso]]&gt;30,-1,IF(AND(Tabla1[[#This Row],[Dias atraso]]&lt;=30,Tabla1[[#This Row],[Dias atraso]]&gt;0),0,1))</f>
        <v>-1</v>
      </c>
    </row>
    <row r="11" spans="1:19" x14ac:dyDescent="0.2">
      <c r="A11" s="120">
        <v>4</v>
      </c>
      <c r="B11" s="120" t="s">
        <v>330</v>
      </c>
      <c r="C11" s="120" t="s">
        <v>305</v>
      </c>
      <c r="D11" s="120" t="s">
        <v>309</v>
      </c>
      <c r="E11" s="127" t="s">
        <v>370</v>
      </c>
      <c r="F11" s="120" t="s">
        <v>379</v>
      </c>
      <c r="G11" s="120">
        <v>2025</v>
      </c>
      <c r="H11" s="120" t="s">
        <v>360</v>
      </c>
      <c r="I11" s="120" t="s">
        <v>30</v>
      </c>
      <c r="J11" s="124">
        <v>248031</v>
      </c>
      <c r="K11" s="122">
        <f>+_xlfn.XLOOKUP(Tabla1[[#This Row],[Código]],'POM 2025__old'!A:A,'POM 2025__old'!K:K,0,0,1)</f>
        <v>0.96614939261624555</v>
      </c>
      <c r="L11" s="122" t="s">
        <v>62</v>
      </c>
      <c r="M11" s="120" t="s">
        <v>371</v>
      </c>
      <c r="O11" s="129"/>
      <c r="P11" s="129"/>
      <c r="Q11" s="130">
        <f t="shared" si="0"/>
        <v>0</v>
      </c>
      <c r="R11" s="130"/>
    </row>
    <row r="12" spans="1:19" x14ac:dyDescent="0.2">
      <c r="A12" s="120">
        <v>5</v>
      </c>
      <c r="B12" s="120" t="s">
        <v>384</v>
      </c>
      <c r="C12" s="120" t="s">
        <v>381</v>
      </c>
      <c r="D12" s="120" t="s">
        <v>383</v>
      </c>
      <c r="E12" s="120" t="s">
        <v>62</v>
      </c>
      <c r="F12" s="120" t="s">
        <v>379</v>
      </c>
      <c r="G12" s="120">
        <v>2024</v>
      </c>
      <c r="H12" s="120" t="s">
        <v>360</v>
      </c>
      <c r="I12" s="120" t="s">
        <v>30</v>
      </c>
      <c r="J12" s="124">
        <v>324208</v>
      </c>
      <c r="K12" s="122">
        <f>+_xlfn.XLOOKUP(Tabla1[[#This Row],[Código]],'POM 2025__old'!A:A,'POM 2025__old'!K:K,0,0,1)</f>
        <v>0.9555555555555556</v>
      </c>
      <c r="L12" s="122" t="s">
        <v>62</v>
      </c>
      <c r="M12" s="120" t="s">
        <v>371</v>
      </c>
      <c r="O12" s="129"/>
      <c r="P12" s="129"/>
      <c r="Q12" s="130">
        <f t="shared" si="0"/>
        <v>0</v>
      </c>
      <c r="R12" s="130"/>
    </row>
    <row r="13" spans="1:19" x14ac:dyDescent="0.2">
      <c r="A13" s="120">
        <v>6</v>
      </c>
      <c r="B13" s="120" t="s">
        <v>385</v>
      </c>
      <c r="C13" s="120" t="s">
        <v>382</v>
      </c>
      <c r="D13" s="120" t="s">
        <v>383</v>
      </c>
      <c r="E13" s="120" t="s">
        <v>62</v>
      </c>
      <c r="F13" s="120" t="s">
        <v>379</v>
      </c>
      <c r="G13" s="120">
        <v>2025</v>
      </c>
      <c r="H13" s="120" t="s">
        <v>360</v>
      </c>
      <c r="I13" s="120" t="s">
        <v>30</v>
      </c>
      <c r="J13" s="124" t="s">
        <v>62</v>
      </c>
      <c r="K13" s="122">
        <f>+_xlfn.XLOOKUP(Tabla1[[#This Row],[Código]],'POM 2025__old'!A:A,'POM 2025__old'!K:K,0,0,1)</f>
        <v>0</v>
      </c>
      <c r="L13" s="122">
        <v>0</v>
      </c>
      <c r="M13" s="120" t="s">
        <v>370</v>
      </c>
      <c r="N13" s="128" t="s">
        <v>402</v>
      </c>
      <c r="O13" s="129">
        <v>45754</v>
      </c>
      <c r="P13" s="129">
        <v>45898</v>
      </c>
      <c r="Q13" s="130">
        <f t="shared" si="0"/>
        <v>144</v>
      </c>
      <c r="R13" s="130">
        <f ca="1">$B$5-P13</f>
        <v>311</v>
      </c>
      <c r="S13" s="120">
        <f ca="1">+IF(Tabla1[[#This Row],[Dias atraso]]&gt;30,-1,IF(AND(Tabla1[[#This Row],[Dias atraso]]&lt;=30,Tabla1[[#This Row],[Dias atraso]]&gt;0),0,1))</f>
        <v>-1</v>
      </c>
    </row>
    <row r="14" spans="1:19" x14ac:dyDescent="0.2">
      <c r="A14" s="120">
        <v>7</v>
      </c>
      <c r="B14" s="120" t="s">
        <v>386</v>
      </c>
      <c r="C14" s="120" t="s">
        <v>106</v>
      </c>
      <c r="D14" s="120" t="s">
        <v>383</v>
      </c>
      <c r="E14" s="127" t="s">
        <v>370</v>
      </c>
      <c r="F14" s="120" t="s">
        <v>379</v>
      </c>
      <c r="G14" s="120">
        <v>2025</v>
      </c>
      <c r="H14" s="120" t="s">
        <v>360</v>
      </c>
      <c r="I14" s="120" t="s">
        <v>30</v>
      </c>
      <c r="J14" s="124">
        <v>2400000</v>
      </c>
      <c r="K14" s="122">
        <f>+_xlfn.XLOOKUP(Tabla1[[#This Row],[Código]],'POM 2025__old'!A:A,'POM 2025__old'!K:K,0,0,1)</f>
        <v>0.69034960465328477</v>
      </c>
      <c r="L14" s="122">
        <v>0.38</v>
      </c>
      <c r="M14" s="120" t="s">
        <v>370</v>
      </c>
      <c r="N14" s="128" t="s">
        <v>403</v>
      </c>
      <c r="O14" s="129">
        <v>45324</v>
      </c>
      <c r="P14" s="129">
        <v>45847</v>
      </c>
      <c r="Q14" s="130">
        <f t="shared" si="0"/>
        <v>523</v>
      </c>
      <c r="R14" s="130">
        <f ca="1">$B$5-P14</f>
        <v>362</v>
      </c>
      <c r="S14" s="120">
        <f ca="1">+IF(Tabla1[[#This Row],[Dias atraso]]&gt;30,-1,IF(AND(Tabla1[[#This Row],[Dias atraso]]&lt;=30,Tabla1[[#This Row],[Dias atraso]]&gt;0),0,1))</f>
        <v>-1</v>
      </c>
    </row>
    <row r="15" spans="1:19" x14ac:dyDescent="0.2">
      <c r="A15" s="120">
        <v>8</v>
      </c>
      <c r="B15" s="120" t="s">
        <v>419</v>
      </c>
      <c r="C15" s="120" t="s">
        <v>410</v>
      </c>
      <c r="D15" s="120" t="s">
        <v>308</v>
      </c>
      <c r="E15" s="127" t="s">
        <v>371</v>
      </c>
      <c r="F15" s="120" t="s">
        <v>379</v>
      </c>
      <c r="G15" s="120">
        <v>2025</v>
      </c>
      <c r="H15" s="120" t="s">
        <v>360</v>
      </c>
      <c r="I15" s="120" t="s">
        <v>416</v>
      </c>
      <c r="J15" s="124">
        <v>330237.61</v>
      </c>
      <c r="K15" s="122">
        <f>+_xlfn.XLOOKUP(Tabla1[[#This Row],[Código]],'POM 2025__old'!A:A,'POM 2025__old'!K:K,0,0,1)</f>
        <v>0.86682035537408542</v>
      </c>
      <c r="L15" s="122" t="s">
        <v>62</v>
      </c>
      <c r="M15" s="120" t="s">
        <v>371</v>
      </c>
      <c r="N15" s="128"/>
      <c r="O15" s="129"/>
      <c r="P15" s="129"/>
      <c r="Q15" s="130">
        <f t="shared" si="0"/>
        <v>0</v>
      </c>
      <c r="R15" s="130"/>
    </row>
    <row r="16" spans="1:19" x14ac:dyDescent="0.2">
      <c r="A16" s="120">
        <v>9</v>
      </c>
      <c r="B16" s="120" t="s">
        <v>420</v>
      </c>
      <c r="C16" s="120" t="s">
        <v>411</v>
      </c>
      <c r="D16" s="120" t="s">
        <v>383</v>
      </c>
      <c r="E16" s="127" t="s">
        <v>62</v>
      </c>
      <c r="F16" s="120" t="s">
        <v>379</v>
      </c>
      <c r="G16" s="120">
        <v>2025</v>
      </c>
      <c r="H16" s="120" t="s">
        <v>360</v>
      </c>
      <c r="I16" s="120" t="s">
        <v>30</v>
      </c>
      <c r="J16" s="124">
        <v>198540</v>
      </c>
      <c r="K16" s="122">
        <f>+_xlfn.XLOOKUP(Tabla1[[#This Row],[Código]],'POM 2025__old'!A:A,'POM 2025__old'!K:K,0,0,1)</f>
        <v>0</v>
      </c>
      <c r="L16" s="122" t="s">
        <v>62</v>
      </c>
      <c r="M16" s="120" t="s">
        <v>371</v>
      </c>
      <c r="N16" s="128"/>
      <c r="O16" s="129"/>
      <c r="P16" s="129"/>
      <c r="Q16" s="130">
        <f t="shared" si="0"/>
        <v>0</v>
      </c>
      <c r="R16" s="130"/>
    </row>
    <row r="17" spans="1:19" x14ac:dyDescent="0.2">
      <c r="A17" s="120">
        <v>10</v>
      </c>
      <c r="B17" s="120" t="s">
        <v>421</v>
      </c>
      <c r="C17" s="120" t="s">
        <v>412</v>
      </c>
      <c r="D17" s="120" t="s">
        <v>216</v>
      </c>
      <c r="E17" s="127" t="s">
        <v>371</v>
      </c>
      <c r="F17" s="120" t="s">
        <v>379</v>
      </c>
      <c r="G17" s="120">
        <v>2025</v>
      </c>
      <c r="H17" s="120" t="s">
        <v>360</v>
      </c>
      <c r="I17" s="120" t="s">
        <v>417</v>
      </c>
      <c r="J17" s="124">
        <v>78000</v>
      </c>
      <c r="K17" s="122">
        <f>+_xlfn.XLOOKUP(Tabla1[[#This Row],[Código]],'POM 2025__old'!A:A,'POM 2025__old'!K:K,0,0,1)</f>
        <v>0.80021028218013135</v>
      </c>
      <c r="L17" s="122" t="s">
        <v>62</v>
      </c>
      <c r="M17" s="120" t="s">
        <v>371</v>
      </c>
      <c r="N17" s="128"/>
      <c r="O17" s="129"/>
      <c r="P17" s="129"/>
      <c r="Q17" s="130">
        <f t="shared" si="0"/>
        <v>0</v>
      </c>
      <c r="R17" s="130"/>
    </row>
    <row r="18" spans="1:19" x14ac:dyDescent="0.2">
      <c r="A18" s="120">
        <v>11</v>
      </c>
      <c r="B18" s="120" t="s">
        <v>361</v>
      </c>
      <c r="C18" s="131" t="s">
        <v>253</v>
      </c>
      <c r="D18" s="120" t="s">
        <v>216</v>
      </c>
      <c r="E18" s="127" t="s">
        <v>370</v>
      </c>
      <c r="F18" s="120" t="s">
        <v>380</v>
      </c>
      <c r="G18" s="120">
        <v>2024</v>
      </c>
      <c r="H18" s="120" t="s">
        <v>359</v>
      </c>
      <c r="I18" s="120" t="s">
        <v>32</v>
      </c>
      <c r="J18" s="124">
        <v>116000</v>
      </c>
      <c r="K18" s="122">
        <f>+_xlfn.XLOOKUP(Tabla1[[#This Row],[Código]],'POM 2025__old'!A:A,'POM 2025__old'!K:K,0,0,1)</f>
        <v>1</v>
      </c>
      <c r="L18" s="122">
        <v>0.95</v>
      </c>
      <c r="M18" s="120" t="s">
        <v>370</v>
      </c>
      <c r="N18" s="128" t="s">
        <v>376</v>
      </c>
      <c r="O18" s="129">
        <v>45505</v>
      </c>
      <c r="P18" s="129">
        <v>45818</v>
      </c>
      <c r="Q18" s="130">
        <f t="shared" si="0"/>
        <v>313</v>
      </c>
      <c r="R18" s="130">
        <f t="shared" ref="R18:R23" ca="1" si="1">$B$5-P18</f>
        <v>391</v>
      </c>
      <c r="S18" s="120">
        <f ca="1">+IF(Tabla1[[#This Row],[Dias atraso]]&gt;30,-1,IF(AND(Tabla1[[#This Row],[Dias atraso]]&lt;=30,Tabla1[[#This Row],[Dias atraso]]&gt;0),0,1))</f>
        <v>-1</v>
      </c>
    </row>
    <row r="19" spans="1:19" x14ac:dyDescent="0.2">
      <c r="A19" s="120">
        <v>12</v>
      </c>
      <c r="B19" s="120" t="s">
        <v>332</v>
      </c>
      <c r="C19" s="131" t="s">
        <v>314</v>
      </c>
      <c r="D19" s="120" t="s">
        <v>308</v>
      </c>
      <c r="E19" s="127" t="s">
        <v>370</v>
      </c>
      <c r="F19" s="120" t="s">
        <v>380</v>
      </c>
      <c r="G19" s="120">
        <v>2025</v>
      </c>
      <c r="H19" s="120" t="s">
        <v>359</v>
      </c>
      <c r="I19" s="120" t="s">
        <v>33</v>
      </c>
      <c r="J19" s="124">
        <v>147086</v>
      </c>
      <c r="K19" s="122">
        <f>+_xlfn.XLOOKUP(Tabla1[[#This Row],[Código]],'POM 2025__old'!A:A,'POM 2025__old'!K:K,0,0,1)</f>
        <v>1</v>
      </c>
      <c r="L19" s="122">
        <v>0.95</v>
      </c>
      <c r="M19" s="120" t="s">
        <v>370</v>
      </c>
      <c r="N19" s="128" t="s">
        <v>387</v>
      </c>
      <c r="O19" s="129">
        <v>45740</v>
      </c>
      <c r="P19" s="129">
        <v>45835</v>
      </c>
      <c r="Q19" s="130">
        <f t="shared" si="0"/>
        <v>95</v>
      </c>
      <c r="R19" s="130">
        <f t="shared" ca="1" si="1"/>
        <v>374</v>
      </c>
      <c r="S19" s="120">
        <f ca="1">+IF(Tabla1[[#This Row],[Dias atraso]]&gt;30,-1,IF(AND(Tabla1[[#This Row],[Dias atraso]]&lt;=30,Tabla1[[#This Row],[Dias atraso]]&gt;0),0,1))</f>
        <v>-1</v>
      </c>
    </row>
    <row r="20" spans="1:19" x14ac:dyDescent="0.2">
      <c r="A20" s="120">
        <v>13</v>
      </c>
      <c r="B20" s="120" t="s">
        <v>333</v>
      </c>
      <c r="C20" s="131" t="s">
        <v>107</v>
      </c>
      <c r="D20" s="120" t="s">
        <v>216</v>
      </c>
      <c r="E20" s="127" t="s">
        <v>370</v>
      </c>
      <c r="F20" s="120" t="s">
        <v>380</v>
      </c>
      <c r="G20" s="120">
        <v>2025</v>
      </c>
      <c r="H20" s="120" t="s">
        <v>359</v>
      </c>
      <c r="I20" s="120" t="s">
        <v>315</v>
      </c>
      <c r="J20" s="124">
        <v>198920</v>
      </c>
      <c r="K20" s="122">
        <f>+_xlfn.XLOOKUP(Tabla1[[#This Row],[Código]],'POM 2025__old'!A:A,'POM 2025__old'!K:K,0,0,1)</f>
        <v>1</v>
      </c>
      <c r="L20" s="122">
        <v>0.93</v>
      </c>
      <c r="M20" s="120" t="s">
        <v>370</v>
      </c>
      <c r="N20" s="128" t="s">
        <v>391</v>
      </c>
      <c r="O20" s="129">
        <v>45736</v>
      </c>
      <c r="P20" s="129">
        <v>45876</v>
      </c>
      <c r="Q20" s="130">
        <f t="shared" si="0"/>
        <v>140</v>
      </c>
      <c r="R20" s="130">
        <f t="shared" ca="1" si="1"/>
        <v>333</v>
      </c>
      <c r="S20" s="120">
        <f ca="1">+IF(Tabla1[[#This Row],[Dias atraso]]&gt;30,-1,IF(AND(Tabla1[[#This Row],[Dias atraso]]&lt;=30,Tabla1[[#This Row],[Dias atraso]]&gt;0),0,1))</f>
        <v>-1</v>
      </c>
    </row>
    <row r="21" spans="1:19" x14ac:dyDescent="0.2">
      <c r="A21" s="120">
        <v>14</v>
      </c>
      <c r="B21" s="120" t="s">
        <v>337</v>
      </c>
      <c r="C21" s="131" t="s">
        <v>322</v>
      </c>
      <c r="D21" s="120" t="s">
        <v>216</v>
      </c>
      <c r="E21" s="127" t="s">
        <v>370</v>
      </c>
      <c r="F21" s="120" t="s">
        <v>380</v>
      </c>
      <c r="G21" s="120">
        <v>2025</v>
      </c>
      <c r="H21" s="120" t="s">
        <v>359</v>
      </c>
      <c r="I21" s="120" t="s">
        <v>32</v>
      </c>
      <c r="J21" s="124">
        <v>20787.59</v>
      </c>
      <c r="K21" s="122">
        <f>+_xlfn.XLOOKUP(Tabla1[[#This Row],[Código]],'POM 2025__old'!A:A,'POM 2025__old'!K:K,0,0,1)</f>
        <v>1</v>
      </c>
      <c r="L21" s="122">
        <v>0.81</v>
      </c>
      <c r="M21" s="120" t="s">
        <v>370</v>
      </c>
      <c r="N21" s="128" t="s">
        <v>388</v>
      </c>
      <c r="O21" s="129">
        <v>45803</v>
      </c>
      <c r="P21" s="129">
        <v>45842</v>
      </c>
      <c r="Q21" s="130">
        <f t="shared" si="0"/>
        <v>39</v>
      </c>
      <c r="R21" s="130">
        <f t="shared" ca="1" si="1"/>
        <v>367</v>
      </c>
      <c r="S21" s="120">
        <f ca="1">+IF(Tabla1[[#This Row],[Dias atraso]]&gt;30,-1,IF(AND(Tabla1[[#This Row],[Dias atraso]]&lt;=30,Tabla1[[#This Row],[Dias atraso]]&gt;0),0,1))</f>
        <v>-1</v>
      </c>
    </row>
    <row r="22" spans="1:19" x14ac:dyDescent="0.2">
      <c r="A22" s="120">
        <v>15</v>
      </c>
      <c r="B22" s="120" t="s">
        <v>283</v>
      </c>
      <c r="C22" s="120" t="s">
        <v>284</v>
      </c>
      <c r="D22" s="120" t="s">
        <v>308</v>
      </c>
      <c r="E22" s="127" t="s">
        <v>370</v>
      </c>
      <c r="F22" s="120" t="s">
        <v>380</v>
      </c>
      <c r="G22" s="120">
        <v>2024</v>
      </c>
      <c r="H22" s="120" t="s">
        <v>360</v>
      </c>
      <c r="I22" s="120" t="s">
        <v>33</v>
      </c>
      <c r="J22" s="124">
        <v>310000</v>
      </c>
      <c r="K22" s="122">
        <f>+_xlfn.XLOOKUP(Tabla1[[#This Row],[Código]],'POM 2025__old'!A:A,'POM 2025__old'!K:K,0,0,1)</f>
        <v>1.0000013225806452</v>
      </c>
      <c r="L22" s="122">
        <v>0.86</v>
      </c>
      <c r="M22" s="120" t="s">
        <v>370</v>
      </c>
      <c r="N22" s="128" t="s">
        <v>389</v>
      </c>
      <c r="O22" s="129">
        <v>45635</v>
      </c>
      <c r="P22" s="129">
        <v>45863</v>
      </c>
      <c r="Q22" s="130">
        <f t="shared" si="0"/>
        <v>228</v>
      </c>
      <c r="R22" s="130">
        <f t="shared" ca="1" si="1"/>
        <v>346</v>
      </c>
      <c r="S22" s="120">
        <f ca="1">+IF(Tabla1[[#This Row],[Dias atraso]]&gt;30,-1,IF(AND(Tabla1[[#This Row],[Dias atraso]]&lt;=30,Tabla1[[#This Row],[Dias atraso]]&gt;0),0,1))</f>
        <v>-1</v>
      </c>
    </row>
    <row r="23" spans="1:19" ht="15" x14ac:dyDescent="0.2">
      <c r="A23" s="120">
        <v>16</v>
      </c>
      <c r="B23" s="120" t="s">
        <v>331</v>
      </c>
      <c r="C23" s="120" t="s">
        <v>282</v>
      </c>
      <c r="D23" s="120" t="s">
        <v>308</v>
      </c>
      <c r="E23" s="127" t="s">
        <v>370</v>
      </c>
      <c r="F23" s="120" t="s">
        <v>380</v>
      </c>
      <c r="G23" s="120">
        <v>2024</v>
      </c>
      <c r="H23" s="120" t="s">
        <v>360</v>
      </c>
      <c r="I23" s="120" t="s">
        <v>162</v>
      </c>
      <c r="J23" s="124">
        <v>425000</v>
      </c>
      <c r="K23" s="122">
        <f>+_xlfn.XLOOKUP(Tabla1[[#This Row],[Código]],'POM 2025__old'!A:A,'POM 2025__old'!K:K,0,0,1)</f>
        <v>0.80814469901032038</v>
      </c>
      <c r="L23" s="122">
        <v>0.66</v>
      </c>
      <c r="M23" s="120" t="s">
        <v>370</v>
      </c>
      <c r="N23" s="133" t="s">
        <v>423</v>
      </c>
      <c r="O23" s="129">
        <v>45597</v>
      </c>
      <c r="P23" s="129">
        <v>45930</v>
      </c>
      <c r="Q23" s="130">
        <f t="shared" si="0"/>
        <v>333</v>
      </c>
      <c r="R23" s="130">
        <f t="shared" ca="1" si="1"/>
        <v>279</v>
      </c>
      <c r="S23" s="120">
        <f ca="1">+IF(Tabla1[[#This Row],[Dias atraso]]&gt;30,-1,IF(AND(Tabla1[[#This Row],[Dias atraso]]&lt;=30,Tabla1[[#This Row],[Dias atraso]]&gt;0),0,1))</f>
        <v>-1</v>
      </c>
    </row>
    <row r="24" spans="1:19" x14ac:dyDescent="0.2">
      <c r="A24" s="120">
        <v>17</v>
      </c>
      <c r="B24" s="120" t="s">
        <v>334</v>
      </c>
      <c r="C24" s="120" t="s">
        <v>277</v>
      </c>
      <c r="D24" s="120" t="s">
        <v>69</v>
      </c>
      <c r="E24" s="127" t="s">
        <v>370</v>
      </c>
      <c r="F24" s="120" t="s">
        <v>380</v>
      </c>
      <c r="G24" s="120">
        <v>2025</v>
      </c>
      <c r="H24" s="120" t="s">
        <v>360</v>
      </c>
      <c r="I24" s="120" t="s">
        <v>28</v>
      </c>
      <c r="J24" s="124">
        <v>530000</v>
      </c>
      <c r="K24" s="122">
        <f>+_xlfn.XLOOKUP(Tabla1[[#This Row],[Código]],'POM 2025__old'!A:A,'POM 2025__old'!K:K,0,0,1)</f>
        <v>1</v>
      </c>
      <c r="L24" s="122" t="s">
        <v>62</v>
      </c>
      <c r="M24" s="120" t="s">
        <v>371</v>
      </c>
      <c r="O24" s="129"/>
      <c r="P24" s="129"/>
      <c r="Q24" s="130">
        <f t="shared" si="0"/>
        <v>0</v>
      </c>
      <c r="R24" s="130"/>
    </row>
    <row r="25" spans="1:19" x14ac:dyDescent="0.2">
      <c r="A25" s="120">
        <v>18</v>
      </c>
      <c r="B25" s="120" t="s">
        <v>335</v>
      </c>
      <c r="C25" s="120" t="s">
        <v>319</v>
      </c>
      <c r="D25" s="120" t="s">
        <v>308</v>
      </c>
      <c r="E25" s="127" t="s">
        <v>370</v>
      </c>
      <c r="F25" s="120" t="s">
        <v>380</v>
      </c>
      <c r="G25" s="120">
        <v>2025</v>
      </c>
      <c r="H25" s="120" t="s">
        <v>360</v>
      </c>
      <c r="I25" s="120" t="s">
        <v>33</v>
      </c>
      <c r="J25" s="124">
        <v>484000</v>
      </c>
      <c r="K25" s="122">
        <f>+_xlfn.XLOOKUP(Tabla1[[#This Row],[Código]],'POM 2025__old'!A:A,'POM 2025__old'!K:K,0,0,1)</f>
        <v>0.66513216407556297</v>
      </c>
      <c r="L25" s="122">
        <v>0.34</v>
      </c>
      <c r="M25" s="120" t="s">
        <v>370</v>
      </c>
      <c r="N25" s="128" t="s">
        <v>393</v>
      </c>
      <c r="O25" s="129">
        <v>45789</v>
      </c>
      <c r="P25" s="129">
        <v>46027</v>
      </c>
      <c r="Q25" s="130">
        <f t="shared" si="0"/>
        <v>238</v>
      </c>
      <c r="R25" s="130">
        <f ca="1">$B$5-P25</f>
        <v>182</v>
      </c>
      <c r="S25" s="120">
        <f ca="1">+IF(Tabla1[[#This Row],[Dias atraso]]&gt;30,-1,IF(AND(Tabla1[[#This Row],[Dias atraso]]&lt;=30,Tabla1[[#This Row],[Dias atraso]]&gt;0),0,1))</f>
        <v>-1</v>
      </c>
    </row>
    <row r="26" spans="1:19" x14ac:dyDescent="0.2">
      <c r="A26" s="120">
        <v>19</v>
      </c>
      <c r="B26" s="120" t="s">
        <v>336</v>
      </c>
      <c r="C26" s="120" t="s">
        <v>321</v>
      </c>
      <c r="D26" s="120" t="s">
        <v>216</v>
      </c>
      <c r="E26" s="127" t="s">
        <v>370</v>
      </c>
      <c r="F26" s="120" t="s">
        <v>380</v>
      </c>
      <c r="G26" s="120">
        <v>2025</v>
      </c>
      <c r="H26" s="120" t="s">
        <v>360</v>
      </c>
      <c r="I26" s="120" t="s">
        <v>32</v>
      </c>
      <c r="J26" s="124">
        <v>299270</v>
      </c>
      <c r="K26" s="122">
        <f>+_xlfn.XLOOKUP(Tabla1[[#This Row],[Código]],'POM 2025__old'!A:A,'POM 2025__old'!K:K,0,0,1)</f>
        <v>1</v>
      </c>
      <c r="L26" s="122" t="s">
        <v>62</v>
      </c>
      <c r="M26" s="120" t="s">
        <v>371</v>
      </c>
      <c r="O26" s="129"/>
      <c r="P26" s="129"/>
      <c r="Q26" s="130">
        <f t="shared" si="0"/>
        <v>0</v>
      </c>
      <c r="R26" s="130"/>
    </row>
    <row r="27" spans="1:19" x14ac:dyDescent="0.2">
      <c r="A27" s="120">
        <v>20</v>
      </c>
      <c r="B27" s="120" t="s">
        <v>338</v>
      </c>
      <c r="C27" s="120" t="s">
        <v>323</v>
      </c>
      <c r="D27" s="120" t="s">
        <v>309</v>
      </c>
      <c r="E27" s="127" t="s">
        <v>370</v>
      </c>
      <c r="F27" s="120" t="s">
        <v>380</v>
      </c>
      <c r="G27" s="120">
        <v>2025</v>
      </c>
      <c r="H27" s="120" t="s">
        <v>360</v>
      </c>
      <c r="I27" s="120" t="s">
        <v>162</v>
      </c>
      <c r="J27" s="124">
        <v>197494</v>
      </c>
      <c r="K27" s="122">
        <f>+_xlfn.XLOOKUP(Tabla1[[#This Row],[Código]],'POM 2025__old'!A:A,'POM 2025__old'!K:K,0,0,1)</f>
        <v>0.69989180200299539</v>
      </c>
      <c r="L27" s="122">
        <v>0.17</v>
      </c>
      <c r="M27" s="120" t="s">
        <v>370</v>
      </c>
      <c r="N27" s="128" t="s">
        <v>394</v>
      </c>
      <c r="O27" s="129">
        <v>45824</v>
      </c>
      <c r="P27" s="129">
        <v>46037</v>
      </c>
      <c r="Q27" s="130">
        <f t="shared" si="0"/>
        <v>213</v>
      </c>
      <c r="R27" s="130">
        <f ca="1">$B$5-P27</f>
        <v>172</v>
      </c>
      <c r="S27" s="120">
        <f ca="1">+IF(Tabla1[[#This Row],[Dias atraso]]&gt;30,-1,IF(AND(Tabla1[[#This Row],[Dias atraso]]&lt;=30,Tabla1[[#This Row],[Dias atraso]]&gt;0),0,1))</f>
        <v>-1</v>
      </c>
    </row>
    <row r="28" spans="1:19" x14ac:dyDescent="0.2">
      <c r="A28" s="120">
        <v>21</v>
      </c>
      <c r="B28" s="120" t="s">
        <v>339</v>
      </c>
      <c r="C28" s="120" t="s">
        <v>324</v>
      </c>
      <c r="D28" s="120" t="s">
        <v>309</v>
      </c>
      <c r="E28" s="127" t="s">
        <v>370</v>
      </c>
      <c r="F28" s="120" t="s">
        <v>380</v>
      </c>
      <c r="G28" s="120">
        <v>2025</v>
      </c>
      <c r="H28" s="120" t="s">
        <v>360</v>
      </c>
      <c r="I28" s="120" t="s">
        <v>162</v>
      </c>
      <c r="J28" s="124">
        <v>24440</v>
      </c>
      <c r="K28" s="122">
        <f>+_xlfn.XLOOKUP(Tabla1[[#This Row],[Código]],'POM 2025__old'!A:A,'POM 2025__old'!K:K,0,0,1)</f>
        <v>1</v>
      </c>
      <c r="L28" s="122">
        <v>0.8</v>
      </c>
      <c r="M28" s="120" t="s">
        <v>370</v>
      </c>
      <c r="N28" s="128" t="s">
        <v>395</v>
      </c>
      <c r="O28" s="129">
        <v>45825</v>
      </c>
      <c r="P28" s="129">
        <v>45868</v>
      </c>
      <c r="Q28" s="130">
        <f t="shared" si="0"/>
        <v>43</v>
      </c>
      <c r="R28" s="130">
        <f ca="1">$B$5-P28</f>
        <v>341</v>
      </c>
      <c r="S28" s="120">
        <f ca="1">+IF(Tabla1[[#This Row],[Dias atraso]]&gt;30,-1,IF(AND(Tabla1[[#This Row],[Dias atraso]]&lt;=30,Tabla1[[#This Row],[Dias atraso]]&gt;0),0,1))</f>
        <v>-1</v>
      </c>
    </row>
    <row r="29" spans="1:19" x14ac:dyDescent="0.2">
      <c r="A29" s="120">
        <v>22</v>
      </c>
      <c r="B29" s="120" t="s">
        <v>340</v>
      </c>
      <c r="C29" s="131" t="s">
        <v>325</v>
      </c>
      <c r="D29" s="120" t="s">
        <v>308</v>
      </c>
      <c r="E29" s="127" t="s">
        <v>370</v>
      </c>
      <c r="F29" s="120" t="s">
        <v>380</v>
      </c>
      <c r="G29" s="120">
        <v>2025</v>
      </c>
      <c r="H29" s="120" t="s">
        <v>359</v>
      </c>
      <c r="I29" s="120" t="s">
        <v>28</v>
      </c>
      <c r="J29" s="124">
        <v>180000</v>
      </c>
      <c r="K29" s="122">
        <f>+_xlfn.XLOOKUP(Tabla1[[#This Row],[Código]],'POM 2025__old'!A:A,'POM 2025__old'!K:K,0,0,1)</f>
        <v>1</v>
      </c>
      <c r="L29" s="122" t="s">
        <v>62</v>
      </c>
      <c r="M29" s="120" t="s">
        <v>371</v>
      </c>
      <c r="O29" s="129"/>
      <c r="P29" s="129"/>
      <c r="Q29" s="130">
        <f t="shared" si="0"/>
        <v>0</v>
      </c>
      <c r="R29" s="130"/>
    </row>
    <row r="30" spans="1:19" x14ac:dyDescent="0.2">
      <c r="A30" s="120">
        <v>23</v>
      </c>
      <c r="B30" s="120" t="s">
        <v>341</v>
      </c>
      <c r="C30" s="120" t="s">
        <v>326</v>
      </c>
      <c r="D30" s="120" t="s">
        <v>216</v>
      </c>
      <c r="E30" s="127" t="s">
        <v>371</v>
      </c>
      <c r="F30" s="120" t="s">
        <v>380</v>
      </c>
      <c r="G30" s="120">
        <v>2025</v>
      </c>
      <c r="H30" s="120" t="s">
        <v>360</v>
      </c>
      <c r="I30" s="120" t="s">
        <v>254</v>
      </c>
      <c r="J30" s="124">
        <v>148240</v>
      </c>
      <c r="K30" s="122">
        <f>+_xlfn.XLOOKUP(Tabla1[[#This Row],[Código]],'POM 2025__old'!A:A,'POM 2025__old'!K:K,0,0,1)</f>
        <v>1</v>
      </c>
      <c r="L30" s="122" t="s">
        <v>62</v>
      </c>
      <c r="M30" s="120" t="s">
        <v>371</v>
      </c>
      <c r="O30" s="129"/>
      <c r="P30" s="129"/>
      <c r="Q30" s="130">
        <f t="shared" si="0"/>
        <v>0</v>
      </c>
      <c r="R30" s="130"/>
    </row>
    <row r="31" spans="1:19" x14ac:dyDescent="0.2">
      <c r="A31" s="120">
        <v>24</v>
      </c>
      <c r="B31" s="120" t="s">
        <v>342</v>
      </c>
      <c r="C31" s="120" t="s">
        <v>327</v>
      </c>
      <c r="D31" s="120" t="s">
        <v>309</v>
      </c>
      <c r="E31" s="127" t="s">
        <v>370</v>
      </c>
      <c r="F31" s="120" t="s">
        <v>380</v>
      </c>
      <c r="G31" s="120">
        <v>2025</v>
      </c>
      <c r="H31" s="120" t="s">
        <v>360</v>
      </c>
      <c r="I31" s="132"/>
      <c r="J31" s="124">
        <v>99244</v>
      </c>
      <c r="K31" s="122">
        <f>+_xlfn.XLOOKUP(Tabla1[[#This Row],[Código]],'POM 2025__old'!A:A,'POM 2025__old'!K:K,0,0,1)</f>
        <v>0.77070329436595519</v>
      </c>
      <c r="L31" s="122">
        <v>0.06</v>
      </c>
      <c r="M31" s="120" t="s">
        <v>370</v>
      </c>
      <c r="N31" s="128" t="s">
        <v>396</v>
      </c>
      <c r="O31" s="129">
        <v>45859</v>
      </c>
      <c r="P31" s="129">
        <v>45949</v>
      </c>
      <c r="Q31" s="130">
        <f t="shared" si="0"/>
        <v>90</v>
      </c>
      <c r="R31" s="130">
        <f ca="1">$B$5-P31</f>
        <v>260</v>
      </c>
      <c r="S31" s="120">
        <f ca="1">+IF(Tabla1[[#This Row],[Dias atraso]]&gt;30,-1,IF(AND(Tabla1[[#This Row],[Dias atraso]]&lt;=30,Tabla1[[#This Row],[Dias atraso]]&gt;0),0,1))</f>
        <v>-1</v>
      </c>
    </row>
    <row r="32" spans="1:19" x14ac:dyDescent="0.2">
      <c r="A32" s="120">
        <v>25</v>
      </c>
      <c r="B32" s="120" t="s">
        <v>349</v>
      </c>
      <c r="C32" s="120" t="s">
        <v>343</v>
      </c>
      <c r="D32" s="120" t="s">
        <v>308</v>
      </c>
      <c r="E32" s="127" t="s">
        <v>370</v>
      </c>
      <c r="F32" s="120" t="s">
        <v>380</v>
      </c>
      <c r="G32" s="120">
        <v>2025</v>
      </c>
      <c r="H32" s="120" t="s">
        <v>360</v>
      </c>
      <c r="I32" s="120" t="s">
        <v>315</v>
      </c>
      <c r="J32" s="124">
        <v>106000</v>
      </c>
      <c r="K32" s="122">
        <f>+_xlfn.XLOOKUP(Tabla1[[#This Row],[Código]],'POM 2025__old'!A:A,'POM 2025__old'!K:K,0,0,1)</f>
        <v>1</v>
      </c>
      <c r="L32" s="122">
        <v>0.5</v>
      </c>
      <c r="M32" s="120" t="s">
        <v>370</v>
      </c>
      <c r="N32" s="128" t="s">
        <v>397</v>
      </c>
      <c r="O32" s="129">
        <v>45846</v>
      </c>
      <c r="P32" s="129">
        <v>45933</v>
      </c>
      <c r="Q32" s="130">
        <f t="shared" si="0"/>
        <v>87</v>
      </c>
      <c r="R32" s="130">
        <f ca="1">$B$5-P32</f>
        <v>276</v>
      </c>
      <c r="S32" s="120">
        <f ca="1">+IF(Tabla1[[#This Row],[Dias atraso]]&gt;30,-1,IF(AND(Tabla1[[#This Row],[Dias atraso]]&lt;=30,Tabla1[[#This Row],[Dias atraso]]&gt;0),0,1))</f>
        <v>-1</v>
      </c>
    </row>
    <row r="33" spans="1:19" x14ac:dyDescent="0.2">
      <c r="A33" s="120">
        <v>26</v>
      </c>
      <c r="B33" s="120" t="s">
        <v>350</v>
      </c>
      <c r="C33" s="120" t="s">
        <v>344</v>
      </c>
      <c r="D33" s="120" t="s">
        <v>308</v>
      </c>
      <c r="E33" s="127" t="s">
        <v>370</v>
      </c>
      <c r="F33" s="120" t="s">
        <v>380</v>
      </c>
      <c r="G33" s="120">
        <v>2025</v>
      </c>
      <c r="H33" s="120" t="s">
        <v>360</v>
      </c>
      <c r="I33" s="120" t="s">
        <v>33</v>
      </c>
      <c r="J33" s="124">
        <v>78007.649999999994</v>
      </c>
      <c r="K33" s="122">
        <f>+_xlfn.XLOOKUP(Tabla1[[#This Row],[Código]],'POM 2025__old'!A:A,'POM 2025__old'!K:K,0,0,1)</f>
        <v>0.9031297871545465</v>
      </c>
      <c r="L33" s="122">
        <v>0</v>
      </c>
      <c r="M33" s="120" t="s">
        <v>370</v>
      </c>
      <c r="N33" s="128" t="s">
        <v>398</v>
      </c>
      <c r="O33" s="129">
        <v>45845</v>
      </c>
      <c r="P33" s="129">
        <v>45891</v>
      </c>
      <c r="Q33" s="130">
        <f t="shared" si="0"/>
        <v>46</v>
      </c>
      <c r="R33" s="130">
        <f ca="1">$B$5-P33</f>
        <v>318</v>
      </c>
      <c r="S33" s="120">
        <f ca="1">+IF(Tabla1[[#This Row],[Dias atraso]]&gt;30,-1,IF(AND(Tabla1[[#This Row],[Dias atraso]]&lt;=30,Tabla1[[#This Row],[Dias atraso]]&gt;0),0,1))</f>
        <v>-1</v>
      </c>
    </row>
    <row r="34" spans="1:19" x14ac:dyDescent="0.2">
      <c r="A34" s="120">
        <v>27</v>
      </c>
      <c r="B34" s="120" t="s">
        <v>351</v>
      </c>
      <c r="C34" s="120" t="s">
        <v>345</v>
      </c>
      <c r="D34" s="120" t="s">
        <v>216</v>
      </c>
      <c r="E34" s="127" t="s">
        <v>371</v>
      </c>
      <c r="F34" s="120" t="s">
        <v>380</v>
      </c>
      <c r="G34" s="120">
        <v>2025</v>
      </c>
      <c r="H34" s="120" t="s">
        <v>360</v>
      </c>
      <c r="I34" s="120" t="s">
        <v>32</v>
      </c>
      <c r="J34" s="124">
        <v>80125</v>
      </c>
      <c r="K34" s="122">
        <f>+_xlfn.XLOOKUP(Tabla1[[#This Row],[Código]],'POM 2025__old'!A:A,'POM 2025__old'!K:K,0,0,1)</f>
        <v>0.99533229329173167</v>
      </c>
      <c r="L34" s="122" t="s">
        <v>62</v>
      </c>
      <c r="M34" s="120" t="s">
        <v>371</v>
      </c>
      <c r="O34" s="129"/>
      <c r="P34" s="129"/>
      <c r="Q34" s="130">
        <f t="shared" si="0"/>
        <v>0</v>
      </c>
      <c r="R34" s="130"/>
    </row>
    <row r="35" spans="1:19" x14ac:dyDescent="0.2">
      <c r="A35" s="120">
        <v>28</v>
      </c>
      <c r="B35" s="120" t="s">
        <v>352</v>
      </c>
      <c r="C35" s="120" t="s">
        <v>346</v>
      </c>
      <c r="D35" s="120" t="s">
        <v>309</v>
      </c>
      <c r="E35" s="127" t="s">
        <v>370</v>
      </c>
      <c r="F35" s="120" t="s">
        <v>380</v>
      </c>
      <c r="G35" s="120">
        <v>2025</v>
      </c>
      <c r="H35" s="120" t="s">
        <v>360</v>
      </c>
      <c r="I35" s="120" t="s">
        <v>162</v>
      </c>
      <c r="J35" s="124">
        <v>38209</v>
      </c>
      <c r="K35" s="122">
        <f>+_xlfn.XLOOKUP(Tabla1[[#This Row],[Código]],'POM 2025__old'!A:A,'POM 2025__old'!K:K,0,0,1)</f>
        <v>1.000002617184433</v>
      </c>
      <c r="L35" s="122">
        <v>0.99</v>
      </c>
      <c r="M35" s="120" t="s">
        <v>370</v>
      </c>
      <c r="N35" s="128" t="s">
        <v>399</v>
      </c>
      <c r="O35" s="129">
        <v>45868</v>
      </c>
      <c r="P35" s="129">
        <v>45898</v>
      </c>
      <c r="Q35" s="130">
        <f t="shared" si="0"/>
        <v>30</v>
      </c>
      <c r="R35" s="130">
        <f ca="1">$B$5-P35</f>
        <v>311</v>
      </c>
      <c r="S35" s="120">
        <f ca="1">+IF(Tabla1[[#This Row],[Dias atraso]]&gt;30,-1,IF(AND(Tabla1[[#This Row],[Dias atraso]]&lt;=30,Tabla1[[#This Row],[Dias atraso]]&gt;0),0,1))</f>
        <v>-1</v>
      </c>
    </row>
    <row r="36" spans="1:19" x14ac:dyDescent="0.2">
      <c r="A36" s="120">
        <v>29</v>
      </c>
      <c r="B36" s="120" t="s">
        <v>353</v>
      </c>
      <c r="C36" s="120" t="s">
        <v>347</v>
      </c>
      <c r="D36" s="120" t="s">
        <v>309</v>
      </c>
      <c r="E36" s="127" t="s">
        <v>370</v>
      </c>
      <c r="F36" s="120" t="s">
        <v>380</v>
      </c>
      <c r="G36" s="120">
        <v>2025</v>
      </c>
      <c r="H36" s="120" t="s">
        <v>360</v>
      </c>
      <c r="I36" s="120" t="s">
        <v>162</v>
      </c>
      <c r="J36" s="124">
        <v>80283</v>
      </c>
      <c r="K36" s="122">
        <f>+_xlfn.XLOOKUP(Tabla1[[#This Row],[Código]],'POM 2025__old'!A:A,'POM 2025__old'!K:K,0,0,1)</f>
        <v>0.9999875440628776</v>
      </c>
      <c r="L36" s="122">
        <v>0.05</v>
      </c>
      <c r="M36" s="120" t="s">
        <v>370</v>
      </c>
      <c r="N36" s="128" t="s">
        <v>400</v>
      </c>
      <c r="O36" s="129">
        <v>45908</v>
      </c>
      <c r="P36" s="129">
        <v>45989</v>
      </c>
      <c r="Q36" s="130">
        <f t="shared" si="0"/>
        <v>81</v>
      </c>
      <c r="R36" s="130">
        <f ca="1">$B$5-P36</f>
        <v>220</v>
      </c>
      <c r="S36" s="120">
        <f ca="1">+IF(Tabla1[[#This Row],[Dias atraso]]&gt;30,-1,IF(AND(Tabla1[[#This Row],[Dias atraso]]&lt;=30,Tabla1[[#This Row],[Dias atraso]]&gt;0),0,1))</f>
        <v>-1</v>
      </c>
    </row>
    <row r="37" spans="1:19" x14ac:dyDescent="0.2">
      <c r="A37" s="120">
        <v>30</v>
      </c>
      <c r="B37" s="120" t="s">
        <v>362</v>
      </c>
      <c r="C37" s="120" t="s">
        <v>348</v>
      </c>
      <c r="D37" s="120" t="s">
        <v>309</v>
      </c>
      <c r="E37" s="127" t="s">
        <v>371</v>
      </c>
      <c r="F37" s="120" t="s">
        <v>380</v>
      </c>
      <c r="G37" s="120">
        <v>2025</v>
      </c>
      <c r="H37" s="120" t="s">
        <v>360</v>
      </c>
      <c r="I37" s="132"/>
      <c r="J37" s="124">
        <v>37221</v>
      </c>
      <c r="K37" s="122">
        <f>+_xlfn.XLOOKUP(Tabla1[[#This Row],[Código]],'POM 2025__old'!A:A,'POM 2025__old'!K:K,0,0,1)</f>
        <v>1</v>
      </c>
      <c r="L37" s="122" t="s">
        <v>62</v>
      </c>
      <c r="M37" s="120" t="s">
        <v>371</v>
      </c>
      <c r="O37" s="129"/>
      <c r="P37" s="129"/>
      <c r="Q37" s="130">
        <f t="shared" si="0"/>
        <v>0</v>
      </c>
      <c r="R37" s="130"/>
    </row>
    <row r="38" spans="1:19" x14ac:dyDescent="0.2">
      <c r="A38" s="120">
        <v>31</v>
      </c>
      <c r="B38" s="120" t="s">
        <v>363</v>
      </c>
      <c r="C38" s="120" t="s">
        <v>355</v>
      </c>
      <c r="D38" s="120" t="s">
        <v>309</v>
      </c>
      <c r="E38" s="127" t="s">
        <v>370</v>
      </c>
      <c r="F38" s="120" t="s">
        <v>380</v>
      </c>
      <c r="G38" s="120">
        <v>2025</v>
      </c>
      <c r="H38" s="120" t="s">
        <v>360</v>
      </c>
      <c r="I38" s="120" t="s">
        <v>162</v>
      </c>
      <c r="J38" s="124">
        <v>29716</v>
      </c>
      <c r="K38" s="122">
        <f>+_xlfn.XLOOKUP(Tabla1[[#This Row],[Código]],'POM 2025__old'!A:A,'POM 2025__old'!K:K,0,0,1)</f>
        <v>1</v>
      </c>
      <c r="L38" s="122" t="s">
        <v>62</v>
      </c>
      <c r="M38" s="120" t="s">
        <v>371</v>
      </c>
      <c r="O38" s="129"/>
      <c r="P38" s="129"/>
      <c r="Q38" s="130">
        <f t="shared" si="0"/>
        <v>0</v>
      </c>
      <c r="R38" s="130"/>
    </row>
    <row r="39" spans="1:19" x14ac:dyDescent="0.2">
      <c r="A39" s="120">
        <v>32</v>
      </c>
      <c r="B39" s="120" t="s">
        <v>364</v>
      </c>
      <c r="C39" s="120" t="s">
        <v>356</v>
      </c>
      <c r="D39" s="120" t="s">
        <v>216</v>
      </c>
      <c r="E39" s="127" t="s">
        <v>371</v>
      </c>
      <c r="F39" s="120" t="s">
        <v>380</v>
      </c>
      <c r="G39" s="120">
        <v>2025</v>
      </c>
      <c r="H39" s="120" t="s">
        <v>360</v>
      </c>
      <c r="I39" s="120" t="s">
        <v>315</v>
      </c>
      <c r="J39" s="124">
        <v>123838.96</v>
      </c>
      <c r="K39" s="122">
        <f>+_xlfn.XLOOKUP(Tabla1[[#This Row],[Código]],'POM 2025__old'!A:A,'POM 2025__old'!K:K,0,0,1)</f>
        <v>1.0459499999999999</v>
      </c>
      <c r="L39" s="122">
        <v>0.01</v>
      </c>
      <c r="M39" s="120" t="s">
        <v>370</v>
      </c>
      <c r="N39" s="128" t="s">
        <v>401</v>
      </c>
      <c r="O39" s="129">
        <v>45894</v>
      </c>
      <c r="P39" s="129">
        <v>45975</v>
      </c>
      <c r="Q39" s="130">
        <f t="shared" si="0"/>
        <v>81</v>
      </c>
      <c r="R39" s="130">
        <f ca="1">$B$5-P39</f>
        <v>234</v>
      </c>
      <c r="S39" s="120">
        <f ca="1">+IF(Tabla1[[#This Row],[Dias atraso]]&gt;30,-1,IF(AND(Tabla1[[#This Row],[Dias atraso]]&lt;=30,Tabla1[[#This Row],[Dias atraso]]&gt;0),0,1))</f>
        <v>-1</v>
      </c>
    </row>
    <row r="40" spans="1:19" x14ac:dyDescent="0.2">
      <c r="A40" s="120">
        <v>33</v>
      </c>
      <c r="B40" s="120" t="s">
        <v>365</v>
      </c>
      <c r="C40" s="120" t="s">
        <v>357</v>
      </c>
      <c r="D40" s="120" t="s">
        <v>216</v>
      </c>
      <c r="E40" s="127" t="s">
        <v>370</v>
      </c>
      <c r="F40" s="120" t="s">
        <v>380</v>
      </c>
      <c r="G40" s="120">
        <v>2025</v>
      </c>
      <c r="H40" s="120" t="s">
        <v>360</v>
      </c>
      <c r="I40" s="120" t="s">
        <v>32</v>
      </c>
      <c r="J40" s="124">
        <v>22600</v>
      </c>
      <c r="K40" s="122">
        <f>+_xlfn.XLOOKUP(Tabla1[[#This Row],[Código]],'POM 2025__old'!A:A,'POM 2025__old'!K:K,0,0,1)</f>
        <v>0.5</v>
      </c>
      <c r="L40" s="122" t="s">
        <v>62</v>
      </c>
      <c r="M40" s="120" t="s">
        <v>371</v>
      </c>
      <c r="O40" s="129"/>
      <c r="P40" s="129"/>
      <c r="Q40" s="130">
        <f t="shared" si="0"/>
        <v>0</v>
      </c>
      <c r="R40" s="130"/>
    </row>
    <row r="41" spans="1:19" x14ac:dyDescent="0.2">
      <c r="A41" s="120">
        <v>34</v>
      </c>
      <c r="B41" s="120" t="s">
        <v>418</v>
      </c>
      <c r="C41" s="120" t="s">
        <v>409</v>
      </c>
      <c r="D41" s="120" t="s">
        <v>216</v>
      </c>
      <c r="E41" s="127" t="s">
        <v>370</v>
      </c>
      <c r="F41" s="120" t="s">
        <v>380</v>
      </c>
      <c r="G41" s="120">
        <v>2025</v>
      </c>
      <c r="H41" s="120" t="s">
        <v>360</v>
      </c>
      <c r="I41" s="120" t="s">
        <v>32</v>
      </c>
      <c r="J41" s="124">
        <v>141656.26</v>
      </c>
      <c r="K41" s="122">
        <f>+_xlfn.XLOOKUP(Tabla1[[#This Row],[Código]],'POM 2025__old'!A:A,'POM 2025__old'!K:K,0,0,1)</f>
        <v>0.84432004476930012</v>
      </c>
      <c r="L41" s="122" t="s">
        <v>62</v>
      </c>
      <c r="M41" s="120" t="s">
        <v>371</v>
      </c>
      <c r="N41" s="128"/>
      <c r="O41" s="129"/>
      <c r="P41" s="129"/>
      <c r="Q41" s="130">
        <f t="shared" si="0"/>
        <v>0</v>
      </c>
      <c r="R41" s="130"/>
    </row>
    <row r="42" spans="1:19" x14ac:dyDescent="0.2">
      <c r="A42" s="120">
        <v>35</v>
      </c>
      <c r="B42" s="120" t="s">
        <v>422</v>
      </c>
      <c r="C42" s="120" t="s">
        <v>413</v>
      </c>
      <c r="D42" s="120" t="s">
        <v>216</v>
      </c>
      <c r="E42" s="127" t="s">
        <v>371</v>
      </c>
      <c r="F42" s="120" t="s">
        <v>414</v>
      </c>
      <c r="G42" s="120">
        <v>2025</v>
      </c>
      <c r="H42" s="120" t="s">
        <v>360</v>
      </c>
      <c r="I42" s="120" t="s">
        <v>416</v>
      </c>
      <c r="J42" s="124">
        <v>195050</v>
      </c>
      <c r="K42" s="122">
        <f>+_xlfn.XLOOKUP(Tabla1[[#This Row],[Código]],'POM 2025__old'!A:A,'POM 2025__old'!K:K,0,0,1)</f>
        <v>0</v>
      </c>
      <c r="L42" s="122" t="s">
        <v>62</v>
      </c>
      <c r="M42" s="120" t="s">
        <v>371</v>
      </c>
      <c r="N42" s="128"/>
      <c r="O42" s="129"/>
      <c r="P42" s="129"/>
      <c r="Q42" s="130">
        <f t="shared" si="0"/>
        <v>0</v>
      </c>
      <c r="R42" s="130"/>
    </row>
  </sheetData>
  <conditionalFormatting sqref="M2 K5:L6 E7:E42 K43:L1048576">
    <cfRule type="containsText" dxfId="2" priority="3" operator="containsText" text="Si">
      <formula>NOT(ISERROR(SEARCH("Si",E2)))</formula>
    </cfRule>
    <cfRule type="containsText" dxfId="1" priority="4" operator="containsText" text="No">
      <formula>NOT(ISERROR(SEARCH("No",E2)))</formula>
    </cfRule>
  </conditionalFormatting>
  <conditionalFormatting sqref="M8:M42">
    <cfRule type="containsText" dxfId="0" priority="2" operator="containsText" text="No">
      <formula>NOT(ISERROR(SEARCH("No",M8)))</formula>
    </cfRule>
  </conditionalFormatting>
  <conditionalFormatting sqref="S1:S1048576">
    <cfRule type="iconSet" priority="1">
      <iconSet showValue="0">
        <cfvo type="percent" val="0"/>
        <cfvo type="num" val="0"/>
        <cfvo type="num" val="1"/>
      </iconSet>
    </cfRule>
  </conditionalFormatting>
  <hyperlinks>
    <hyperlink ref="N8" r:id="rId1" display="../../../../../:x:/s/AngloAmerican_TecnologaHDDcaptacinaguasclaras/Eb72D3VchW5FgxYjNy38LMoB5YZvrY45jbTZR4yfda5TfQ?e=9VhbgF" xr:uid="{BF786AB1-D521-4833-8B16-09BF00A33DC0}"/>
    <hyperlink ref="N18" r:id="rId2" display="../../../../../:x:/s/CMP_EstrategiaCrecimientoTofoNorte/ETBd69xqyx1Ij518xiMTcBUBm2slXWFs71F1ppoeRej8Ww?e=QyZavH" xr:uid="{A462C5A4-3957-45C1-83F7-0F0C7BB58842}"/>
    <hyperlink ref="N19" r:id="rId3" display="../../../../../:x:/s/Mosaic_ActualizacinFSP1Cajati/ES6a-yMI4FtHtC543_SZfRsBy2q5m5ZokZWOtsTlSpTMxQ?e=BxwODD" xr:uid="{AB6E74EA-29E7-4662-9A85-A5CB7A28FABC}"/>
    <hyperlink ref="N21" r:id="rId4" display="../../../../../:x:/s/CMP_ActualizacinCasosdeNegociosCNN/EWQKB8AJ2_lPiyukgUeyYe0BqAVthOEFS86SlIinilF05g?e=BVI0no" xr:uid="{CDD42CFD-45A3-4257-AA10-F2FCE1B20EAC}"/>
    <hyperlink ref="N22" r:id="rId5" display="../../../../../:x:/s/AuraMinerals_ExpansinMinaPaiolOP-UG/Ed8j_5ljhvtPrsgHM1D2FpgBA6aL2DuItQ0OYoailM9Tjg?e=UZFwCL" xr:uid="{8B6E946F-5560-4F03-B672-8CF5776D1F92}"/>
    <hyperlink ref="N9" r:id="rId6" display="../../../../../:x:/s/BHP_MedidasdeCierreBotaderos/Ee2nXAXjWrJLoARXYL11uZQBuQVp4hV4oW9f5mmAwVbn0g?e=xgiXk7" xr:uid="{5F62CE14-ED63-411F-8F97-EA0E221DEB38}"/>
    <hyperlink ref="N20" r:id="rId7" display="../../../../../:x:/s/BHP_TunelExploratorio/EVkvlCYCNuNBhItHA0TeYFABl9cJuPdgj8DCBSwbZVMuvA?e=B0sdgy" xr:uid="{5460151F-2406-4A6E-95FB-3461BFC5F429}"/>
    <hyperlink ref="N10" r:id="rId8" display="../../../../../:x:/s/LasBambas_FerrobambaPFS/EWRnIwXAuyVPlg5d6d0odzkBOZKLvcZDpfv1yQZE7_IDtg?e=5Yspio" xr:uid="{0CA1ED4B-DE79-4535-973B-1D4EF1AA76C9}"/>
    <hyperlink ref="N25" r:id="rId9" display="../../../../../:x:/s/EroCopper_ScopingProyectoFurnas/EZ5yp6MsK25AiHs3rA7R4bgBf5hdNgZYNQn7kGF80Tck9g?e=0L1Dbl" xr:uid="{AA7922FE-497A-4A3F-A4B5-D1D2977DFF4A}"/>
    <hyperlink ref="N27" r:id="rId10" display="../../../../../:x:/s/Alpayana_EstudiodeSismicidad/ESFfGzjPH4hOl7nFUeTv5nUBdkxDT4E3XSkuRoJCuFxFww?e=QFaPLy" xr:uid="{4161DB23-B5C2-4F62-B533-79ED17B3E519}"/>
    <hyperlink ref="N28" r:id="rId11" display="../../../../../:x:/s/Alpamarca_EstudiodeEstabilidadTajo/EY7TOFiNtGpImwstKvWEcm8BbK4_Avh54LmFPa2zY8stNg?e=86qpHA" xr:uid="{83E73E60-A1FE-4437-91FD-285CAD10F178}"/>
    <hyperlink ref="N31" r:id="rId12" display="../../../../../:x:/s/SPM_FSLaboresSubterraneas2daMEIA/Ee99ztN00Q1FrySh7-Z-GrQB1lnQd66vYZ3siENWg8igEA?e=7b5ytS" xr:uid="{436F71C6-1249-4286-B635-FBED872DBBA2}"/>
    <hyperlink ref="N32" r:id="rId13" display="../../../../../:x:/s/LHG_LOMUrucum/EXg7U2snfVdOt-Rmnsxp63EBodgpBq_0h0ZMyfXD7zv8gA?e=QLTuHt" xr:uid="{973C9C35-CF42-40C3-A204-4F9493F1C9A7}"/>
    <hyperlink ref="N33" r:id="rId14" display="../../../../../:x:/s/CBMM_SIMPLANInitiativesEvaluation/EVONEMzx4FpOiS6FjXgTBWwBOniyjvS0foBy_eM7fTSRcA?e=6rTYSh" xr:uid="{C6DDCE8D-0BC3-4819-92F5-D5FE8DAA42F2}"/>
    <hyperlink ref="N35" r:id="rId15" display="../../../../../:x:/s/Volcan_EstudioEstabilidadDesmonteras/EXXrrzJ_dbVHl33dgnO6n3oBKaECqOWJIxpmTvmtp7uNWw?e=nx9Ibb" xr:uid="{4DE1850E-2164-409B-9779-8B4A16C83B36}"/>
    <hyperlink ref="N36" r:id="rId16" display="../../../../../:x:/s/NEXA_EstudioGeomecnicoATyEP/EXqwbfO4nUBCizN0sRei_9gBBbMa54pcD9Cv7wU28vy3Lg?e=IBME1C" xr:uid="{8AD25091-B7DA-4D28-AF6A-1C544ECDE60D}"/>
    <hyperlink ref="N39" r:id="rId17" display="../../../../../:x:/s/CORFO_ValorizacinBoquernChaar/EUelsNU30VBKuC5ABLSbw_wBXl0Mib7HdiYHKdsLZK4-Zg?e=JcyXTn" xr:uid="{D8496106-97D8-485E-BC1D-D67C7F8CE72B}"/>
    <hyperlink ref="N13" r:id="rId18" display="../../../../../:x:/s/Polyus_EvaluaciontaludesminaBlagodatny/EUowNM-NLyhLsbwMaxeMShUB2S11yuahtXN2oVZ760XLuw?e=oWGixS" xr:uid="{C4C3C113-F0A7-4F07-AE86-240A5BED17CC}"/>
    <hyperlink ref="N14" r:id="rId19" display="../../../../../:x:/s/Seligdar_Kyuchus/Eaac0_QSEa9Buy0pUBxuN4oB3CTEiXwdgbqqhuLk4SlfWQ?e=kxSKoC" xr:uid="{A281CDFF-9EEF-493A-80B7-543689EBBF12}"/>
    <hyperlink ref="N23" r:id="rId20" display="../../../../../:x:/s/Mosaic_TaquariVassourasFaseII/EW9_hQHmsVxKnWZMXQB5p2sBQNX4dWIk9J45NnI6glADKw?e=kQPDyG" xr:uid="{9B01A296-6289-442B-974A-7C9B11BB11D6}"/>
  </hyperlinks>
  <pageMargins left="0.7" right="0.7" top="0.75" bottom="0.75" header="0.3" footer="0.3"/>
  <drawing r:id="rId21"/>
  <tableParts count="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aaa94c6-a08a-4f31-80d4-9ed0227976f0">
      <Terms xmlns="http://schemas.microsoft.com/office/infopath/2007/PartnerControls"/>
    </lcf76f155ced4ddcb4097134ff3c332f>
    <TaxCatchAll xmlns="379e1408-2888-4c35-8838-6acad26c5d6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0E5B92ACAE07D34EBD9C6E2622D0FB90" ma:contentTypeVersion="12" ma:contentTypeDescription="Create a new document." ma:contentTypeScope="" ma:versionID="7f49de2c6b713e81b883d83440abc7b4">
  <xsd:schema xmlns:xsd="http://www.w3.org/2001/XMLSchema" xmlns:xs="http://www.w3.org/2001/XMLSchema" xmlns:p="http://schemas.microsoft.com/office/2006/metadata/properties" xmlns:ns2="0aaa94c6-a08a-4f31-80d4-9ed0227976f0" xmlns:ns3="379e1408-2888-4c35-8838-6acad26c5d63" targetNamespace="http://schemas.microsoft.com/office/2006/metadata/properties" ma:root="true" ma:fieldsID="c077b7c82340bc93c6b35a1c6c7b7bd0" ns2:_="" ns3:_="">
    <xsd:import namespace="0aaa94c6-a08a-4f31-80d4-9ed0227976f0"/>
    <xsd:import namespace="379e1408-2888-4c35-8838-6acad26c5d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aa94c6-a08a-4f31-80d4-9ed022797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0e85e79-d9a7-4c0e-b556-3753633e16a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9e1408-2888-4c35-8838-6acad26c5d6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3b9dc9-1702-4a21-9e9b-ae6102858314}" ma:internalName="TaxCatchAll" ma:showField="CatchAllData" ma:web="379e1408-2888-4c35-8838-6acad26c5d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AEA4EF-A6A2-4BCD-A223-813F3BAE8ADB}">
  <ds:schemaRefs>
    <ds:schemaRef ds:uri="http://schemas.microsoft.com/office/2006/documentManagement/types"/>
    <ds:schemaRef ds:uri="http://www.w3.org/XML/1998/namespace"/>
    <ds:schemaRef ds:uri="7d3b1b71-91b4-4cfa-8e3c-66689df66c22"/>
    <ds:schemaRef ds:uri="http://purl.org/dc/elements/1.1/"/>
    <ds:schemaRef ds:uri="http://purl.org/dc/dcmitype/"/>
    <ds:schemaRef ds:uri="http://purl.org/dc/terms/"/>
    <ds:schemaRef ds:uri="93905ea2-9252-4e2b-8dff-94b3dd824a6c"/>
    <ds:schemaRef ds:uri="http://schemas.microsoft.com/office/infopath/2007/PartnerControls"/>
    <ds:schemaRef ds:uri="http://schemas.openxmlformats.org/package/2006/metadata/core-properties"/>
    <ds:schemaRef ds:uri="http://schemas.microsoft.com/office/2006/metadata/properties"/>
    <ds:schemaRef ds:uri="0aaa94c6-a08a-4f31-80d4-9ed0227976f0"/>
    <ds:schemaRef ds:uri="379e1408-2888-4c35-8838-6acad26c5d63"/>
  </ds:schemaRefs>
</ds:datastoreItem>
</file>

<file path=customXml/itemProps2.xml><?xml version="1.0" encoding="utf-8"?>
<ds:datastoreItem xmlns:ds="http://schemas.openxmlformats.org/officeDocument/2006/customXml" ds:itemID="{EF67B1B8-6E6A-4589-837A-0A1B23CC0A00}">
  <ds:schemaRefs>
    <ds:schemaRef ds:uri="http://schemas.microsoft.com/sharepoint/v3/contenttype/forms"/>
  </ds:schemaRefs>
</ds:datastoreItem>
</file>

<file path=customXml/itemProps3.xml><?xml version="1.0" encoding="utf-8"?>
<ds:datastoreItem xmlns:ds="http://schemas.openxmlformats.org/officeDocument/2006/customXml" ds:itemID="{EDDEDA7D-2471-439C-B794-D44A483CD866}">
  <ds:schemaRefs>
    <ds:schemaRef ds:uri="http://schemas.microsoft.com/DataMashup"/>
  </ds:schemaRefs>
</ds:datastoreItem>
</file>

<file path=customXml/itemProps4.xml><?xml version="1.0" encoding="utf-8"?>
<ds:datastoreItem xmlns:ds="http://schemas.openxmlformats.org/officeDocument/2006/customXml" ds:itemID="{1CAB5B46-A497-44F5-A405-85C1C96C5A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aa94c6-a08a-4f31-80d4-9ed0227976f0"/>
    <ds:schemaRef ds:uri="379e1408-2888-4c35-8838-6acad26c5d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10</vt:i4>
      </vt:variant>
      <vt:variant>
        <vt:lpstr>Rangos con nombre</vt:lpstr>
      </vt:variant>
      <vt:variant>
        <vt:i4>2</vt:i4>
      </vt:variant>
    </vt:vector>
  </HeadingPairs>
  <TitlesOfParts>
    <vt:vector size="12" baseType="lpstr">
      <vt:lpstr>Formato reporte EDP_2024</vt:lpstr>
      <vt:lpstr>Curva S</vt:lpstr>
      <vt:lpstr>Formato Backlog_Sept25</vt:lpstr>
      <vt:lpstr>POM 2024</vt:lpstr>
      <vt:lpstr>POM 2025__old</vt:lpstr>
      <vt:lpstr>POM 2025</vt:lpstr>
      <vt:lpstr>EDP ene-26</vt:lpstr>
      <vt:lpstr>Comparación ene-26</vt:lpstr>
      <vt:lpstr>260209__Información ER</vt:lpstr>
      <vt:lpstr>Proyectos Vigentes_2025</vt:lpstr>
      <vt:lpstr>'EDP ene-26'!Área_de_impresión</vt:lpstr>
      <vt:lpstr>'Formato reporte EDP_2024'!Área_de_impresión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Figueroa</dc:creator>
  <cp:keywords/>
  <dc:description/>
  <cp:lastModifiedBy>Daniel Cuero</cp:lastModifiedBy>
  <cp:revision/>
  <cp:lastPrinted>2025-08-29T21:07:38Z</cp:lastPrinted>
  <dcterms:created xsi:type="dcterms:W3CDTF">2023-09-25T21:02:58Z</dcterms:created>
  <dcterms:modified xsi:type="dcterms:W3CDTF">2026-07-06T05:32:45Z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0x0101000E5B92ACAE07D34EBD9C6E2622D0FB90</vt:lpwstr>
  </property>
  <property fmtid="{D5CDD505-2E9C-101B-9397-08002B2CF9AE}" pid="3" name="MediaServiceImageTags">
    <vt:lpwstr/>
  </property>
</Properties>
</file>