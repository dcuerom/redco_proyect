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drawings/drawing1.xml" ContentType="application/vnd.openxmlformats-officedocument.drawing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drawings/drawing2.xml" ContentType="application/vnd.openxmlformats-officedocument.drawing+xml"/>
  <Override PartName="/xl/tables/table30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33.xml" ContentType="application/vnd.openxmlformats-officedocument.spreadsheetml.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drawings/drawing4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pivotTables/pivotTable10.xml" ContentType="application/vnd.openxmlformats-officedocument.spreadsheetml.pivotTable+xml"/>
  <Override PartName="/xl/drawings/drawing5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6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pivotTables/pivotTable1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4" codeName="{00000000-0000-0000-0000-000000000000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redcoglobalcl.sharepoint.com/sites/GestinEstratgicaREDCO/Shared Documents/General/Presupuesto 2026/"/>
    </mc:Choice>
  </mc:AlternateContent>
  <xr:revisionPtr revIDLastSave="0" documentId="8_{47479D06-AAC8-4776-BA7A-47E2474FB2C0}" xr6:coauthVersionLast="47" xr6:coauthVersionMax="47" xr10:uidLastSave="{00000000-0000-0000-0000-000000000000}"/>
  <bookViews>
    <workbookView xWindow="22932" yWindow="-108" windowWidth="23256" windowHeight="12456" firstSheet="15" activeTab="15" xr2:uid="{199B7D1E-1E59-4A2D-891E-DD62D784804F}"/>
  </bookViews>
  <sheets>
    <sheet name="JFSM" sheetId="11" state="hidden" r:id="rId1"/>
    <sheet name="INPUT" sheetId="1" r:id="rId2"/>
    <sheet name="Categorías" sheetId="3" r:id="rId3"/>
    <sheet name="Administración" sheetId="5" r:id="rId4"/>
    <sheet name="Comercial" sheetId="4" r:id="rId5"/>
    <sheet name="RRHH" sheetId="6" r:id="rId6"/>
    <sheet name="SSTT" sheetId="7" r:id="rId7"/>
    <sheet name="REDCO" sheetId="8" r:id="rId8"/>
    <sheet name="R+" sheetId="9" r:id="rId9"/>
    <sheet name="Geomecánica" sheetId="10" r:id="rId10"/>
    <sheet name="Otros" sheetId="18" r:id="rId11"/>
    <sheet name="SueldosBrutos" sheetId="14" r:id="rId12"/>
    <sheet name="ExtrasSueldos" sheetId="15" r:id="rId13"/>
    <sheet name="Sueldos Add" sheetId="26" r:id="rId14"/>
    <sheet name="Personas_Cargos" sheetId="25" r:id="rId15"/>
    <sheet name="Presupuesto2026" sheetId="16" r:id="rId16"/>
    <sheet name="Ingresos_EDP" sheetId="13" r:id="rId17"/>
    <sheet name="Graficos" sheetId="19" r:id="rId18"/>
    <sheet name="Estados de Pago" sheetId="17" r:id="rId19"/>
    <sheet name="No modificar" sheetId="12" r:id="rId20"/>
    <sheet name="HH Potenciales" sheetId="22" r:id="rId21"/>
    <sheet name="HH Potenciales 2026 (2)" sheetId="24" r:id="rId22"/>
    <sheet name="Margenes" sheetId="28" r:id="rId23"/>
    <sheet name="Presupuesto2026 (2)" sheetId="29" r:id="rId24"/>
  </sheets>
  <externalReferences>
    <externalReference r:id="rId25"/>
  </externalReferences>
  <definedNames>
    <definedName name="_xlnm._FilterDatabase" localSheetId="2" hidden="1">Categorías!$A$1:$E$47</definedName>
    <definedName name="_xlnm._FilterDatabase" localSheetId="0" hidden="1">Categorías!$A$1:$E$47</definedName>
    <definedName name="_xlnm._FilterDatabase" localSheetId="19" hidden="1">'No modificar'!$A$10:$C$116</definedName>
    <definedName name="_xlnm._FilterDatabase" localSheetId="14" hidden="1">Personas_Cargos!$A$1:$F$71</definedName>
    <definedName name="_xlnm._FilterDatabase" localSheetId="5" hidden="1">RRHH!$A$6:$S$102</definedName>
    <definedName name="_xlnm._FilterDatabase" localSheetId="13" hidden="1">'Sueldos Add'!$A$1:$T$85</definedName>
    <definedName name="_xlnm._FilterDatabase" localSheetId="11" hidden="1">SueldosBrutos!$A$1:$S$85</definedName>
    <definedName name="_xleta.SUM" hidden="1" xlm="1">#NAME?</definedName>
    <definedName name="_xleta.T" hidden="1" xlm="1">#NAME?</definedName>
  </definedNames>
  <calcPr calcId="191028"/>
  <pivotCaches>
    <pivotCache cacheId="347" r:id="rId26"/>
    <pivotCache cacheId="348" r:id="rId27"/>
    <pivotCache cacheId="349" r:id="rId28"/>
    <pivotCache cacheId="350" r:id="rId2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73" i="29" l="1"/>
  <c r="S8" i="19" l="1"/>
  <c r="T3" i="19" s="1"/>
  <c r="T6" i="19" l="1"/>
  <c r="T2" i="19"/>
  <c r="T7" i="19"/>
  <c r="T5" i="19"/>
  <c r="T4" i="19"/>
  <c r="T8" i="19" l="1"/>
  <c r="I131" i="14"/>
  <c r="H131" i="14"/>
  <c r="J131" i="14"/>
  <c r="K131" i="14"/>
  <c r="L131" i="14"/>
  <c r="M131" i="14"/>
  <c r="N131" i="14"/>
  <c r="O131" i="14"/>
  <c r="P131" i="14"/>
  <c r="Q131" i="14"/>
  <c r="R131" i="14"/>
  <c r="S131" i="14"/>
  <c r="I128" i="14"/>
  <c r="J128" i="14"/>
  <c r="K128" i="14"/>
  <c r="L128" i="14"/>
  <c r="M128" i="14"/>
  <c r="N128" i="14"/>
  <c r="O128" i="14"/>
  <c r="P128" i="14"/>
  <c r="Q128" i="14"/>
  <c r="R128" i="14"/>
  <c r="S128" i="14"/>
  <c r="I129" i="14"/>
  <c r="J129" i="14"/>
  <c r="K129" i="14"/>
  <c r="L129" i="14"/>
  <c r="M129" i="14"/>
  <c r="N129" i="14"/>
  <c r="O129" i="14"/>
  <c r="P129" i="14"/>
  <c r="Q129" i="14"/>
  <c r="R129" i="14"/>
  <c r="S129" i="14"/>
  <c r="H129" i="14"/>
  <c r="H128" i="14"/>
  <c r="W137" i="14" l="1"/>
  <c r="V137" i="14"/>
  <c r="AB137" i="14"/>
  <c r="Z137" i="14"/>
  <c r="U137" i="14"/>
  <c r="Y137" i="14"/>
  <c r="X137" i="14"/>
  <c r="T128" i="14"/>
  <c r="T129" i="14"/>
  <c r="AE137" i="14"/>
  <c r="AD137" i="14"/>
  <c r="AC137" i="14"/>
  <c r="T137" i="14"/>
  <c r="AA137" i="14"/>
  <c r="C10" i="28"/>
  <c r="D10" i="28"/>
  <c r="E10" i="28"/>
  <c r="F10" i="28"/>
  <c r="G10" i="28"/>
  <c r="H10" i="28"/>
  <c r="I10" i="28"/>
  <c r="J10" i="28"/>
  <c r="K10" i="28"/>
  <c r="L10" i="28"/>
  <c r="M10" i="28"/>
  <c r="B10" i="28"/>
  <c r="N7" i="28"/>
  <c r="S3" i="28" s="1"/>
  <c r="T130" i="14" l="1"/>
  <c r="N2" i="28"/>
  <c r="R4" i="28" s="1"/>
  <c r="C4" i="28"/>
  <c r="C12" i="28" s="1"/>
  <c r="D4" i="28"/>
  <c r="D12" i="28" s="1"/>
  <c r="E4" i="28"/>
  <c r="E12" i="28" s="1"/>
  <c r="F4" i="28"/>
  <c r="F12" i="28" s="1"/>
  <c r="G4" i="28"/>
  <c r="G12" i="28" s="1"/>
  <c r="H4" i="28"/>
  <c r="H12" i="28" s="1"/>
  <c r="I4" i="28"/>
  <c r="I12" i="28" s="1"/>
  <c r="J4" i="28"/>
  <c r="J12" i="28" s="1"/>
  <c r="K4" i="28"/>
  <c r="K12" i="28" s="1"/>
  <c r="L4" i="28"/>
  <c r="L12" i="28" s="1"/>
  <c r="M4" i="28"/>
  <c r="M12" i="28" s="1"/>
  <c r="B4" i="28"/>
  <c r="B12" i="28" s="1"/>
  <c r="N3" i="28"/>
  <c r="S4" i="28" s="1"/>
  <c r="S5" i="28" s="1"/>
  <c r="S6" i="28" s="1"/>
  <c r="T4" i="28" l="1"/>
  <c r="N4" i="28"/>
  <c r="O4" i="28" s="1"/>
  <c r="F100" i="19"/>
  <c r="F101" i="19" s="1"/>
  <c r="F82" i="19"/>
  <c r="E91" i="19"/>
  <c r="E73" i="19"/>
  <c r="F45" i="19"/>
  <c r="E36" i="19"/>
  <c r="F29" i="19"/>
  <c r="G29" i="19" l="1"/>
  <c r="G82" i="19"/>
  <c r="F83" i="19"/>
  <c r="G45" i="19"/>
  <c r="F102" i="19"/>
  <c r="F103" i="19" s="1"/>
  <c r="G101" i="19"/>
  <c r="F46" i="19"/>
  <c r="G100" i="19"/>
  <c r="F30" i="19"/>
  <c r="U4" i="28"/>
  <c r="G102" i="19" l="1"/>
  <c r="G83" i="19"/>
  <c r="F84" i="19"/>
  <c r="F31" i="19"/>
  <c r="G30" i="19"/>
  <c r="F47" i="19"/>
  <c r="G46" i="19"/>
  <c r="F104" i="19"/>
  <c r="G103" i="19"/>
  <c r="G84" i="19" l="1"/>
  <c r="F85" i="19"/>
  <c r="F48" i="19"/>
  <c r="G47" i="19"/>
  <c r="G31" i="19"/>
  <c r="F32" i="19"/>
  <c r="G104" i="19"/>
  <c r="F105" i="19"/>
  <c r="F86" i="19" l="1"/>
  <c r="G85" i="19"/>
  <c r="F33" i="19"/>
  <c r="G32" i="19"/>
  <c r="F49" i="19"/>
  <c r="G48" i="19"/>
  <c r="F106" i="19"/>
  <c r="G106" i="19" s="1"/>
  <c r="G105" i="19"/>
  <c r="F87" i="19" l="1"/>
  <c r="G86" i="19"/>
  <c r="F50" i="19"/>
  <c r="G49" i="19"/>
  <c r="F34" i="19"/>
  <c r="G33" i="19"/>
  <c r="G13" i="13"/>
  <c r="G9" i="13"/>
  <c r="G11" i="13"/>
  <c r="G12" i="13"/>
  <c r="G15" i="13"/>
  <c r="G14" i="13"/>
  <c r="G10" i="13"/>
  <c r="G16" i="13"/>
  <c r="G18" i="13"/>
  <c r="G17" i="13"/>
  <c r="G19" i="13"/>
  <c r="G21" i="13"/>
  <c r="G20" i="13"/>
  <c r="G23" i="13"/>
  <c r="G24" i="13"/>
  <c r="G25" i="13"/>
  <c r="G26" i="13"/>
  <c r="G28" i="13"/>
  <c r="G22" i="13"/>
  <c r="G29" i="13"/>
  <c r="G8" i="13"/>
  <c r="G27" i="13"/>
  <c r="G30" i="13"/>
  <c r="G31" i="13"/>
  <c r="G32" i="13"/>
  <c r="G33" i="13"/>
  <c r="G34" i="13"/>
  <c r="G35" i="13"/>
  <c r="G36" i="13"/>
  <c r="G37" i="13"/>
  <c r="G38" i="13"/>
  <c r="G39" i="13"/>
  <c r="G40" i="13"/>
  <c r="G41" i="13"/>
  <c r="G42" i="13"/>
  <c r="G43" i="13"/>
  <c r="G44" i="13"/>
  <c r="G45" i="13"/>
  <c r="G46" i="13"/>
  <c r="G47" i="13"/>
  <c r="G48" i="13"/>
  <c r="G49" i="13"/>
  <c r="G50" i="13"/>
  <c r="G51" i="13"/>
  <c r="G52" i="13"/>
  <c r="G53" i="13"/>
  <c r="G54" i="13"/>
  <c r="G55" i="13"/>
  <c r="G56" i="13"/>
  <c r="G57" i="13"/>
  <c r="G58" i="13"/>
  <c r="G59" i="13"/>
  <c r="G60" i="13"/>
  <c r="G61" i="13"/>
  <c r="G62" i="13"/>
  <c r="G63" i="13"/>
  <c r="G64" i="13"/>
  <c r="G65" i="13"/>
  <c r="G66" i="13"/>
  <c r="G67" i="13"/>
  <c r="G68" i="13"/>
  <c r="G69" i="13"/>
  <c r="G70" i="13"/>
  <c r="G71" i="13"/>
  <c r="G72" i="13"/>
  <c r="G73" i="13"/>
  <c r="G74" i="13"/>
  <c r="G75" i="13"/>
  <c r="G76" i="13"/>
  <c r="G77" i="13"/>
  <c r="G78" i="13"/>
  <c r="G79" i="13"/>
  <c r="G80" i="13"/>
  <c r="G81" i="13"/>
  <c r="G82" i="13"/>
  <c r="G83" i="13"/>
  <c r="G84" i="13"/>
  <c r="G85" i="13"/>
  <c r="G86" i="13"/>
  <c r="G87" i="13"/>
  <c r="G88" i="13"/>
  <c r="G89" i="13"/>
  <c r="G90" i="13"/>
  <c r="G91" i="13"/>
  <c r="G92" i="13"/>
  <c r="G93" i="13"/>
  <c r="G94" i="13"/>
  <c r="G95" i="13"/>
  <c r="G96" i="13"/>
  <c r="G97" i="13"/>
  <c r="G98" i="13"/>
  <c r="G99" i="13"/>
  <c r="G100" i="13"/>
  <c r="G101" i="13"/>
  <c r="G102" i="13"/>
  <c r="G103" i="13"/>
  <c r="G104" i="13"/>
  <c r="G105" i="13"/>
  <c r="G106" i="13"/>
  <c r="I123" i="14"/>
  <c r="J123" i="14"/>
  <c r="K123" i="14"/>
  <c r="L123" i="14"/>
  <c r="M123" i="14"/>
  <c r="N123" i="14"/>
  <c r="O123" i="14"/>
  <c r="P123" i="14"/>
  <c r="Q123" i="14"/>
  <c r="R123" i="14"/>
  <c r="S123" i="14"/>
  <c r="I122" i="14"/>
  <c r="J122" i="14"/>
  <c r="K122" i="14"/>
  <c r="L122" i="14"/>
  <c r="M122" i="14"/>
  <c r="N122" i="14"/>
  <c r="O122" i="14"/>
  <c r="P122" i="14"/>
  <c r="Q122" i="14"/>
  <c r="R122" i="14"/>
  <c r="S122" i="14"/>
  <c r="H123" i="14"/>
  <c r="H122" i="14"/>
  <c r="S124" i="14" l="1"/>
  <c r="N124" i="14"/>
  <c r="O124" i="14"/>
  <c r="J124" i="14"/>
  <c r="R124" i="14"/>
  <c r="I124" i="14"/>
  <c r="Q124" i="14"/>
  <c r="F88" i="19"/>
  <c r="G87" i="19"/>
  <c r="L124" i="14"/>
  <c r="M124" i="14"/>
  <c r="K124" i="14"/>
  <c r="T123" i="14"/>
  <c r="T122" i="14"/>
  <c r="P124" i="14"/>
  <c r="F35" i="19"/>
  <c r="G35" i="19" s="1"/>
  <c r="G34" i="19"/>
  <c r="F51" i="19"/>
  <c r="G50" i="19"/>
  <c r="H124" i="14"/>
  <c r="T124" i="14" l="1"/>
  <c r="G88" i="19"/>
  <c r="F89" i="19"/>
  <c r="F52" i="19"/>
  <c r="G51" i="19"/>
  <c r="I117" i="14"/>
  <c r="J117" i="14"/>
  <c r="K117" i="14"/>
  <c r="L117" i="14"/>
  <c r="M117" i="14"/>
  <c r="N117" i="14"/>
  <c r="O117" i="14"/>
  <c r="P117" i="14"/>
  <c r="Q117" i="14"/>
  <c r="R117" i="14"/>
  <c r="S117" i="14"/>
  <c r="I118" i="14"/>
  <c r="J118" i="14"/>
  <c r="K118" i="14"/>
  <c r="L118" i="14"/>
  <c r="M118" i="14"/>
  <c r="N118" i="14"/>
  <c r="O118" i="14"/>
  <c r="P118" i="14"/>
  <c r="Q118" i="14"/>
  <c r="R118" i="14"/>
  <c r="S118" i="14"/>
  <c r="H118" i="14"/>
  <c r="H117" i="14"/>
  <c r="K119" i="14" l="1"/>
  <c r="K120" i="14" s="1"/>
  <c r="J119" i="14"/>
  <c r="J120" i="14" s="1"/>
  <c r="F90" i="19"/>
  <c r="G90" i="19" s="1"/>
  <c r="G89" i="19"/>
  <c r="F53" i="19"/>
  <c r="G52" i="19"/>
  <c r="L119" i="14"/>
  <c r="S119" i="14"/>
  <c r="R119" i="14"/>
  <c r="Q119" i="14"/>
  <c r="P119" i="14"/>
  <c r="O119" i="14"/>
  <c r="N119" i="14"/>
  <c r="T118" i="14"/>
  <c r="T117" i="14"/>
  <c r="M119" i="14"/>
  <c r="I119" i="14"/>
  <c r="H119" i="14"/>
  <c r="J130" i="14" l="1"/>
  <c r="V138" i="14" s="1"/>
  <c r="V139" i="14" s="1"/>
  <c r="K130" i="14"/>
  <c r="K132" i="14" s="1"/>
  <c r="K133" i="14" s="1"/>
  <c r="T119" i="14"/>
  <c r="P120" i="14"/>
  <c r="P130" i="14"/>
  <c r="O120" i="14"/>
  <c r="O130" i="14"/>
  <c r="Q120" i="14"/>
  <c r="Q130" i="14"/>
  <c r="R120" i="14"/>
  <c r="R130" i="14"/>
  <c r="S120" i="14"/>
  <c r="S130" i="14"/>
  <c r="L120" i="14"/>
  <c r="L130" i="14"/>
  <c r="H120" i="14"/>
  <c r="H130" i="14"/>
  <c r="I120" i="14"/>
  <c r="I130" i="14"/>
  <c r="F54" i="19"/>
  <c r="G53" i="19"/>
  <c r="M120" i="14"/>
  <c r="M130" i="14"/>
  <c r="N120" i="14"/>
  <c r="N130" i="14"/>
  <c r="X10" i="26"/>
  <c r="Y10" i="26"/>
  <c r="Z10" i="26"/>
  <c r="AA10" i="26"/>
  <c r="AB10" i="26"/>
  <c r="AC10" i="26"/>
  <c r="AD10" i="26"/>
  <c r="AE10" i="26"/>
  <c r="AF10" i="26"/>
  <c r="AG10" i="26"/>
  <c r="AH10" i="26"/>
  <c r="W10" i="26"/>
  <c r="G2" i="26"/>
  <c r="G3" i="26"/>
  <c r="G4" i="26"/>
  <c r="G5" i="26"/>
  <c r="G6" i="26"/>
  <c r="G7" i="26"/>
  <c r="G8" i="26"/>
  <c r="G9" i="26"/>
  <c r="G10" i="26"/>
  <c r="G11" i="26"/>
  <c r="G12" i="26"/>
  <c r="G13" i="26"/>
  <c r="G14" i="26"/>
  <c r="G15" i="26"/>
  <c r="G16" i="26"/>
  <c r="G17" i="26"/>
  <c r="G18" i="26"/>
  <c r="G19" i="26"/>
  <c r="G20" i="26"/>
  <c r="G21" i="26"/>
  <c r="G22" i="26"/>
  <c r="G23" i="26"/>
  <c r="G24" i="26"/>
  <c r="G25" i="26"/>
  <c r="G26" i="26"/>
  <c r="G27" i="26"/>
  <c r="G28" i="26"/>
  <c r="G29" i="26"/>
  <c r="G30" i="26"/>
  <c r="G31" i="26"/>
  <c r="G32" i="26"/>
  <c r="G33" i="26"/>
  <c r="G34" i="26"/>
  <c r="G35" i="26"/>
  <c r="G36" i="26"/>
  <c r="G37" i="26"/>
  <c r="G38" i="26"/>
  <c r="G39" i="26"/>
  <c r="G40" i="26"/>
  <c r="G41" i="26"/>
  <c r="G42" i="26"/>
  <c r="G43" i="26"/>
  <c r="G44" i="26"/>
  <c r="G45" i="26"/>
  <c r="G46" i="26"/>
  <c r="G47" i="26"/>
  <c r="G48" i="26"/>
  <c r="G49" i="26"/>
  <c r="G50" i="26"/>
  <c r="G51" i="26"/>
  <c r="G52" i="26"/>
  <c r="G53" i="26"/>
  <c r="G54" i="26"/>
  <c r="G55" i="26"/>
  <c r="G56" i="26"/>
  <c r="G57" i="26"/>
  <c r="G58" i="26"/>
  <c r="G59" i="26"/>
  <c r="G60" i="26"/>
  <c r="G61" i="26"/>
  <c r="G62" i="26"/>
  <c r="G63" i="26"/>
  <c r="G64" i="26"/>
  <c r="G65" i="26"/>
  <c r="G66" i="26"/>
  <c r="G67" i="26"/>
  <c r="G68" i="26"/>
  <c r="G69" i="26"/>
  <c r="G70" i="26"/>
  <c r="G71" i="26"/>
  <c r="G72" i="26"/>
  <c r="G73" i="26"/>
  <c r="G74" i="26"/>
  <c r="G75" i="26"/>
  <c r="G76" i="26"/>
  <c r="G77" i="26"/>
  <c r="G78" i="26"/>
  <c r="G79" i="26"/>
  <c r="G80" i="26"/>
  <c r="G81" i="26"/>
  <c r="G82" i="26"/>
  <c r="G83" i="26"/>
  <c r="G84" i="26"/>
  <c r="G85" i="26"/>
  <c r="G86" i="26"/>
  <c r="G87" i="26"/>
  <c r="G88" i="26"/>
  <c r="G89" i="26"/>
  <c r="G90" i="26"/>
  <c r="G91" i="26"/>
  <c r="G92" i="26"/>
  <c r="G93" i="26"/>
  <c r="G94" i="26"/>
  <c r="G95" i="26"/>
  <c r="G96" i="26"/>
  <c r="G97" i="26"/>
  <c r="G98" i="26"/>
  <c r="G105" i="14"/>
  <c r="G106" i="14"/>
  <c r="G107" i="14"/>
  <c r="G108" i="14"/>
  <c r="G109" i="14"/>
  <c r="G110" i="14"/>
  <c r="G111" i="14"/>
  <c r="G112" i="14"/>
  <c r="G113" i="14"/>
  <c r="G114" i="14"/>
  <c r="G99" i="14"/>
  <c r="G100" i="14"/>
  <c r="G101" i="14"/>
  <c r="G102" i="14"/>
  <c r="G103" i="14"/>
  <c r="G104" i="14"/>
  <c r="J117" i="26"/>
  <c r="K117" i="26"/>
  <c r="L117" i="26"/>
  <c r="M117" i="26"/>
  <c r="N117" i="26"/>
  <c r="O117" i="26"/>
  <c r="P117" i="26"/>
  <c r="Q117" i="26"/>
  <c r="R117" i="26"/>
  <c r="S117" i="26"/>
  <c r="T117" i="26"/>
  <c r="I117" i="26"/>
  <c r="J132" i="14" l="1"/>
  <c r="J133" i="14" s="1"/>
  <c r="W138" i="14"/>
  <c r="W139" i="14" s="1"/>
  <c r="AE2" i="26"/>
  <c r="AE13" i="26" s="1"/>
  <c r="AG2" i="26"/>
  <c r="AG13" i="26" s="1"/>
  <c r="AI10" i="26"/>
  <c r="X3" i="26"/>
  <c r="X14" i="26" s="1"/>
  <c r="AH3" i="26"/>
  <c r="AH14" i="26" s="1"/>
  <c r="AF2" i="26"/>
  <c r="AF13" i="26" s="1"/>
  <c r="X138" i="14"/>
  <c r="X139" i="14" s="1"/>
  <c r="L132" i="14"/>
  <c r="L133" i="14" s="1"/>
  <c r="W3" i="26"/>
  <c r="W14" i="26" s="1"/>
  <c r="AG3" i="26"/>
  <c r="AG14" i="26" s="1"/>
  <c r="AH4" i="26"/>
  <c r="AF3" i="26"/>
  <c r="AF14" i="26" s="1"/>
  <c r="AD2" i="26"/>
  <c r="AD13" i="26" s="1"/>
  <c r="AE138" i="14"/>
  <c r="AE139" i="14" s="1"/>
  <c r="S132" i="14"/>
  <c r="S133" i="14" s="1"/>
  <c r="AG4" i="26"/>
  <c r="AE3" i="26"/>
  <c r="AE14" i="26" s="1"/>
  <c r="AC2" i="26"/>
  <c r="AF4" i="26"/>
  <c r="AD3" i="26"/>
  <c r="AB2" i="26"/>
  <c r="AB13" i="26" s="1"/>
  <c r="Y138" i="14"/>
  <c r="Y139" i="14" s="1"/>
  <c r="M132" i="14"/>
  <c r="M133" i="14" s="1"/>
  <c r="AD138" i="14"/>
  <c r="AD139" i="14" s="1"/>
  <c r="R132" i="14"/>
  <c r="R133" i="14" s="1"/>
  <c r="AE4" i="26"/>
  <c r="AC3" i="26"/>
  <c r="AC14" i="26" s="1"/>
  <c r="AA2" i="26"/>
  <c r="AA13" i="26" s="1"/>
  <c r="AD4" i="26"/>
  <c r="AD15" i="26" s="1"/>
  <c r="AB3" i="26"/>
  <c r="AB14" i="26" s="1"/>
  <c r="Z2" i="26"/>
  <c r="Z13" i="26" s="1"/>
  <c r="AC138" i="14"/>
  <c r="AC139" i="14" s="1"/>
  <c r="Q132" i="14"/>
  <c r="Q133" i="14" s="1"/>
  <c r="AC4" i="26"/>
  <c r="AC15" i="26" s="1"/>
  <c r="AA3" i="26"/>
  <c r="AA14" i="26" s="1"/>
  <c r="Y2" i="26"/>
  <c r="F55" i="19"/>
  <c r="G54" i="19"/>
  <c r="W2" i="26"/>
  <c r="W13" i="26" s="1"/>
  <c r="AB4" i="26"/>
  <c r="Z3" i="26"/>
  <c r="U138" i="14"/>
  <c r="U139" i="14" s="1"/>
  <c r="I132" i="14"/>
  <c r="I133" i="14" s="1"/>
  <c r="AA138" i="14"/>
  <c r="AA139" i="14" s="1"/>
  <c r="O132" i="14"/>
  <c r="O133" i="14" s="1"/>
  <c r="X2" i="26"/>
  <c r="X13" i="26" s="1"/>
  <c r="AA4" i="26"/>
  <c r="Y3" i="26"/>
  <c r="Y14" i="26" s="1"/>
  <c r="X4" i="26"/>
  <c r="X15" i="26" s="1"/>
  <c r="Z4" i="26"/>
  <c r="Z15" i="26" s="1"/>
  <c r="AH2" i="26"/>
  <c r="AH13" i="26" s="1"/>
  <c r="Z138" i="14"/>
  <c r="Z139" i="14" s="1"/>
  <c r="N132" i="14"/>
  <c r="N133" i="14" s="1"/>
  <c r="T138" i="14"/>
  <c r="T139" i="14" s="1"/>
  <c r="H132" i="14"/>
  <c r="H133" i="14" s="1"/>
  <c r="AB138" i="14"/>
  <c r="AB139" i="14" s="1"/>
  <c r="P132" i="14"/>
  <c r="P133" i="14" s="1"/>
  <c r="W4" i="26"/>
  <c r="W15" i="26" s="1"/>
  <c r="Y4" i="26"/>
  <c r="Y15" i="26" s="1"/>
  <c r="E80" i="22"/>
  <c r="T104" i="26"/>
  <c r="S104" i="26"/>
  <c r="R104" i="26"/>
  <c r="Q104" i="26"/>
  <c r="P104" i="26"/>
  <c r="O104" i="26"/>
  <c r="N104" i="26"/>
  <c r="M104" i="26"/>
  <c r="L104" i="26"/>
  <c r="K104" i="26"/>
  <c r="J104" i="26"/>
  <c r="I104" i="26"/>
  <c r="T103" i="26"/>
  <c r="S103" i="26"/>
  <c r="R103" i="26"/>
  <c r="Q103" i="26"/>
  <c r="P103" i="26"/>
  <c r="O103" i="26"/>
  <c r="N103" i="26"/>
  <c r="M103" i="26"/>
  <c r="L103" i="26"/>
  <c r="K103" i="26"/>
  <c r="J103" i="26"/>
  <c r="I103" i="26"/>
  <c r="T101" i="26"/>
  <c r="S101" i="26"/>
  <c r="R101" i="26"/>
  <c r="Q101" i="26"/>
  <c r="P101" i="26"/>
  <c r="O101" i="26"/>
  <c r="N101" i="26"/>
  <c r="M101" i="26"/>
  <c r="L101" i="26"/>
  <c r="K101" i="26"/>
  <c r="J101" i="26"/>
  <c r="I101" i="26"/>
  <c r="H98" i="26"/>
  <c r="H97" i="26"/>
  <c r="H96" i="26"/>
  <c r="H95" i="26"/>
  <c r="H94" i="26"/>
  <c r="H93" i="26"/>
  <c r="H92" i="26"/>
  <c r="H91" i="26"/>
  <c r="H90" i="26"/>
  <c r="H89" i="26"/>
  <c r="H88" i="26"/>
  <c r="H87" i="26"/>
  <c r="H86" i="26"/>
  <c r="H85" i="26"/>
  <c r="H84" i="26"/>
  <c r="H83" i="26"/>
  <c r="H82" i="26"/>
  <c r="H81" i="26"/>
  <c r="H80" i="26"/>
  <c r="H79" i="26"/>
  <c r="H78" i="26"/>
  <c r="H77" i="26"/>
  <c r="H76" i="26"/>
  <c r="H75" i="26"/>
  <c r="H74" i="26"/>
  <c r="H73" i="26"/>
  <c r="H72" i="26"/>
  <c r="H71" i="26"/>
  <c r="H70" i="26"/>
  <c r="H69" i="26"/>
  <c r="H68" i="26"/>
  <c r="H67" i="26"/>
  <c r="H66" i="26"/>
  <c r="H65" i="26"/>
  <c r="H64" i="26"/>
  <c r="H63" i="26"/>
  <c r="H62" i="26"/>
  <c r="H61" i="26"/>
  <c r="H60" i="26"/>
  <c r="H59" i="26"/>
  <c r="H58" i="26"/>
  <c r="H57" i="26"/>
  <c r="H56" i="26"/>
  <c r="H55" i="26"/>
  <c r="H54" i="26"/>
  <c r="H53" i="26"/>
  <c r="H52" i="26"/>
  <c r="H51" i="26"/>
  <c r="H50" i="26"/>
  <c r="H49" i="26"/>
  <c r="H48" i="26"/>
  <c r="H47" i="26"/>
  <c r="H46" i="26"/>
  <c r="H45" i="26"/>
  <c r="H44" i="26"/>
  <c r="H43" i="26"/>
  <c r="H42" i="26"/>
  <c r="H41" i="26"/>
  <c r="H40" i="26"/>
  <c r="H39" i="26"/>
  <c r="H38" i="26"/>
  <c r="H37" i="26"/>
  <c r="H36" i="26"/>
  <c r="H35" i="26"/>
  <c r="H34" i="26"/>
  <c r="H33" i="26"/>
  <c r="H32" i="26"/>
  <c r="H31" i="26"/>
  <c r="H30" i="26"/>
  <c r="H29" i="26"/>
  <c r="H28" i="26"/>
  <c r="H27" i="26"/>
  <c r="H26" i="26"/>
  <c r="H25" i="26"/>
  <c r="H24" i="26"/>
  <c r="H23" i="26"/>
  <c r="H22" i="26"/>
  <c r="H21" i="26"/>
  <c r="H20" i="26"/>
  <c r="H19" i="26"/>
  <c r="H18" i="26"/>
  <c r="H17" i="26"/>
  <c r="H16" i="26"/>
  <c r="H15" i="26"/>
  <c r="H14" i="26"/>
  <c r="H13" i="26"/>
  <c r="H12" i="26"/>
  <c r="H11" i="26"/>
  <c r="H10" i="26"/>
  <c r="H9" i="26"/>
  <c r="H8" i="26"/>
  <c r="H7" i="26"/>
  <c r="H6" i="26"/>
  <c r="H5" i="26"/>
  <c r="H4" i="26"/>
  <c r="H3" i="26"/>
  <c r="H2" i="26"/>
  <c r="Q105" i="26" l="1"/>
  <c r="Q109" i="26" s="1"/>
  <c r="AE5" i="26"/>
  <c r="AE15" i="26"/>
  <c r="W5" i="26"/>
  <c r="F56" i="19"/>
  <c r="G55" i="19"/>
  <c r="X5" i="26"/>
  <c r="Y5" i="26"/>
  <c r="Y13" i="26"/>
  <c r="AA5" i="26"/>
  <c r="AA15" i="26"/>
  <c r="AH5" i="26"/>
  <c r="AH15" i="26"/>
  <c r="AD5" i="26"/>
  <c r="AD14" i="26"/>
  <c r="AF5" i="26"/>
  <c r="AF15" i="26"/>
  <c r="AC5" i="26"/>
  <c r="AC13" i="26"/>
  <c r="Z5" i="26"/>
  <c r="Z14" i="26"/>
  <c r="AB5" i="26"/>
  <c r="AB15" i="26"/>
  <c r="AG5" i="26"/>
  <c r="AG15" i="26"/>
  <c r="P105" i="26"/>
  <c r="P109" i="26" s="1"/>
  <c r="R105" i="26"/>
  <c r="R109" i="26" s="1"/>
  <c r="S105" i="26"/>
  <c r="S109" i="26" s="1"/>
  <c r="T105" i="26"/>
  <c r="T109" i="26" s="1"/>
  <c r="L105" i="26"/>
  <c r="L109" i="26" s="1"/>
  <c r="K105" i="26"/>
  <c r="K109" i="26" s="1"/>
  <c r="O105" i="26"/>
  <c r="O109" i="26" s="1"/>
  <c r="N105" i="26"/>
  <c r="N109" i="26" s="1"/>
  <c r="J105" i="26"/>
  <c r="J109" i="26" s="1"/>
  <c r="I105" i="26"/>
  <c r="I109" i="26" s="1"/>
  <c r="M105" i="26"/>
  <c r="M109" i="26" s="1"/>
  <c r="F57" i="19" l="1"/>
  <c r="G56" i="19"/>
  <c r="AI5" i="26"/>
  <c r="G13" i="24"/>
  <c r="G12" i="24"/>
  <c r="G11" i="24"/>
  <c r="G10" i="24"/>
  <c r="G9" i="24"/>
  <c r="G8" i="24"/>
  <c r="G7" i="24"/>
  <c r="G6" i="24"/>
  <c r="G5" i="24"/>
  <c r="G4" i="24"/>
  <c r="G3" i="24"/>
  <c r="G2" i="24"/>
  <c r="F13" i="24"/>
  <c r="F12" i="24"/>
  <c r="F11" i="24"/>
  <c r="F10" i="24"/>
  <c r="F9" i="24"/>
  <c r="F8" i="24"/>
  <c r="F7" i="24"/>
  <c r="F6" i="24"/>
  <c r="F5" i="24"/>
  <c r="F4" i="24"/>
  <c r="F3" i="24"/>
  <c r="F2" i="24"/>
  <c r="I13" i="24"/>
  <c r="I12" i="24"/>
  <c r="I11" i="24"/>
  <c r="I10" i="24"/>
  <c r="I9" i="24"/>
  <c r="I8" i="24"/>
  <c r="I7" i="24"/>
  <c r="I6" i="24"/>
  <c r="L5" i="24"/>
  <c r="I5" i="24"/>
  <c r="W4" i="24"/>
  <c r="V4" i="24"/>
  <c r="U4" i="24"/>
  <c r="T4" i="24"/>
  <c r="S4" i="24"/>
  <c r="R4" i="24"/>
  <c r="Q4" i="24"/>
  <c r="P4" i="24"/>
  <c r="O4" i="24"/>
  <c r="N4" i="24"/>
  <c r="M4" i="24"/>
  <c r="L4" i="24"/>
  <c r="I4" i="24"/>
  <c r="X3" i="24"/>
  <c r="I3" i="24"/>
  <c r="X2" i="24"/>
  <c r="I2" i="24"/>
  <c r="H7" i="24" l="1"/>
  <c r="H3" i="24"/>
  <c r="H5" i="24"/>
  <c r="H4" i="24"/>
  <c r="H12" i="24"/>
  <c r="H13" i="24"/>
  <c r="H11" i="24"/>
  <c r="H8" i="24"/>
  <c r="H10" i="24"/>
  <c r="H2" i="24"/>
  <c r="H9" i="24"/>
  <c r="G14" i="24"/>
  <c r="I14" i="24"/>
  <c r="F14" i="24"/>
  <c r="H6" i="24"/>
  <c r="F58" i="19"/>
  <c r="G57" i="19"/>
  <c r="X4" i="24"/>
  <c r="H14" i="24" l="1"/>
  <c r="F59" i="19"/>
  <c r="G58" i="19"/>
  <c r="D75" i="22"/>
  <c r="E75" i="22"/>
  <c r="F75" i="22"/>
  <c r="G75" i="22"/>
  <c r="H75" i="22"/>
  <c r="I75" i="22"/>
  <c r="J75" i="22"/>
  <c r="K75" i="22"/>
  <c r="L75" i="22"/>
  <c r="M75" i="22"/>
  <c r="N75" i="22"/>
  <c r="D76" i="22"/>
  <c r="E76" i="22"/>
  <c r="F76" i="22"/>
  <c r="G76" i="22"/>
  <c r="H76" i="22"/>
  <c r="I76" i="22"/>
  <c r="J76" i="22"/>
  <c r="K76" i="22"/>
  <c r="L76" i="22"/>
  <c r="M76" i="22"/>
  <c r="N76" i="22"/>
  <c r="D71" i="22"/>
  <c r="E71" i="22"/>
  <c r="F71" i="22"/>
  <c r="G71" i="22"/>
  <c r="H71" i="22"/>
  <c r="I71" i="22"/>
  <c r="J71" i="22"/>
  <c r="K71" i="22"/>
  <c r="L71" i="22"/>
  <c r="M71" i="22"/>
  <c r="N71" i="22"/>
  <c r="C71" i="22"/>
  <c r="C76" i="22"/>
  <c r="C75" i="22"/>
  <c r="J3" i="19"/>
  <c r="J4" i="19"/>
  <c r="J2" i="19"/>
  <c r="C4" i="19"/>
  <c r="C5" i="19"/>
  <c r="C3" i="19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8" i="10"/>
  <c r="G9" i="10"/>
  <c r="G10" i="10"/>
  <c r="G11" i="10"/>
  <c r="G12" i="10"/>
  <c r="G13" i="10"/>
  <c r="G14" i="10"/>
  <c r="G15" i="10"/>
  <c r="G16" i="10"/>
  <c r="G17" i="10"/>
  <c r="G18" i="10"/>
  <c r="G19" i="10"/>
  <c r="G20" i="10"/>
  <c r="G21" i="10"/>
  <c r="G22" i="10"/>
  <c r="G23" i="10"/>
  <c r="G24" i="10"/>
  <c r="G25" i="10"/>
  <c r="G26" i="10"/>
  <c r="G27" i="10"/>
  <c r="G28" i="10"/>
  <c r="G29" i="10"/>
  <c r="G30" i="10"/>
  <c r="G31" i="10"/>
  <c r="G32" i="10"/>
  <c r="G33" i="10"/>
  <c r="G34" i="10"/>
  <c r="G35" i="10"/>
  <c r="G36" i="10"/>
  <c r="G37" i="10"/>
  <c r="G38" i="10"/>
  <c r="G39" i="10"/>
  <c r="G40" i="10"/>
  <c r="G41" i="10"/>
  <c r="G42" i="10"/>
  <c r="G43" i="10"/>
  <c r="G44" i="10"/>
  <c r="G45" i="10"/>
  <c r="G46" i="10"/>
  <c r="G47" i="10"/>
  <c r="G48" i="10"/>
  <c r="G49" i="10"/>
  <c r="G50" i="10"/>
  <c r="G51" i="10"/>
  <c r="G52" i="10"/>
  <c r="G53" i="10"/>
  <c r="G54" i="10"/>
  <c r="G55" i="10"/>
  <c r="G56" i="10"/>
  <c r="G57" i="10"/>
  <c r="G58" i="10"/>
  <c r="G59" i="10"/>
  <c r="G60" i="10"/>
  <c r="G61" i="10"/>
  <c r="G62" i="10"/>
  <c r="G63" i="10"/>
  <c r="G64" i="10"/>
  <c r="G65" i="10"/>
  <c r="G66" i="10"/>
  <c r="G67" i="10"/>
  <c r="G68" i="10"/>
  <c r="G69" i="10"/>
  <c r="G70" i="10"/>
  <c r="G71" i="10"/>
  <c r="G72" i="10"/>
  <c r="G73" i="10"/>
  <c r="G74" i="10"/>
  <c r="G75" i="10"/>
  <c r="G76" i="10"/>
  <c r="G77" i="10"/>
  <c r="G78" i="10"/>
  <c r="G79" i="10"/>
  <c r="G80" i="10"/>
  <c r="G81" i="10"/>
  <c r="G82" i="10"/>
  <c r="G83" i="10"/>
  <c r="G84" i="10"/>
  <c r="G85" i="10"/>
  <c r="G86" i="10"/>
  <c r="G87" i="10"/>
  <c r="G88" i="10"/>
  <c r="G89" i="10"/>
  <c r="G90" i="10"/>
  <c r="G91" i="10"/>
  <c r="G92" i="10"/>
  <c r="G93" i="10"/>
  <c r="G94" i="10"/>
  <c r="G95" i="10"/>
  <c r="G96" i="10"/>
  <c r="G97" i="10"/>
  <c r="G98" i="10"/>
  <c r="G99" i="10"/>
  <c r="G100" i="10"/>
  <c r="G101" i="10"/>
  <c r="G102" i="10"/>
  <c r="G103" i="10"/>
  <c r="G104" i="10"/>
  <c r="G105" i="10"/>
  <c r="G7" i="10"/>
  <c r="G7" i="7"/>
  <c r="G10" i="7"/>
  <c r="G11" i="7"/>
  <c r="G12" i="7"/>
  <c r="G13" i="7"/>
  <c r="G14" i="7"/>
  <c r="G15" i="7"/>
  <c r="G16" i="7"/>
  <c r="G17" i="7"/>
  <c r="G18" i="7"/>
  <c r="G19" i="7"/>
  <c r="G20" i="7"/>
  <c r="G21" i="7"/>
  <c r="G22" i="7"/>
  <c r="G23" i="7"/>
  <c r="G24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0" i="7"/>
  <c r="G41" i="7"/>
  <c r="G42" i="7"/>
  <c r="G43" i="7"/>
  <c r="G44" i="7"/>
  <c r="G45" i="7"/>
  <c r="G46" i="7"/>
  <c r="G47" i="7"/>
  <c r="G48" i="7"/>
  <c r="G49" i="7"/>
  <c r="G50" i="7"/>
  <c r="G51" i="7"/>
  <c r="G52" i="7"/>
  <c r="G53" i="7"/>
  <c r="G54" i="7"/>
  <c r="G55" i="7"/>
  <c r="G56" i="7"/>
  <c r="G57" i="7"/>
  <c r="G58" i="7"/>
  <c r="G59" i="7"/>
  <c r="G60" i="7"/>
  <c r="G61" i="7"/>
  <c r="G62" i="7"/>
  <c r="G63" i="7"/>
  <c r="G64" i="7"/>
  <c r="G65" i="7"/>
  <c r="G66" i="7"/>
  <c r="G67" i="7"/>
  <c r="G68" i="7"/>
  <c r="G69" i="7"/>
  <c r="G70" i="7"/>
  <c r="G71" i="7"/>
  <c r="G72" i="7"/>
  <c r="G73" i="7"/>
  <c r="G74" i="7"/>
  <c r="G75" i="7"/>
  <c r="G76" i="7"/>
  <c r="G77" i="7"/>
  <c r="G78" i="7"/>
  <c r="G79" i="7"/>
  <c r="G80" i="7"/>
  <c r="G81" i="7"/>
  <c r="G82" i="7"/>
  <c r="G83" i="7"/>
  <c r="G84" i="7"/>
  <c r="G85" i="7"/>
  <c r="G86" i="7"/>
  <c r="G87" i="7"/>
  <c r="G88" i="7"/>
  <c r="G89" i="7"/>
  <c r="G90" i="7"/>
  <c r="G91" i="7"/>
  <c r="G92" i="7"/>
  <c r="G93" i="7"/>
  <c r="G94" i="7"/>
  <c r="G95" i="7"/>
  <c r="G96" i="7"/>
  <c r="G97" i="7"/>
  <c r="G98" i="7"/>
  <c r="G99" i="7"/>
  <c r="G100" i="7"/>
  <c r="G101" i="7"/>
  <c r="G102" i="7"/>
  <c r="G103" i="7"/>
  <c r="G104" i="7"/>
  <c r="G105" i="7"/>
  <c r="G106" i="7"/>
  <c r="F60" i="19" l="1"/>
  <c r="G59" i="19"/>
  <c r="D77" i="22"/>
  <c r="D78" i="22" s="1"/>
  <c r="N77" i="22"/>
  <c r="N78" i="22" s="1"/>
  <c r="M77" i="22"/>
  <c r="M78" i="22" s="1"/>
  <c r="L77" i="22"/>
  <c r="L78" i="22" s="1"/>
  <c r="K77" i="22"/>
  <c r="K78" i="22" s="1"/>
  <c r="J77" i="22"/>
  <c r="J78" i="22" s="1"/>
  <c r="I77" i="22"/>
  <c r="I78" i="22" s="1"/>
  <c r="H77" i="22"/>
  <c r="H78" i="22" s="1"/>
  <c r="G77" i="22"/>
  <c r="G78" i="22" s="1"/>
  <c r="F77" i="22"/>
  <c r="F78" i="22" s="1"/>
  <c r="E77" i="22"/>
  <c r="E78" i="22" s="1"/>
  <c r="C77" i="22"/>
  <c r="C78" i="22" s="1"/>
  <c r="F61" i="19" l="1"/>
  <c r="G60" i="19"/>
  <c r="B4" i="19"/>
  <c r="B5" i="19"/>
  <c r="F62" i="19" l="1"/>
  <c r="G61" i="19"/>
  <c r="C6" i="19"/>
  <c r="J5" i="19"/>
  <c r="G4" i="19" s="1"/>
  <c r="F4" i="19" s="1"/>
  <c r="G3" i="19"/>
  <c r="B3" i="19"/>
  <c r="F63" i="19" l="1"/>
  <c r="G62" i="19"/>
  <c r="G5" i="19"/>
  <c r="F3" i="19"/>
  <c r="G93" i="14"/>
  <c r="G3" i="14"/>
  <c r="G4" i="14"/>
  <c r="G5" i="14"/>
  <c r="G6" i="14"/>
  <c r="G7" i="14"/>
  <c r="G8" i="14"/>
  <c r="G9" i="14"/>
  <c r="G10" i="14"/>
  <c r="G11" i="14"/>
  <c r="G12" i="14"/>
  <c r="G13" i="14"/>
  <c r="G14" i="14"/>
  <c r="G15" i="14"/>
  <c r="G16" i="14"/>
  <c r="G17" i="14"/>
  <c r="G18" i="14"/>
  <c r="G19" i="14"/>
  <c r="G20" i="14"/>
  <c r="G21" i="14"/>
  <c r="G22" i="14"/>
  <c r="G23" i="14"/>
  <c r="G24" i="14"/>
  <c r="G25" i="14"/>
  <c r="G26" i="14"/>
  <c r="G27" i="14"/>
  <c r="G28" i="14"/>
  <c r="G29" i="14"/>
  <c r="G30" i="14"/>
  <c r="G31" i="14"/>
  <c r="G32" i="14"/>
  <c r="G33" i="14"/>
  <c r="G34" i="14"/>
  <c r="G35" i="14"/>
  <c r="G36" i="14"/>
  <c r="G37" i="14"/>
  <c r="G38" i="14"/>
  <c r="G39" i="14"/>
  <c r="G40" i="14"/>
  <c r="G41" i="14"/>
  <c r="G42" i="14"/>
  <c r="G43" i="14"/>
  <c r="G44" i="14"/>
  <c r="G45" i="14"/>
  <c r="G46" i="14"/>
  <c r="G47" i="14"/>
  <c r="G48" i="14"/>
  <c r="G49" i="14"/>
  <c r="G50" i="14"/>
  <c r="G51" i="14"/>
  <c r="G52" i="14"/>
  <c r="G53" i="14"/>
  <c r="G54" i="14"/>
  <c r="G55" i="14"/>
  <c r="G56" i="14"/>
  <c r="G57" i="14"/>
  <c r="G58" i="14"/>
  <c r="G59" i="14"/>
  <c r="G60" i="14"/>
  <c r="G61" i="14"/>
  <c r="G62" i="14"/>
  <c r="G63" i="14"/>
  <c r="G64" i="14"/>
  <c r="G65" i="14"/>
  <c r="G66" i="14"/>
  <c r="G67" i="14"/>
  <c r="G68" i="14"/>
  <c r="G69" i="14"/>
  <c r="G70" i="14"/>
  <c r="G71" i="14"/>
  <c r="G72" i="14"/>
  <c r="G73" i="14"/>
  <c r="G74" i="14"/>
  <c r="G75" i="14"/>
  <c r="G76" i="14"/>
  <c r="G77" i="14"/>
  <c r="G78" i="14"/>
  <c r="G79" i="14"/>
  <c r="G80" i="14"/>
  <c r="G81" i="14"/>
  <c r="G82" i="14"/>
  <c r="G83" i="14"/>
  <c r="G84" i="14"/>
  <c r="G85" i="14"/>
  <c r="G86" i="14"/>
  <c r="G87" i="14"/>
  <c r="G88" i="14"/>
  <c r="G89" i="14"/>
  <c r="G90" i="14"/>
  <c r="G91" i="14"/>
  <c r="G92" i="14"/>
  <c r="F64" i="19" l="1"/>
  <c r="G63" i="19"/>
  <c r="G10" i="18"/>
  <c r="G38" i="4"/>
  <c r="F65" i="19" l="1"/>
  <c r="G64" i="19"/>
  <c r="I7" i="13"/>
  <c r="G7" i="13" s="1"/>
  <c r="F66" i="19" l="1"/>
  <c r="G65" i="19"/>
  <c r="G24" i="18"/>
  <c r="G25" i="18"/>
  <c r="G26" i="18"/>
  <c r="G27" i="18"/>
  <c r="G28" i="18"/>
  <c r="G29" i="18"/>
  <c r="G30" i="18"/>
  <c r="G31" i="18"/>
  <c r="G32" i="18"/>
  <c r="G33" i="18"/>
  <c r="G34" i="18"/>
  <c r="G35" i="18"/>
  <c r="G36" i="18"/>
  <c r="G37" i="18"/>
  <c r="G38" i="18"/>
  <c r="G39" i="18"/>
  <c r="G40" i="18"/>
  <c r="G41" i="18"/>
  <c r="G42" i="18"/>
  <c r="G43" i="18"/>
  <c r="G44" i="18"/>
  <c r="G45" i="18"/>
  <c r="G46" i="18"/>
  <c r="G47" i="18"/>
  <c r="G48" i="18"/>
  <c r="G49" i="18"/>
  <c r="G50" i="18"/>
  <c r="G51" i="18"/>
  <c r="G52" i="18"/>
  <c r="G53" i="18"/>
  <c r="G54" i="18"/>
  <c r="G55" i="18"/>
  <c r="G56" i="18"/>
  <c r="G57" i="18"/>
  <c r="G58" i="18"/>
  <c r="G59" i="18"/>
  <c r="G60" i="18"/>
  <c r="G61" i="18"/>
  <c r="G62" i="18"/>
  <c r="G63" i="18"/>
  <c r="G64" i="18"/>
  <c r="G65" i="18"/>
  <c r="G66" i="18"/>
  <c r="G67" i="18"/>
  <c r="G68" i="18"/>
  <c r="G69" i="18"/>
  <c r="G70" i="18"/>
  <c r="G71" i="18"/>
  <c r="G72" i="18"/>
  <c r="G73" i="18"/>
  <c r="G74" i="18"/>
  <c r="G75" i="18"/>
  <c r="G76" i="18"/>
  <c r="G77" i="18"/>
  <c r="G78" i="18"/>
  <c r="G79" i="18"/>
  <c r="G80" i="18"/>
  <c r="G81" i="18"/>
  <c r="G82" i="18"/>
  <c r="G83" i="18"/>
  <c r="G84" i="18"/>
  <c r="G85" i="18"/>
  <c r="G86" i="18"/>
  <c r="G87" i="18"/>
  <c r="G88" i="18"/>
  <c r="G89" i="18"/>
  <c r="G90" i="18"/>
  <c r="G91" i="18"/>
  <c r="G92" i="18"/>
  <c r="G93" i="18"/>
  <c r="G94" i="18"/>
  <c r="G95" i="18"/>
  <c r="G96" i="18"/>
  <c r="G97" i="18"/>
  <c r="G98" i="18"/>
  <c r="G99" i="18"/>
  <c r="G100" i="18"/>
  <c r="G101" i="18"/>
  <c r="G102" i="18"/>
  <c r="G103" i="18"/>
  <c r="G104" i="18"/>
  <c r="G105" i="18"/>
  <c r="G106" i="18"/>
  <c r="G23" i="18"/>
  <c r="G22" i="18"/>
  <c r="G21" i="18"/>
  <c r="G20" i="18"/>
  <c r="G19" i="18"/>
  <c r="G18" i="18"/>
  <c r="G17" i="18"/>
  <c r="G16" i="18"/>
  <c r="G15" i="18"/>
  <c r="G14" i="18"/>
  <c r="G13" i="18"/>
  <c r="G12" i="18"/>
  <c r="G11" i="18"/>
  <c r="G9" i="18"/>
  <c r="G8" i="18"/>
  <c r="G7" i="18"/>
  <c r="S4" i="18"/>
  <c r="R4" i="18"/>
  <c r="Q4" i="18"/>
  <c r="P4" i="18"/>
  <c r="O4" i="18"/>
  <c r="N4" i="18"/>
  <c r="M4" i="18"/>
  <c r="L4" i="18"/>
  <c r="K4" i="18"/>
  <c r="J4" i="18"/>
  <c r="I4" i="18"/>
  <c r="H4" i="18"/>
  <c r="S4" i="10"/>
  <c r="R4" i="10"/>
  <c r="Q4" i="10"/>
  <c r="P4" i="10"/>
  <c r="O4" i="10"/>
  <c r="N4" i="10"/>
  <c r="M4" i="10"/>
  <c r="L4" i="10"/>
  <c r="K4" i="10"/>
  <c r="J4" i="10"/>
  <c r="I4" i="10"/>
  <c r="H4" i="10"/>
  <c r="G5" i="15"/>
  <c r="G6" i="15"/>
  <c r="G7" i="15"/>
  <c r="G4" i="15"/>
  <c r="G52" i="5"/>
  <c r="G20" i="5"/>
  <c r="G98" i="14"/>
  <c r="F67" i="19" l="1"/>
  <c r="G66" i="19"/>
  <c r="G4" i="18"/>
  <c r="F68" i="19" l="1"/>
  <c r="G67" i="19"/>
  <c r="G97" i="14"/>
  <c r="F69" i="19" l="1"/>
  <c r="G68" i="19"/>
  <c r="G96" i="14"/>
  <c r="F70" i="19" l="1"/>
  <c r="G69" i="19"/>
  <c r="G51" i="5"/>
  <c r="F71" i="19" l="1"/>
  <c r="G70" i="19"/>
  <c r="S21" i="6"/>
  <c r="S20" i="6"/>
  <c r="Q21" i="6"/>
  <c r="Q20" i="6"/>
  <c r="O21" i="6"/>
  <c r="O20" i="6"/>
  <c r="M21" i="6"/>
  <c r="M20" i="6"/>
  <c r="K21" i="6"/>
  <c r="K20" i="6"/>
  <c r="I21" i="6"/>
  <c r="I20" i="6"/>
  <c r="N24" i="6"/>
  <c r="H24" i="6"/>
  <c r="N23" i="6"/>
  <c r="H23" i="6"/>
  <c r="G24" i="6" l="1"/>
  <c r="G20" i="6"/>
  <c r="G23" i="6"/>
  <c r="F72" i="19"/>
  <c r="G72" i="19" s="1"/>
  <c r="G71" i="19"/>
  <c r="G21" i="6"/>
  <c r="G95" i="14" l="1"/>
  <c r="G94" i="14"/>
  <c r="G36" i="5" l="1"/>
  <c r="G102" i="6" l="1"/>
  <c r="G103" i="6"/>
  <c r="G104" i="6"/>
  <c r="G105" i="6"/>
  <c r="G106" i="6"/>
  <c r="G103" i="5"/>
  <c r="G104" i="5"/>
  <c r="G105" i="5"/>
  <c r="G106" i="5"/>
  <c r="S4" i="5"/>
  <c r="R4" i="5"/>
  <c r="Q4" i="5"/>
  <c r="P4" i="5"/>
  <c r="O4" i="5"/>
  <c r="N4" i="5"/>
  <c r="M4" i="5"/>
  <c r="L4" i="5"/>
  <c r="K4" i="5"/>
  <c r="J4" i="5"/>
  <c r="I4" i="5"/>
  <c r="H4" i="5"/>
  <c r="G3" i="15" l="1"/>
  <c r="G2" i="15"/>
  <c r="G2" i="14"/>
  <c r="G39" i="4" l="1"/>
  <c r="G40" i="4"/>
  <c r="G41" i="4"/>
  <c r="G42" i="4"/>
  <c r="G43" i="4"/>
  <c r="G44" i="4"/>
  <c r="G45" i="4"/>
  <c r="G46" i="4"/>
  <c r="G47" i="4"/>
  <c r="G27" i="5" l="1"/>
  <c r="G27" i="12"/>
  <c r="G26" i="12"/>
  <c r="G25" i="12"/>
  <c r="S4" i="13" l="1"/>
  <c r="R4" i="13"/>
  <c r="Q4" i="13"/>
  <c r="P4" i="13"/>
  <c r="O4" i="13"/>
  <c r="N4" i="13"/>
  <c r="M4" i="13"/>
  <c r="L4" i="13"/>
  <c r="K4" i="13"/>
  <c r="J4" i="13"/>
  <c r="I4" i="13"/>
  <c r="H4" i="13"/>
  <c r="S4" i="9"/>
  <c r="R4" i="9"/>
  <c r="Q4" i="9"/>
  <c r="P4" i="9"/>
  <c r="O4" i="9"/>
  <c r="N4" i="9"/>
  <c r="M4" i="9"/>
  <c r="L4" i="9"/>
  <c r="K4" i="9"/>
  <c r="J4" i="9"/>
  <c r="I4" i="9"/>
  <c r="H4" i="9"/>
  <c r="S4" i="8"/>
  <c r="R4" i="8"/>
  <c r="Q4" i="8"/>
  <c r="P4" i="8"/>
  <c r="O4" i="8"/>
  <c r="N4" i="8"/>
  <c r="M4" i="8"/>
  <c r="L4" i="8"/>
  <c r="K4" i="8"/>
  <c r="J4" i="8"/>
  <c r="I4" i="8"/>
  <c r="H4" i="8"/>
  <c r="R4" i="6"/>
  <c r="Q4" i="6"/>
  <c r="P4" i="6"/>
  <c r="O4" i="6"/>
  <c r="N4" i="6"/>
  <c r="M4" i="6"/>
  <c r="L4" i="6"/>
  <c r="K4" i="6"/>
  <c r="J4" i="6"/>
  <c r="I4" i="6"/>
  <c r="H4" i="6"/>
  <c r="S4" i="4"/>
  <c r="R4" i="4"/>
  <c r="Q4" i="4"/>
  <c r="P4" i="4"/>
  <c r="O4" i="4"/>
  <c r="N4" i="4"/>
  <c r="M4" i="4"/>
  <c r="L4" i="4"/>
  <c r="K4" i="4"/>
  <c r="J4" i="4"/>
  <c r="I4" i="4"/>
  <c r="H4" i="4"/>
  <c r="G32" i="5"/>
  <c r="G33" i="5"/>
  <c r="G34" i="5"/>
  <c r="G4" i="13" l="1"/>
  <c r="G7" i="8"/>
  <c r="G7" i="9"/>
  <c r="G49" i="4" l="1"/>
  <c r="S10" i="6" l="1"/>
  <c r="S4" i="6" s="1"/>
  <c r="J117" i="12"/>
  <c r="K117" i="12"/>
  <c r="L117" i="12"/>
  <c r="M117" i="12"/>
  <c r="N117" i="12"/>
  <c r="O117" i="12"/>
  <c r="P117" i="12"/>
  <c r="Q117" i="12"/>
  <c r="R117" i="12"/>
  <c r="S117" i="12"/>
  <c r="T117" i="12"/>
  <c r="J118" i="12"/>
  <c r="K118" i="12"/>
  <c r="L118" i="12"/>
  <c r="M118" i="12"/>
  <c r="N118" i="12"/>
  <c r="O118" i="12"/>
  <c r="P118" i="12"/>
  <c r="Q118" i="12"/>
  <c r="R118" i="12"/>
  <c r="S118" i="12"/>
  <c r="T118" i="12"/>
  <c r="J119" i="12"/>
  <c r="K119" i="12"/>
  <c r="L119" i="12"/>
  <c r="M119" i="12"/>
  <c r="N119" i="12"/>
  <c r="O119" i="12"/>
  <c r="P119" i="12"/>
  <c r="Q119" i="12"/>
  <c r="R119" i="12"/>
  <c r="S119" i="12"/>
  <c r="T119" i="12"/>
  <c r="J120" i="12"/>
  <c r="K120" i="12"/>
  <c r="L120" i="12"/>
  <c r="M120" i="12"/>
  <c r="N120" i="12"/>
  <c r="O120" i="12"/>
  <c r="P120" i="12"/>
  <c r="Q120" i="12"/>
  <c r="R120" i="12"/>
  <c r="S120" i="12"/>
  <c r="T120" i="12"/>
  <c r="I118" i="12"/>
  <c r="I119" i="12"/>
  <c r="I120" i="12"/>
  <c r="I117" i="12"/>
  <c r="G103" i="12"/>
  <c r="N103" i="12" s="1"/>
  <c r="G121" i="12"/>
  <c r="G87" i="12"/>
  <c r="G88" i="12"/>
  <c r="G42" i="12"/>
  <c r="J42" i="12" s="1"/>
  <c r="G41" i="12"/>
  <c r="R41" i="12" s="1"/>
  <c r="G61" i="12"/>
  <c r="S61" i="12" s="1"/>
  <c r="G62" i="12"/>
  <c r="T62" i="12" s="1"/>
  <c r="G63" i="12"/>
  <c r="I63" i="12" s="1"/>
  <c r="G64" i="12"/>
  <c r="N64" i="12" s="1"/>
  <c r="G65" i="12"/>
  <c r="J65" i="12" s="1"/>
  <c r="G66" i="12"/>
  <c r="M66" i="12" s="1"/>
  <c r="G67" i="12"/>
  <c r="R67" i="12" s="1"/>
  <c r="G68" i="12"/>
  <c r="I68" i="12" s="1"/>
  <c r="G69" i="12"/>
  <c r="S69" i="12" s="1"/>
  <c r="G70" i="12"/>
  <c r="J70" i="12" s="1"/>
  <c r="G71" i="12"/>
  <c r="L71" i="12" s="1"/>
  <c r="G72" i="12"/>
  <c r="T72" i="12" s="1"/>
  <c r="G73" i="12"/>
  <c r="Q73" i="12" s="1"/>
  <c r="G74" i="12"/>
  <c r="T74" i="12" s="1"/>
  <c r="G75" i="12"/>
  <c r="I75" i="12" s="1"/>
  <c r="G76" i="12"/>
  <c r="K76" i="12" s="1"/>
  <c r="G77" i="12"/>
  <c r="J77" i="12" s="1"/>
  <c r="G78" i="12"/>
  <c r="K78" i="12" s="1"/>
  <c r="G79" i="12"/>
  <c r="P79" i="12" s="1"/>
  <c r="G80" i="12"/>
  <c r="N80" i="12" s="1"/>
  <c r="G81" i="12"/>
  <c r="Q81" i="12" s="1"/>
  <c r="G82" i="12"/>
  <c r="P82" i="12" s="1"/>
  <c r="G83" i="12"/>
  <c r="Q83" i="12" s="1"/>
  <c r="G84" i="12"/>
  <c r="J84" i="12" s="1"/>
  <c r="G85" i="12"/>
  <c r="N85" i="12" s="1"/>
  <c r="G52" i="12"/>
  <c r="Q52" i="12" s="1"/>
  <c r="G59" i="12"/>
  <c r="L59" i="12" s="1"/>
  <c r="G47" i="12"/>
  <c r="M47" i="12" s="1"/>
  <c r="G48" i="12"/>
  <c r="Q48" i="12" s="1"/>
  <c r="G49" i="12"/>
  <c r="K49" i="12" s="1"/>
  <c r="G50" i="12"/>
  <c r="L50" i="12" s="1"/>
  <c r="G51" i="12"/>
  <c r="I51" i="12" s="1"/>
  <c r="G53" i="12"/>
  <c r="T53" i="12" s="1"/>
  <c r="G54" i="12"/>
  <c r="J54" i="12" s="1"/>
  <c r="G55" i="12"/>
  <c r="R55" i="12" s="1"/>
  <c r="G56" i="12"/>
  <c r="P56" i="12" s="1"/>
  <c r="G57" i="12"/>
  <c r="M57" i="12" s="1"/>
  <c r="G58" i="12"/>
  <c r="T58" i="12" s="1"/>
  <c r="G45" i="12"/>
  <c r="J45" i="12" s="1"/>
  <c r="G120" i="12"/>
  <c r="G119" i="12"/>
  <c r="G118" i="12"/>
  <c r="G30" i="12"/>
  <c r="G38" i="12"/>
  <c r="I38" i="12" s="1"/>
  <c r="G39" i="12"/>
  <c r="T39" i="12" s="1"/>
  <c r="G40" i="12"/>
  <c r="L40" i="12" s="1"/>
  <c r="G37" i="12"/>
  <c r="R37" i="12" s="1"/>
  <c r="G23" i="12"/>
  <c r="G24" i="12"/>
  <c r="G28" i="12"/>
  <c r="G29" i="12"/>
  <c r="G31" i="12"/>
  <c r="S31" i="12" s="1"/>
  <c r="G32" i="12"/>
  <c r="T32" i="12" s="1"/>
  <c r="G33" i="12"/>
  <c r="J33" i="12" s="1"/>
  <c r="G34" i="12"/>
  <c r="M34" i="12" s="1"/>
  <c r="G35" i="12"/>
  <c r="I35" i="12" s="1"/>
  <c r="G36" i="12"/>
  <c r="G117" i="12"/>
  <c r="G43" i="12"/>
  <c r="P43" i="12" s="1"/>
  <c r="G44" i="12"/>
  <c r="Q44" i="12" s="1"/>
  <c r="G46" i="12"/>
  <c r="N46" i="12" s="1"/>
  <c r="G60" i="12"/>
  <c r="R60" i="12" s="1"/>
  <c r="G96" i="12"/>
  <c r="G97" i="12"/>
  <c r="G95" i="12"/>
  <c r="G98" i="12"/>
  <c r="G100" i="12"/>
  <c r="G122" i="12"/>
  <c r="K122" i="12" s="1"/>
  <c r="G104" i="12"/>
  <c r="G105" i="12"/>
  <c r="G106" i="12"/>
  <c r="G108" i="12"/>
  <c r="G109" i="12"/>
  <c r="G110" i="12"/>
  <c r="G111" i="12"/>
  <c r="G112" i="12"/>
  <c r="G113" i="12"/>
  <c r="G114" i="12"/>
  <c r="G115" i="12"/>
  <c r="G116" i="12"/>
  <c r="G22" i="12"/>
  <c r="S22" i="12" s="1"/>
  <c r="G21" i="12"/>
  <c r="T21" i="12" s="1"/>
  <c r="G19" i="12"/>
  <c r="R19" i="12" s="1"/>
  <c r="G20" i="12"/>
  <c r="S20" i="12" s="1"/>
  <c r="F18" i="12"/>
  <c r="G18" i="12" s="1"/>
  <c r="Q18" i="12" s="1"/>
  <c r="F17" i="12"/>
  <c r="G17" i="12" s="1"/>
  <c r="P17" i="12" s="1"/>
  <c r="G16" i="12"/>
  <c r="O16" i="12" s="1"/>
  <c r="F15" i="12"/>
  <c r="G15" i="12" s="1"/>
  <c r="N15" i="12" s="1"/>
  <c r="G14" i="12"/>
  <c r="M14" i="12" s="1"/>
  <c r="G13" i="12"/>
  <c r="Q13" i="12" s="1"/>
  <c r="G12" i="12"/>
  <c r="G11" i="12"/>
  <c r="J11" i="12" s="1"/>
  <c r="M85" i="12" l="1"/>
  <c r="S83" i="12"/>
  <c r="M80" i="12"/>
  <c r="Q79" i="12"/>
  <c r="L55" i="12"/>
  <c r="J55" i="12"/>
  <c r="M37" i="12"/>
  <c r="L85" i="12"/>
  <c r="K55" i="12"/>
  <c r="L37" i="12"/>
  <c r="N34" i="12"/>
  <c r="T80" i="12"/>
  <c r="R51" i="12"/>
  <c r="P80" i="12"/>
  <c r="L51" i="12"/>
  <c r="I122" i="12"/>
  <c r="Q68" i="12"/>
  <c r="O80" i="12"/>
  <c r="N50" i="12"/>
  <c r="K50" i="12"/>
  <c r="L80" i="12"/>
  <c r="L43" i="12"/>
  <c r="K43" i="12"/>
  <c r="T68" i="12"/>
  <c r="J43" i="12"/>
  <c r="T42" i="12"/>
  <c r="N21" i="12"/>
  <c r="P68" i="12"/>
  <c r="P41" i="12"/>
  <c r="N82" i="12"/>
  <c r="S70" i="12"/>
  <c r="S53" i="12"/>
  <c r="O38" i="12"/>
  <c r="N38" i="12"/>
  <c r="M82" i="12"/>
  <c r="T81" i="12"/>
  <c r="S68" i="12"/>
  <c r="K51" i="12"/>
  <c r="J38" i="12"/>
  <c r="R70" i="12"/>
  <c r="J82" i="12"/>
  <c r="S81" i="12"/>
  <c r="R68" i="12"/>
  <c r="J51" i="12"/>
  <c r="O37" i="12"/>
  <c r="N37" i="12"/>
  <c r="T54" i="12"/>
  <c r="R83" i="12"/>
  <c r="T70" i="12"/>
  <c r="S54" i="12"/>
  <c r="Q41" i="12"/>
  <c r="T122" i="12"/>
  <c r="I80" i="12"/>
  <c r="R103" i="12"/>
  <c r="L82" i="12"/>
  <c r="L79" i="12"/>
  <c r="J71" i="12"/>
  <c r="P66" i="12"/>
  <c r="Q56" i="12"/>
  <c r="M51" i="12"/>
  <c r="S44" i="12"/>
  <c r="P38" i="12"/>
  <c r="J35" i="12"/>
  <c r="J78" i="12"/>
  <c r="K33" i="12"/>
  <c r="N65" i="12"/>
  <c r="S76" i="12"/>
  <c r="M65" i="12"/>
  <c r="P13" i="12"/>
  <c r="O74" i="12"/>
  <c r="S62" i="12"/>
  <c r="J49" i="12"/>
  <c r="M13" i="12"/>
  <c r="P83" i="12"/>
  <c r="O72" i="12"/>
  <c r="L61" i="12"/>
  <c r="Q51" i="12"/>
  <c r="T48" i="12"/>
  <c r="T35" i="12"/>
  <c r="S122" i="12"/>
  <c r="T11" i="12"/>
  <c r="O83" i="12"/>
  <c r="K80" i="12"/>
  <c r="N72" i="12"/>
  <c r="O68" i="12"/>
  <c r="K61" i="12"/>
  <c r="P51" i="12"/>
  <c r="P47" i="12"/>
  <c r="S38" i="12"/>
  <c r="S35" i="12"/>
  <c r="R122" i="12"/>
  <c r="O78" i="12"/>
  <c r="P103" i="12"/>
  <c r="N66" i="12"/>
  <c r="O103" i="12"/>
  <c r="J31" i="12"/>
  <c r="T64" i="12"/>
  <c r="I81" i="12"/>
  <c r="J80" i="12"/>
  <c r="M72" i="12"/>
  <c r="M68" i="12"/>
  <c r="S56" i="12"/>
  <c r="O51" i="12"/>
  <c r="O47" i="12"/>
  <c r="R38" i="12"/>
  <c r="L35" i="12"/>
  <c r="Q122" i="12"/>
  <c r="Q103" i="12"/>
  <c r="O66" i="12"/>
  <c r="N78" i="12"/>
  <c r="T13" i="12"/>
  <c r="T76" i="12"/>
  <c r="R13" i="12"/>
  <c r="N41" i="12"/>
  <c r="K71" i="12"/>
  <c r="L68" i="12"/>
  <c r="R56" i="12"/>
  <c r="N51" i="12"/>
  <c r="N47" i="12"/>
  <c r="Q38" i="12"/>
  <c r="K35" i="12"/>
  <c r="P122" i="12"/>
  <c r="I74" i="12"/>
  <c r="S52" i="12"/>
  <c r="Q62" i="12"/>
  <c r="L83" i="12"/>
  <c r="P73" i="12"/>
  <c r="N60" i="12"/>
  <c r="M56" i="12"/>
  <c r="P44" i="12"/>
  <c r="S84" i="12"/>
  <c r="R75" i="12"/>
  <c r="J72" i="12"/>
  <c r="N62" i="12"/>
  <c r="J58" i="12"/>
  <c r="R54" i="12"/>
  <c r="M44" i="12"/>
  <c r="T40" i="12"/>
  <c r="N84" i="12"/>
  <c r="Q75" i="12"/>
  <c r="T71" i="12"/>
  <c r="K64" i="12"/>
  <c r="L60" i="12"/>
  <c r="K56" i="12"/>
  <c r="N52" i="12"/>
  <c r="L47" i="12"/>
  <c r="Q42" i="12"/>
  <c r="S11" i="12"/>
  <c r="M84" i="12"/>
  <c r="S80" i="12"/>
  <c r="M73" i="12"/>
  <c r="N70" i="12"/>
  <c r="T63" i="12"/>
  <c r="K60" i="12"/>
  <c r="J56" i="12"/>
  <c r="M52" i="12"/>
  <c r="S46" i="12"/>
  <c r="O42" i="12"/>
  <c r="M38" i="12"/>
  <c r="O122" i="12"/>
  <c r="R11" i="12"/>
  <c r="L84" i="12"/>
  <c r="S82" i="12"/>
  <c r="R80" i="12"/>
  <c r="M78" i="12"/>
  <c r="S74" i="12"/>
  <c r="L73" i="12"/>
  <c r="R71" i="12"/>
  <c r="M70" i="12"/>
  <c r="J68" i="12"/>
  <c r="S63" i="12"/>
  <c r="P61" i="12"/>
  <c r="J60" i="12"/>
  <c r="R57" i="12"/>
  <c r="T55" i="12"/>
  <c r="O54" i="12"/>
  <c r="T51" i="12"/>
  <c r="M50" i="12"/>
  <c r="L46" i="12"/>
  <c r="J44" i="12"/>
  <c r="N42" i="12"/>
  <c r="Q40" i="12"/>
  <c r="L38" i="12"/>
  <c r="P35" i="12"/>
  <c r="Q32" i="12"/>
  <c r="N122" i="12"/>
  <c r="R45" i="12"/>
  <c r="Q45" i="12"/>
  <c r="I62" i="12"/>
  <c r="P60" i="12"/>
  <c r="R52" i="12"/>
  <c r="T84" i="12"/>
  <c r="S75" i="12"/>
  <c r="K72" i="12"/>
  <c r="O62" i="12"/>
  <c r="K58" i="12"/>
  <c r="P52" i="12"/>
  <c r="S42" i="12"/>
  <c r="J37" i="12"/>
  <c r="K83" i="12"/>
  <c r="O73" i="12"/>
  <c r="Q70" i="12"/>
  <c r="L64" i="12"/>
  <c r="M60" i="12"/>
  <c r="L56" i="12"/>
  <c r="O52" i="12"/>
  <c r="R42" i="12"/>
  <c r="J83" i="12"/>
  <c r="N73" i="12"/>
  <c r="O70" i="12"/>
  <c r="R61" i="12"/>
  <c r="T57" i="12"/>
  <c r="Q54" i="12"/>
  <c r="L44" i="12"/>
  <c r="S40" i="12"/>
  <c r="T82" i="12"/>
  <c r="P75" i="12"/>
  <c r="S71" i="12"/>
  <c r="K68" i="12"/>
  <c r="Q61" i="12"/>
  <c r="S57" i="12"/>
  <c r="P54" i="12"/>
  <c r="K44" i="12"/>
  <c r="R40" i="12"/>
  <c r="R35" i="12"/>
  <c r="I83" i="12"/>
  <c r="P85" i="12"/>
  <c r="K84" i="12"/>
  <c r="R82" i="12"/>
  <c r="Q80" i="12"/>
  <c r="R74" i="12"/>
  <c r="K73" i="12"/>
  <c r="P71" i="12"/>
  <c r="K70" i="12"/>
  <c r="O67" i="12"/>
  <c r="R63" i="12"/>
  <c r="O61" i="12"/>
  <c r="N59" i="12"/>
  <c r="Q57" i="12"/>
  <c r="S55" i="12"/>
  <c r="K54" i="12"/>
  <c r="S51" i="12"/>
  <c r="K46" i="12"/>
  <c r="T43" i="12"/>
  <c r="K42" i="12"/>
  <c r="O40" i="12"/>
  <c r="K38" i="12"/>
  <c r="O35" i="12"/>
  <c r="O31" i="12"/>
  <c r="M122" i="12"/>
  <c r="J59" i="12"/>
  <c r="M74" i="12"/>
  <c r="J85" i="12"/>
  <c r="T75" i="12"/>
  <c r="L72" i="12"/>
  <c r="P62" i="12"/>
  <c r="S58" i="12"/>
  <c r="M41" i="12"/>
  <c r="J41" i="12"/>
  <c r="I82" i="12"/>
  <c r="O85" i="12"/>
  <c r="Q82" i="12"/>
  <c r="Q74" i="12"/>
  <c r="J73" i="12"/>
  <c r="M71" i="12"/>
  <c r="Q63" i="12"/>
  <c r="N61" i="12"/>
  <c r="M59" i="12"/>
  <c r="N57" i="12"/>
  <c r="P55" i="12"/>
  <c r="J46" i="12"/>
  <c r="S43" i="12"/>
  <c r="S41" i="12"/>
  <c r="M40" i="12"/>
  <c r="N35" i="12"/>
  <c r="L31" i="12"/>
  <c r="L122" i="12"/>
  <c r="K59" i="12"/>
  <c r="N74" i="12"/>
  <c r="R62" i="12"/>
  <c r="K85" i="12"/>
  <c r="I61" i="12"/>
  <c r="O60" i="12"/>
  <c r="O21" i="12"/>
  <c r="T83" i="12"/>
  <c r="O82" i="12"/>
  <c r="M77" i="12"/>
  <c r="P74" i="12"/>
  <c r="J63" i="12"/>
  <c r="M61" i="12"/>
  <c r="O55" i="12"/>
  <c r="T45" i="12"/>
  <c r="R43" i="12"/>
  <c r="P37" i="12"/>
  <c r="M35" i="12"/>
  <c r="K31" i="12"/>
  <c r="J122" i="12"/>
  <c r="L77" i="12"/>
  <c r="L65" i="12"/>
  <c r="I22" i="12"/>
  <c r="O22" i="12"/>
  <c r="R22" i="12"/>
  <c r="Q22" i="12"/>
  <c r="I39" i="12"/>
  <c r="J39" i="12"/>
  <c r="M39" i="12"/>
  <c r="K39" i="12"/>
  <c r="N39" i="12"/>
  <c r="P39" i="12"/>
  <c r="Q39" i="12"/>
  <c r="S39" i="12"/>
  <c r="L39" i="12"/>
  <c r="O39" i="12"/>
  <c r="R39" i="12"/>
  <c r="R81" i="12"/>
  <c r="T69" i="12"/>
  <c r="I36" i="12"/>
  <c r="R36" i="12"/>
  <c r="S36" i="12"/>
  <c r="J36" i="12"/>
  <c r="K36" i="12"/>
  <c r="M36" i="12"/>
  <c r="O36" i="12"/>
  <c r="P36" i="12"/>
  <c r="Q36" i="12"/>
  <c r="T36" i="12"/>
  <c r="N36" i="12"/>
  <c r="I53" i="12"/>
  <c r="K53" i="12"/>
  <c r="L53" i="12"/>
  <c r="M53" i="12"/>
  <c r="O53" i="12"/>
  <c r="P53" i="12"/>
  <c r="J53" i="12"/>
  <c r="N53" i="12"/>
  <c r="R53" i="12"/>
  <c r="Q53" i="12"/>
  <c r="O81" i="12"/>
  <c r="J81" i="12"/>
  <c r="K81" i="12"/>
  <c r="L81" i="12"/>
  <c r="N81" i="12"/>
  <c r="P81" i="12"/>
  <c r="M81" i="12"/>
  <c r="I69" i="12"/>
  <c r="O69" i="12"/>
  <c r="J69" i="12"/>
  <c r="K69" i="12"/>
  <c r="L69" i="12"/>
  <c r="M69" i="12"/>
  <c r="N69" i="12"/>
  <c r="P69" i="12"/>
  <c r="Q69" i="12"/>
  <c r="K12" i="12"/>
  <c r="J12" i="12"/>
  <c r="S12" i="12"/>
  <c r="Q12" i="12"/>
  <c r="T12" i="12"/>
  <c r="I34" i="12"/>
  <c r="P34" i="12"/>
  <c r="Q34" i="12"/>
  <c r="T34" i="12"/>
  <c r="S34" i="12"/>
  <c r="J34" i="12"/>
  <c r="K34" i="12"/>
  <c r="L34" i="12"/>
  <c r="L30" i="12"/>
  <c r="I30" i="12"/>
  <c r="M30" i="12"/>
  <c r="P30" i="12"/>
  <c r="Q30" i="12"/>
  <c r="K30" i="12"/>
  <c r="O30" i="12"/>
  <c r="T30" i="12"/>
  <c r="J30" i="12"/>
  <c r="N30" i="12"/>
  <c r="S30" i="12"/>
  <c r="R30" i="12"/>
  <c r="T50" i="12"/>
  <c r="O50" i="12"/>
  <c r="Q50" i="12"/>
  <c r="I50" i="12"/>
  <c r="S50" i="12"/>
  <c r="P50" i="12"/>
  <c r="R50" i="12"/>
  <c r="J50" i="12"/>
  <c r="I79" i="12"/>
  <c r="M79" i="12"/>
  <c r="R79" i="12"/>
  <c r="S79" i="12"/>
  <c r="T79" i="12"/>
  <c r="J79" i="12"/>
  <c r="K79" i="12"/>
  <c r="I67" i="12"/>
  <c r="M67" i="12"/>
  <c r="S67" i="12"/>
  <c r="J67" i="12"/>
  <c r="K67" i="12"/>
  <c r="T67" i="12"/>
  <c r="L67" i="12"/>
  <c r="N67" i="12"/>
  <c r="J121" i="12"/>
  <c r="K121" i="12"/>
  <c r="N121" i="12"/>
  <c r="O121" i="12"/>
  <c r="L121" i="12"/>
  <c r="P121" i="12"/>
  <c r="R121" i="12"/>
  <c r="S121" i="12"/>
  <c r="T121" i="12"/>
  <c r="M121" i="12"/>
  <c r="Q121" i="12"/>
  <c r="I121" i="12"/>
  <c r="O79" i="12"/>
  <c r="R69" i="12"/>
  <c r="Q67" i="12"/>
  <c r="R34" i="12"/>
  <c r="L13" i="12"/>
  <c r="S13" i="12"/>
  <c r="I33" i="12"/>
  <c r="O33" i="12"/>
  <c r="P33" i="12"/>
  <c r="S33" i="12"/>
  <c r="T33" i="12"/>
  <c r="L33" i="12"/>
  <c r="N33" i="12"/>
  <c r="R33" i="12"/>
  <c r="M33" i="12"/>
  <c r="Q33" i="12"/>
  <c r="S49" i="12"/>
  <c r="T49" i="12"/>
  <c r="L49" i="12"/>
  <c r="N49" i="12"/>
  <c r="I49" i="12"/>
  <c r="O49" i="12"/>
  <c r="P49" i="12"/>
  <c r="Q49" i="12"/>
  <c r="M49" i="12"/>
  <c r="R49" i="12"/>
  <c r="I78" i="12"/>
  <c r="L78" i="12"/>
  <c r="P78" i="12"/>
  <c r="Q78" i="12"/>
  <c r="R78" i="12"/>
  <c r="S78" i="12"/>
  <c r="T78" i="12"/>
  <c r="I66" i="12"/>
  <c r="L66" i="12"/>
  <c r="Q66" i="12"/>
  <c r="R66" i="12"/>
  <c r="S66" i="12"/>
  <c r="K66" i="12"/>
  <c r="T66" i="12"/>
  <c r="J66" i="12"/>
  <c r="T103" i="12"/>
  <c r="S103" i="12"/>
  <c r="I103" i="12"/>
  <c r="L103" i="12"/>
  <c r="M103" i="12"/>
  <c r="J103" i="12"/>
  <c r="K103" i="12"/>
  <c r="N79" i="12"/>
  <c r="P67" i="12"/>
  <c r="L36" i="12"/>
  <c r="O34" i="12"/>
  <c r="I32" i="12"/>
  <c r="N32" i="12"/>
  <c r="O32" i="12"/>
  <c r="R32" i="12"/>
  <c r="S32" i="12"/>
  <c r="K32" i="12"/>
  <c r="M32" i="12"/>
  <c r="J32" i="12"/>
  <c r="L32" i="12"/>
  <c r="P32" i="12"/>
  <c r="I48" i="12"/>
  <c r="R48" i="12"/>
  <c r="S48" i="12"/>
  <c r="J48" i="12"/>
  <c r="K48" i="12"/>
  <c r="P48" i="12"/>
  <c r="L48" i="12"/>
  <c r="M48" i="12"/>
  <c r="N48" i="12"/>
  <c r="O48" i="12"/>
  <c r="I77" i="12"/>
  <c r="K77" i="12"/>
  <c r="N77" i="12"/>
  <c r="O77" i="12"/>
  <c r="P77" i="12"/>
  <c r="Q77" i="12"/>
  <c r="R77" i="12"/>
  <c r="T77" i="12"/>
  <c r="S77" i="12"/>
  <c r="I65" i="12"/>
  <c r="K65" i="12"/>
  <c r="O65" i="12"/>
  <c r="P65" i="12"/>
  <c r="Q65" i="12"/>
  <c r="R65" i="12"/>
  <c r="S65" i="12"/>
  <c r="T65" i="12"/>
  <c r="I76" i="12"/>
  <c r="J76" i="12"/>
  <c r="R76" i="12"/>
  <c r="I59" i="12"/>
  <c r="Q59" i="12"/>
  <c r="Q64" i="12"/>
  <c r="Q76" i="12"/>
  <c r="P63" i="12"/>
  <c r="N45" i="12"/>
  <c r="I58" i="12"/>
  <c r="P58" i="12"/>
  <c r="Q58" i="12"/>
  <c r="L74" i="12"/>
  <c r="I57" i="12"/>
  <c r="O57" i="12"/>
  <c r="P57" i="12"/>
  <c r="K74" i="12"/>
  <c r="P64" i="12"/>
  <c r="J61" i="12"/>
  <c r="O58" i="12"/>
  <c r="R46" i="12"/>
  <c r="L45" i="12"/>
  <c r="S60" i="12"/>
  <c r="M58" i="12"/>
  <c r="I31" i="12"/>
  <c r="M31" i="12"/>
  <c r="N31" i="12"/>
  <c r="Q31" i="12"/>
  <c r="R31" i="12"/>
  <c r="I47" i="12"/>
  <c r="Q47" i="12"/>
  <c r="R47" i="12"/>
  <c r="I64" i="12"/>
  <c r="J64" i="12"/>
  <c r="S64" i="12"/>
  <c r="K47" i="12"/>
  <c r="I45" i="12"/>
  <c r="O45" i="12"/>
  <c r="P45" i="12"/>
  <c r="S45" i="12"/>
  <c r="O75" i="12"/>
  <c r="R64" i="12"/>
  <c r="J47" i="12"/>
  <c r="I52" i="12"/>
  <c r="J52" i="12"/>
  <c r="K52" i="12"/>
  <c r="I60" i="12"/>
  <c r="P76" i="12"/>
  <c r="N75" i="12"/>
  <c r="O63" i="12"/>
  <c r="M62" i="12"/>
  <c r="T59" i="12"/>
  <c r="R58" i="12"/>
  <c r="L52" i="12"/>
  <c r="M45" i="12"/>
  <c r="I46" i="12"/>
  <c r="P46" i="12"/>
  <c r="Q46" i="12"/>
  <c r="T46" i="12"/>
  <c r="I85" i="12"/>
  <c r="S85" i="12"/>
  <c r="I73" i="12"/>
  <c r="S73" i="12"/>
  <c r="O76" i="12"/>
  <c r="M75" i="12"/>
  <c r="N63" i="12"/>
  <c r="L62" i="12"/>
  <c r="S59" i="12"/>
  <c r="L57" i="12"/>
  <c r="I44" i="12"/>
  <c r="N44" i="12"/>
  <c r="O44" i="12"/>
  <c r="R44" i="12"/>
  <c r="I56" i="12"/>
  <c r="N56" i="12"/>
  <c r="O56" i="12"/>
  <c r="I84" i="12"/>
  <c r="R84" i="12"/>
  <c r="I72" i="12"/>
  <c r="R72" i="12"/>
  <c r="I41" i="12"/>
  <c r="K41" i="12"/>
  <c r="L41" i="12"/>
  <c r="O41" i="12"/>
  <c r="T85" i="12"/>
  <c r="Q84" i="12"/>
  <c r="N76" i="12"/>
  <c r="L75" i="12"/>
  <c r="J74" i="12"/>
  <c r="S72" i="12"/>
  <c r="O64" i="12"/>
  <c r="M63" i="12"/>
  <c r="K62" i="12"/>
  <c r="T60" i="12"/>
  <c r="R59" i="12"/>
  <c r="N58" i="12"/>
  <c r="K57" i="12"/>
  <c r="O46" i="12"/>
  <c r="K45" i="12"/>
  <c r="T31" i="12"/>
  <c r="I43" i="12"/>
  <c r="M43" i="12"/>
  <c r="N43" i="12"/>
  <c r="Q43" i="12"/>
  <c r="I37" i="12"/>
  <c r="S37" i="12"/>
  <c r="T37" i="12"/>
  <c r="K37" i="12"/>
  <c r="I55" i="12"/>
  <c r="M55" i="12"/>
  <c r="N55" i="12"/>
  <c r="I71" i="12"/>
  <c r="Q71" i="12"/>
  <c r="I42" i="12"/>
  <c r="L42" i="12"/>
  <c r="M42" i="12"/>
  <c r="P42" i="12"/>
  <c r="M19" i="12"/>
  <c r="R85" i="12"/>
  <c r="P84" i="12"/>
  <c r="N83" i="12"/>
  <c r="M76" i="12"/>
  <c r="K75" i="12"/>
  <c r="T73" i="12"/>
  <c r="Q72" i="12"/>
  <c r="O71" i="12"/>
  <c r="L63" i="12"/>
  <c r="J62" i="12"/>
  <c r="P59" i="12"/>
  <c r="J57" i="12"/>
  <c r="T47" i="12"/>
  <c r="I40" i="12"/>
  <c r="J40" i="12"/>
  <c r="K40" i="12"/>
  <c r="N40" i="12"/>
  <c r="I54" i="12"/>
  <c r="L54" i="12"/>
  <c r="M54" i="12"/>
  <c r="I70" i="12"/>
  <c r="P70" i="12"/>
  <c r="P18" i="12"/>
  <c r="Q85" i="12"/>
  <c r="O84" i="12"/>
  <c r="M83" i="12"/>
  <c r="K82" i="12"/>
  <c r="L76" i="12"/>
  <c r="J75" i="12"/>
  <c r="R73" i="12"/>
  <c r="P72" i="12"/>
  <c r="N71" i="12"/>
  <c r="L70" i="12"/>
  <c r="M64" i="12"/>
  <c r="K63" i="12"/>
  <c r="T61" i="12"/>
  <c r="Q60" i="12"/>
  <c r="O59" i="12"/>
  <c r="L58" i="12"/>
  <c r="T56" i="12"/>
  <c r="Q55" i="12"/>
  <c r="N54" i="12"/>
  <c r="T52" i="12"/>
  <c r="S47" i="12"/>
  <c r="M46" i="12"/>
  <c r="T44" i="12"/>
  <c r="O43" i="12"/>
  <c r="T41" i="12"/>
  <c r="P40" i="12"/>
  <c r="Q37" i="12"/>
  <c r="P31" i="12"/>
  <c r="N68" i="12"/>
  <c r="T38" i="12"/>
  <c r="Q35" i="12"/>
  <c r="N18" i="12"/>
  <c r="Q11" i="12"/>
  <c r="N22" i="12"/>
  <c r="P20" i="12"/>
  <c r="P11" i="12"/>
  <c r="M22" i="12"/>
  <c r="O20" i="12"/>
  <c r="O17" i="12"/>
  <c r="K13" i="12"/>
  <c r="O11" i="12"/>
  <c r="M21" i="12"/>
  <c r="P22" i="12"/>
  <c r="R20" i="12"/>
  <c r="O18" i="12"/>
  <c r="Q20" i="12"/>
  <c r="M18" i="12"/>
  <c r="I11" i="12"/>
  <c r="J22" i="12"/>
  <c r="N20" i="12"/>
  <c r="N17" i="12"/>
  <c r="J13" i="12"/>
  <c r="N11" i="12"/>
  <c r="I21" i="12"/>
  <c r="S21" i="12"/>
  <c r="Q19" i="12"/>
  <c r="M17" i="12"/>
  <c r="K11" i="12"/>
  <c r="I20" i="12"/>
  <c r="R21" i="12"/>
  <c r="P19" i="12"/>
  <c r="N16" i="12"/>
  <c r="I19" i="12"/>
  <c r="Q21" i="12"/>
  <c r="O19" i="12"/>
  <c r="M16" i="12"/>
  <c r="R12" i="12"/>
  <c r="L19" i="12"/>
  <c r="T22" i="12"/>
  <c r="P21" i="12"/>
  <c r="N19" i="12"/>
  <c r="M15" i="12"/>
  <c r="L14" i="12"/>
  <c r="L15" i="12"/>
  <c r="K16" i="12"/>
  <c r="J14" i="12"/>
  <c r="L18" i="12"/>
  <c r="J16" i="12"/>
  <c r="I17" i="12"/>
  <c r="M20" i="12"/>
  <c r="J17" i="12"/>
  <c r="L20" i="12"/>
  <c r="K19" i="12"/>
  <c r="T16" i="12"/>
  <c r="R14" i="12"/>
  <c r="P12" i="12"/>
  <c r="I15" i="12"/>
  <c r="I14" i="12"/>
  <c r="L22" i="12"/>
  <c r="K21" i="12"/>
  <c r="J20" i="12"/>
  <c r="T18" i="12"/>
  <c r="S17" i="12"/>
  <c r="R16" i="12"/>
  <c r="Q15" i="12"/>
  <c r="P14" i="12"/>
  <c r="O13" i="12"/>
  <c r="N12" i="12"/>
  <c r="M11" i="12"/>
  <c r="K15" i="12"/>
  <c r="L17" i="12"/>
  <c r="J15" i="12"/>
  <c r="I18" i="12"/>
  <c r="T14" i="12"/>
  <c r="K18" i="12"/>
  <c r="S14" i="12"/>
  <c r="I16" i="12"/>
  <c r="S15" i="12"/>
  <c r="L21" i="12"/>
  <c r="K20" i="12"/>
  <c r="J19" i="12"/>
  <c r="T17" i="12"/>
  <c r="S16" i="12"/>
  <c r="R15" i="12"/>
  <c r="Q14" i="12"/>
  <c r="O12" i="12"/>
  <c r="I13" i="12"/>
  <c r="K22" i="12"/>
  <c r="J21" i="12"/>
  <c r="T19" i="12"/>
  <c r="S18" i="12"/>
  <c r="R17" i="12"/>
  <c r="Q16" i="12"/>
  <c r="P15" i="12"/>
  <c r="O14" i="12"/>
  <c r="N13" i="12"/>
  <c r="M12" i="12"/>
  <c r="L11" i="12"/>
  <c r="K14" i="12"/>
  <c r="L16" i="12"/>
  <c r="K17" i="12"/>
  <c r="T15" i="12"/>
  <c r="J18" i="12"/>
  <c r="I12" i="12"/>
  <c r="T20" i="12"/>
  <c r="S19" i="12"/>
  <c r="R18" i="12"/>
  <c r="Q17" i="12"/>
  <c r="P16" i="12"/>
  <c r="O15" i="12"/>
  <c r="N14" i="12"/>
  <c r="L12" i="12"/>
  <c r="I5" i="12" l="1"/>
  <c r="J5" i="12"/>
  <c r="N5" i="12"/>
  <c r="P5" i="12"/>
  <c r="R5" i="12"/>
  <c r="O5" i="12"/>
  <c r="K5" i="12"/>
  <c r="Q5" i="12"/>
  <c r="L5" i="12"/>
  <c r="M5" i="12"/>
  <c r="S5" i="12"/>
  <c r="T5" i="12"/>
  <c r="J9" i="7" l="1"/>
  <c r="G9" i="7" s="1"/>
  <c r="I8" i="7"/>
  <c r="I4" i="7" s="1"/>
  <c r="J8" i="7"/>
  <c r="K8" i="7"/>
  <c r="K4" i="7" s="1"/>
  <c r="L8" i="7"/>
  <c r="L4" i="7" s="1"/>
  <c r="M8" i="7"/>
  <c r="M4" i="7" s="1"/>
  <c r="N8" i="7"/>
  <c r="N4" i="7" s="1"/>
  <c r="O8" i="7"/>
  <c r="O4" i="7" s="1"/>
  <c r="P8" i="7"/>
  <c r="P4" i="7" s="1"/>
  <c r="Q8" i="7"/>
  <c r="Q4" i="7" s="1"/>
  <c r="R8" i="7"/>
  <c r="R4" i="7" s="1"/>
  <c r="S8" i="7"/>
  <c r="S4" i="7" s="1"/>
  <c r="H8" i="7"/>
  <c r="G106" i="9"/>
  <c r="G105" i="9"/>
  <c r="G104" i="9"/>
  <c r="G103" i="9"/>
  <c r="G102" i="9"/>
  <c r="G101" i="9"/>
  <c r="G100" i="9"/>
  <c r="G99" i="9"/>
  <c r="G98" i="9"/>
  <c r="G97" i="9"/>
  <c r="G96" i="9"/>
  <c r="G95" i="9"/>
  <c r="G94" i="9"/>
  <c r="G93" i="9"/>
  <c r="G92" i="9"/>
  <c r="G91" i="9"/>
  <c r="G90" i="9"/>
  <c r="G89" i="9"/>
  <c r="G88" i="9"/>
  <c r="G87" i="9"/>
  <c r="G86" i="9"/>
  <c r="G85" i="9"/>
  <c r="G84" i="9"/>
  <c r="G83" i="9"/>
  <c r="G82" i="9"/>
  <c r="G81" i="9"/>
  <c r="G80" i="9"/>
  <c r="G79" i="9"/>
  <c r="G78" i="9"/>
  <c r="G77" i="9"/>
  <c r="G76" i="9"/>
  <c r="G75" i="9"/>
  <c r="G74" i="9"/>
  <c r="G73" i="9"/>
  <c r="G72" i="9"/>
  <c r="G71" i="9"/>
  <c r="G70" i="9"/>
  <c r="G69" i="9"/>
  <c r="G68" i="9"/>
  <c r="G67" i="9"/>
  <c r="G66" i="9"/>
  <c r="G65" i="9"/>
  <c r="G64" i="9"/>
  <c r="G63" i="9"/>
  <c r="G62" i="9"/>
  <c r="G61" i="9"/>
  <c r="G60" i="9"/>
  <c r="G59" i="9"/>
  <c r="G58" i="9"/>
  <c r="G57" i="9"/>
  <c r="G56" i="9"/>
  <c r="G55" i="9"/>
  <c r="G54" i="9"/>
  <c r="G53" i="9"/>
  <c r="G52" i="9"/>
  <c r="G51" i="9"/>
  <c r="G50" i="9"/>
  <c r="G49" i="9"/>
  <c r="G48" i="9"/>
  <c r="G47" i="9"/>
  <c r="G46" i="9"/>
  <c r="G45" i="9"/>
  <c r="G44" i="9"/>
  <c r="G43" i="9"/>
  <c r="G42" i="9"/>
  <c r="G41" i="9"/>
  <c r="G40" i="9"/>
  <c r="G39" i="9"/>
  <c r="G38" i="9"/>
  <c r="G37" i="9"/>
  <c r="G36" i="9"/>
  <c r="G35" i="9"/>
  <c r="G34" i="9"/>
  <c r="G33" i="9"/>
  <c r="G32" i="9"/>
  <c r="G31" i="9"/>
  <c r="G30" i="9"/>
  <c r="G29" i="9"/>
  <c r="G28" i="9"/>
  <c r="G27" i="9"/>
  <c r="G26" i="9"/>
  <c r="G25" i="9"/>
  <c r="G24" i="9"/>
  <c r="G23" i="9"/>
  <c r="G22" i="9"/>
  <c r="G21" i="9"/>
  <c r="G20" i="9"/>
  <c r="G19" i="9"/>
  <c r="G18" i="9"/>
  <c r="G17" i="9"/>
  <c r="G16" i="9"/>
  <c r="G15" i="9"/>
  <c r="G14" i="9"/>
  <c r="G13" i="9"/>
  <c r="G12" i="9"/>
  <c r="G11" i="9"/>
  <c r="G10" i="9"/>
  <c r="G9" i="9"/>
  <c r="G8" i="9"/>
  <c r="G106" i="8"/>
  <c r="G105" i="8"/>
  <c r="G104" i="8"/>
  <c r="G103" i="8"/>
  <c r="G102" i="8"/>
  <c r="G101" i="8"/>
  <c r="G100" i="8"/>
  <c r="G99" i="8"/>
  <c r="G98" i="8"/>
  <c r="G97" i="8"/>
  <c r="G96" i="8"/>
  <c r="G95" i="8"/>
  <c r="G94" i="8"/>
  <c r="G93" i="8"/>
  <c r="G92" i="8"/>
  <c r="G91" i="8"/>
  <c r="G90" i="8"/>
  <c r="G89" i="8"/>
  <c r="G88" i="8"/>
  <c r="G87" i="8"/>
  <c r="G86" i="8"/>
  <c r="G85" i="8"/>
  <c r="G84" i="8"/>
  <c r="G83" i="8"/>
  <c r="G82" i="8"/>
  <c r="G81" i="8"/>
  <c r="G80" i="8"/>
  <c r="G79" i="8"/>
  <c r="G78" i="8"/>
  <c r="G77" i="8"/>
  <c r="G76" i="8"/>
  <c r="G75" i="8"/>
  <c r="G74" i="8"/>
  <c r="G73" i="8"/>
  <c r="G72" i="8"/>
  <c r="G71" i="8"/>
  <c r="G70" i="8"/>
  <c r="G69" i="8"/>
  <c r="G68" i="8"/>
  <c r="G67" i="8"/>
  <c r="G66" i="8"/>
  <c r="G65" i="8"/>
  <c r="G64" i="8"/>
  <c r="G63" i="8"/>
  <c r="G62" i="8"/>
  <c r="G61" i="8"/>
  <c r="G60" i="8"/>
  <c r="G59" i="8"/>
  <c r="G58" i="8"/>
  <c r="G57" i="8"/>
  <c r="G56" i="8"/>
  <c r="G55" i="8"/>
  <c r="G54" i="8"/>
  <c r="G53" i="8"/>
  <c r="G52" i="8"/>
  <c r="G51" i="8"/>
  <c r="G50" i="8"/>
  <c r="G49" i="8"/>
  <c r="G48" i="8"/>
  <c r="G47" i="8"/>
  <c r="G46" i="8"/>
  <c r="G45" i="8"/>
  <c r="G44" i="8"/>
  <c r="G43" i="8"/>
  <c r="G42" i="8"/>
  <c r="G41" i="8"/>
  <c r="G40" i="8"/>
  <c r="G39" i="8"/>
  <c r="G38" i="8"/>
  <c r="G37" i="8"/>
  <c r="G36" i="8"/>
  <c r="G35" i="8"/>
  <c r="G34" i="8"/>
  <c r="G33" i="8"/>
  <c r="G32" i="8"/>
  <c r="G31" i="8"/>
  <c r="G30" i="8"/>
  <c r="G29" i="8"/>
  <c r="G28" i="8"/>
  <c r="G27" i="8"/>
  <c r="G26" i="8"/>
  <c r="G25" i="8"/>
  <c r="G24" i="8"/>
  <c r="G23" i="8"/>
  <c r="G22" i="8"/>
  <c r="G21" i="8"/>
  <c r="G20" i="8"/>
  <c r="G19" i="8"/>
  <c r="G18" i="8"/>
  <c r="G17" i="8"/>
  <c r="G16" i="8"/>
  <c r="G15" i="8"/>
  <c r="G14" i="8"/>
  <c r="G13" i="8"/>
  <c r="G12" i="8"/>
  <c r="G11" i="8"/>
  <c r="G10" i="8"/>
  <c r="G9" i="8"/>
  <c r="G8" i="8"/>
  <c r="G101" i="6"/>
  <c r="G100" i="6"/>
  <c r="G99" i="6"/>
  <c r="G98" i="6"/>
  <c r="G97" i="6"/>
  <c r="G96" i="6"/>
  <c r="G95" i="6"/>
  <c r="G94" i="6"/>
  <c r="G93" i="6"/>
  <c r="G92" i="6"/>
  <c r="G91" i="6"/>
  <c r="G90" i="6"/>
  <c r="G89" i="6"/>
  <c r="G88" i="6"/>
  <c r="G87" i="6"/>
  <c r="G86" i="6"/>
  <c r="G85" i="6"/>
  <c r="G84" i="6"/>
  <c r="G83" i="6"/>
  <c r="G82" i="6"/>
  <c r="G81" i="6"/>
  <c r="G80" i="6"/>
  <c r="G79" i="6"/>
  <c r="G78" i="6"/>
  <c r="G77" i="6"/>
  <c r="G76" i="6"/>
  <c r="G75" i="6"/>
  <c r="G74" i="6"/>
  <c r="G73" i="6"/>
  <c r="G72" i="6"/>
  <c r="G71" i="6"/>
  <c r="G70" i="6"/>
  <c r="G69" i="6"/>
  <c r="G68" i="6"/>
  <c r="G67" i="6"/>
  <c r="G66" i="6"/>
  <c r="G65" i="6"/>
  <c r="G64" i="6"/>
  <c r="G63" i="6"/>
  <c r="G62" i="6"/>
  <c r="G61" i="6"/>
  <c r="G60" i="6"/>
  <c r="G59" i="6"/>
  <c r="G58" i="6"/>
  <c r="G57" i="6"/>
  <c r="G56" i="6"/>
  <c r="G55" i="6"/>
  <c r="G54" i="6"/>
  <c r="G53" i="6"/>
  <c r="G52" i="6"/>
  <c r="G51" i="6"/>
  <c r="G50" i="6"/>
  <c r="G49" i="6"/>
  <c r="G48" i="6"/>
  <c r="G47" i="6"/>
  <c r="G46" i="6"/>
  <c r="G45" i="6"/>
  <c r="G44" i="6"/>
  <c r="G43" i="6"/>
  <c r="G42" i="6"/>
  <c r="G41" i="6"/>
  <c r="G40" i="6"/>
  <c r="G39" i="6"/>
  <c r="G38" i="6"/>
  <c r="G37" i="6"/>
  <c r="G36" i="6"/>
  <c r="G35" i="6"/>
  <c r="G34" i="6"/>
  <c r="G33" i="6"/>
  <c r="G32" i="6"/>
  <c r="G31" i="6"/>
  <c r="G30" i="6"/>
  <c r="G29" i="6"/>
  <c r="G28" i="6"/>
  <c r="G27" i="6"/>
  <c r="G26" i="6"/>
  <c r="G25" i="6"/>
  <c r="G22" i="6"/>
  <c r="G19" i="6"/>
  <c r="G18" i="6"/>
  <c r="G17" i="6"/>
  <c r="G16" i="6"/>
  <c r="G15" i="6"/>
  <c r="G14" i="6"/>
  <c r="G13" i="6"/>
  <c r="G12" i="6"/>
  <c r="G11" i="6"/>
  <c r="G10" i="6"/>
  <c r="G9" i="6"/>
  <c r="G8" i="6"/>
  <c r="G7" i="6"/>
  <c r="G102" i="5"/>
  <c r="G101" i="5"/>
  <c r="G100" i="5"/>
  <c r="G99" i="5"/>
  <c r="G98" i="5"/>
  <c r="G97" i="5"/>
  <c r="G96" i="5"/>
  <c r="G95" i="5"/>
  <c r="G94" i="5"/>
  <c r="G93" i="5"/>
  <c r="G92" i="5"/>
  <c r="G91" i="5"/>
  <c r="G90" i="5"/>
  <c r="G89" i="5"/>
  <c r="G88" i="5"/>
  <c r="G87" i="5"/>
  <c r="G86" i="5"/>
  <c r="G85" i="5"/>
  <c r="G84" i="5"/>
  <c r="G83" i="5"/>
  <c r="G82" i="5"/>
  <c r="G81" i="5"/>
  <c r="G80" i="5"/>
  <c r="G79" i="5"/>
  <c r="G78" i="5"/>
  <c r="G77" i="5"/>
  <c r="G76" i="5"/>
  <c r="G75" i="5"/>
  <c r="G74" i="5"/>
  <c r="G73" i="5"/>
  <c r="G72" i="5"/>
  <c r="G71" i="5"/>
  <c r="G70" i="5"/>
  <c r="G69" i="5"/>
  <c r="G68" i="5"/>
  <c r="G67" i="5"/>
  <c r="G66" i="5"/>
  <c r="G65" i="5"/>
  <c r="G64" i="5"/>
  <c r="G63" i="5"/>
  <c r="G62" i="5"/>
  <c r="G61" i="5"/>
  <c r="G60" i="5"/>
  <c r="G59" i="5"/>
  <c r="G58" i="5"/>
  <c r="G57" i="5"/>
  <c r="G56" i="5"/>
  <c r="G55" i="5"/>
  <c r="G54" i="5"/>
  <c r="G53" i="5"/>
  <c r="G50" i="5"/>
  <c r="G49" i="5"/>
  <c r="G48" i="5"/>
  <c r="G47" i="5"/>
  <c r="G46" i="5"/>
  <c r="G45" i="5"/>
  <c r="G44" i="5"/>
  <c r="G43" i="5"/>
  <c r="G42" i="5"/>
  <c r="G41" i="5"/>
  <c r="G40" i="5"/>
  <c r="G39" i="5"/>
  <c r="G38" i="5"/>
  <c r="G37" i="5"/>
  <c r="G35" i="5"/>
  <c r="G31" i="5"/>
  <c r="G30" i="5"/>
  <c r="G29" i="5"/>
  <c r="G28" i="5"/>
  <c r="G26" i="5"/>
  <c r="G25" i="5"/>
  <c r="G24" i="5"/>
  <c r="G23" i="5"/>
  <c r="G22" i="5"/>
  <c r="G21" i="5"/>
  <c r="G19" i="5"/>
  <c r="G18" i="5"/>
  <c r="G17" i="5"/>
  <c r="G16" i="5"/>
  <c r="G15" i="5"/>
  <c r="G14" i="5"/>
  <c r="G13" i="5"/>
  <c r="G12" i="5"/>
  <c r="G11" i="5"/>
  <c r="G10" i="5"/>
  <c r="G9" i="5"/>
  <c r="G8" i="5"/>
  <c r="G7" i="5"/>
  <c r="G105" i="4"/>
  <c r="G104" i="4"/>
  <c r="G103" i="4"/>
  <c r="G102" i="4"/>
  <c r="G101" i="4"/>
  <c r="G100" i="4"/>
  <c r="G99" i="4"/>
  <c r="G98" i="4"/>
  <c r="G97" i="4"/>
  <c r="G96" i="4"/>
  <c r="G95" i="4"/>
  <c r="G94" i="4"/>
  <c r="G93" i="4"/>
  <c r="G92" i="4"/>
  <c r="G91" i="4"/>
  <c r="G90" i="4"/>
  <c r="G89" i="4"/>
  <c r="G88" i="4"/>
  <c r="G87" i="4"/>
  <c r="G86" i="4"/>
  <c r="G85" i="4"/>
  <c r="G84" i="4"/>
  <c r="G83" i="4"/>
  <c r="G82" i="4"/>
  <c r="G81" i="4"/>
  <c r="G80" i="4"/>
  <c r="G79" i="4"/>
  <c r="G78" i="4"/>
  <c r="G77" i="4"/>
  <c r="G76" i="4"/>
  <c r="G75" i="4"/>
  <c r="G74" i="4"/>
  <c r="G73" i="4"/>
  <c r="G72" i="4"/>
  <c r="G71" i="4"/>
  <c r="G70" i="4"/>
  <c r="G69" i="4"/>
  <c r="G68" i="4"/>
  <c r="G67" i="4"/>
  <c r="G66" i="4"/>
  <c r="G65" i="4"/>
  <c r="G64" i="4"/>
  <c r="G63" i="4"/>
  <c r="G62" i="4"/>
  <c r="G61" i="4"/>
  <c r="G60" i="4"/>
  <c r="G59" i="4"/>
  <c r="G58" i="4"/>
  <c r="G57" i="4"/>
  <c r="G56" i="4"/>
  <c r="G55" i="4"/>
  <c r="G54" i="4"/>
  <c r="G53" i="4"/>
  <c r="G52" i="4"/>
  <c r="G51" i="4"/>
  <c r="G50" i="4"/>
  <c r="G48" i="4"/>
  <c r="H4" i="7" l="1"/>
  <c r="G8" i="7"/>
  <c r="G4" i="7" s="1"/>
  <c r="G4" i="10"/>
  <c r="J4" i="7"/>
  <c r="G4" i="5"/>
  <c r="G4" i="4"/>
  <c r="G4" i="6"/>
  <c r="G4" i="8"/>
  <c r="G4" i="9"/>
  <c r="C6" i="28" l="1"/>
  <c r="C8" i="28" s="1"/>
  <c r="C11" i="28" s="1"/>
  <c r="B6" i="28"/>
  <c r="B8" i="28" l="1"/>
  <c r="B11" i="28" l="1"/>
  <c r="H6" i="28" l="1"/>
  <c r="H8" i="28" s="1"/>
  <c r="H11" i="28" s="1"/>
  <c r="J6" i="28"/>
  <c r="J8" i="28" s="1"/>
  <c r="J11" i="28" s="1"/>
  <c r="I6" i="28"/>
  <c r="I8" i="28" s="1"/>
  <c r="I11" i="28" s="1"/>
  <c r="M6" i="28"/>
  <c r="M8" i="28" s="1"/>
  <c r="M11" i="28" s="1"/>
  <c r="K6" i="28"/>
  <c r="K8" i="28" s="1"/>
  <c r="K11" i="28" s="1"/>
  <c r="L6" i="28"/>
  <c r="L8" i="28" s="1"/>
  <c r="L11" i="28" s="1"/>
  <c r="D6" i="28" l="1"/>
  <c r="D8" i="28" l="1"/>
  <c r="D11" i="28" l="1"/>
  <c r="E6" i="28" l="1"/>
  <c r="E8" i="28" l="1"/>
  <c r="E11" i="28" l="1"/>
  <c r="F6" i="28" l="1"/>
  <c r="F8" i="28" l="1"/>
  <c r="F11" i="28" l="1"/>
  <c r="G6" i="28" l="1"/>
  <c r="G8" i="28" l="1"/>
  <c r="N6" i="28"/>
  <c r="R3" i="28" s="1"/>
  <c r="T3" i="28" l="1"/>
  <c r="R5" i="28"/>
  <c r="R6" i="28" s="1"/>
  <c r="G11" i="28"/>
  <c r="N8" i="28"/>
  <c r="O8" i="28" s="1"/>
  <c r="U3" i="28" l="1"/>
  <c r="U5" i="28" s="1"/>
  <c r="U6" i="28" s="1"/>
  <c r="T5" i="28"/>
  <c r="T6" i="28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6FFD838-40B0-4F19-8BD1-FB23CE985D88}" keepAlive="1" name="Consulta - Estados de Pago" description="Conexión a la consulta 'Estados de Pago' en el libro." type="5" refreshedVersion="8" background="1">
    <dbPr connection="Provider=Microsoft.Mashup.OleDb.1;Data Source=$Workbook$;Location=&quot;Estados de Pago&quot;;Extended Properties=&quot;&quot;" command="SELECT * FROM [Estados de Pago]"/>
  </connection>
  <connection id="2" xr16:uid="{8D8035A6-4B86-47D1-B972-D2E0D397DB10}" keepAlive="1" name="Consulta - Gasto_Admin" description="Conexión a la consulta 'Gasto_Admin' en el libro." type="5" refreshedVersion="0" background="1">
    <dbPr connection="Provider=Microsoft.Mashup.OleDb.1;Data Source=$Workbook$;Location=Gasto_Admin;Extended Properties=&quot;&quot;" command="SELECT * FROM [Gasto_Admin]"/>
  </connection>
  <connection id="3" xr16:uid="{E2248529-F52E-4941-9711-754D7398D362}" keepAlive="1" name="Consulta - Gasto_Comercial" description="Conexión a la consulta 'Gasto_Comercial' en el libro." type="5" refreshedVersion="0" background="1">
    <dbPr connection="Provider=Microsoft.Mashup.OleDb.1;Data Source=$Workbook$;Location=Gasto_Comercial;Extended Properties=&quot;&quot;" command="SELECT * FROM [Gasto_Comercial]"/>
  </connection>
  <connection id="4" xr16:uid="{08365A6D-AD8D-4E21-BE30-1571A245896F}" keepAlive="1" name="Consulta - Gasto_ExtraSueldos" description="Conexión a la consulta 'Gasto_ExtraSueldos' en el libro." type="5" refreshedVersion="0" background="1">
    <dbPr connection="Provider=Microsoft.Mashup.OleDb.1;Data Source=$Workbook$;Location=Gasto_ExtraSueldos;Extended Properties=&quot;&quot;" command="SELECT * FROM [Gasto_ExtraSueldos]"/>
  </connection>
  <connection id="5" xr16:uid="{19FF767E-E68C-47A0-A0E6-BC225D99A43E}" keepAlive="1" name="Consulta - Gasto_Geomecanica" description="Conexión a la consulta 'Gasto_Geomecanica' en el libro." type="5" refreshedVersion="0" background="1">
    <dbPr connection="Provider=Microsoft.Mashup.OleDb.1;Data Source=$Workbook$;Location=Gasto_Geomecanica;Extended Properties=&quot;&quot;" command="SELECT * FROM [Gasto_Geomecanica]"/>
  </connection>
  <connection id="6" xr16:uid="{901891D9-0233-4C1F-97C5-A389602E59DE}" keepAlive="1" name="Consulta - Gasto_RRHH" description="Conexión a la consulta 'Gasto_RRHH' en el libro." type="5" refreshedVersion="0" background="1">
    <dbPr connection="Provider=Microsoft.Mashup.OleDb.1;Data Source=$Workbook$;Location=Gasto_RRHH;Extended Properties=&quot;&quot;" command="SELECT * FROM [Gasto_RRHH]"/>
  </connection>
  <connection id="7" xr16:uid="{EB39842C-7DA2-47B4-8928-5EABE5772FF8}" keepAlive="1" name="Consulta - Gasto_SSTT" description="Conexión a la consulta 'Gasto_SSTT' en el libro." type="5" refreshedVersion="0" background="1">
    <dbPr connection="Provider=Microsoft.Mashup.OleDb.1;Data Source=$Workbook$;Location=Gasto_SSTT;Extended Properties=&quot;&quot;" command="SELECT * FROM [Gasto_SSTT]"/>
  </connection>
  <connection id="8" xr16:uid="{CC040833-0188-4681-B5E0-6496656CD1EC}" keepAlive="1" name="Consulta - Gasto_Sueldos" description="Conexión a la consulta 'Gasto_Sueldos' en el libro." type="5" refreshedVersion="8" background="1" saveData="1">
    <dbPr connection="Provider=Microsoft.Mashup.OleDb.1;Data Source=$Workbook$;Location=Gasto_Sueldos;Extended Properties=&quot;&quot;" command="SELECT * FROM [Gasto_Sueldos]"/>
  </connection>
  <connection id="9" xr16:uid="{D1592412-2F0C-41A6-83C8-8B5A0810740B}" keepAlive="1" name="Consulta - Gastos_Varios" description="Conexión a la consulta 'Gastos_Varios' en el libro." type="5" refreshedVersion="0" background="1">
    <dbPr connection="Provider=Microsoft.Mashup.OleDb.1;Data Source=$Workbook$;Location=Gastos_Varios;Extended Properties=&quot;&quot;" command="SELECT * FROM [Gastos_Varios]"/>
  </connection>
  <connection id="10" xr16:uid="{B417F68F-6F34-41C9-8054-86EF1A769050}" keepAlive="1" name="Consulta - Presupuesto2026" description="Conexión a la consulta 'Presupuesto2026' en el libro." type="5" refreshedVersion="8" background="1">
    <dbPr connection="Provider=Microsoft.Mashup.OleDb.1;Data Source=$Workbook$;Location=Presupuesto2026;Extended Properties=&quot;&quot;" command="SELECT * FROM [Presupuesto2026]"/>
  </connection>
</connections>
</file>

<file path=xl/sharedStrings.xml><?xml version="1.0" encoding="utf-8"?>
<sst xmlns="http://schemas.openxmlformats.org/spreadsheetml/2006/main" count="4555" uniqueCount="719">
  <si>
    <t>Categoría</t>
  </si>
  <si>
    <t>Concepto</t>
  </si>
  <si>
    <t>Descripción</t>
  </si>
  <si>
    <t>Tipo (Directo/Indirecto)</t>
  </si>
  <si>
    <t>Unidad de medida</t>
  </si>
  <si>
    <t>Viajes_Movilización</t>
  </si>
  <si>
    <t>Alojamiento_Alimentación</t>
  </si>
  <si>
    <t>Personal_Honorarios</t>
  </si>
  <si>
    <t>Equipos_Tecnología</t>
  </si>
  <si>
    <t>Oficina_ServiciosBásicos</t>
  </si>
  <si>
    <t>Administración</t>
  </si>
  <si>
    <t>GastosProyecto</t>
  </si>
  <si>
    <t>Financieros</t>
  </si>
  <si>
    <t>Impuestos_Obligaciones</t>
  </si>
  <si>
    <t>OtrosGastos</t>
  </si>
  <si>
    <t>Viajes y Movilización</t>
  </si>
  <si>
    <t>Pasajes aéreos nacionales</t>
  </si>
  <si>
    <t>Boletos de avión para viajes dentro del país</t>
  </si>
  <si>
    <t>Directo</t>
  </si>
  <si>
    <t>Viaje</t>
  </si>
  <si>
    <t>Hospedaje</t>
  </si>
  <si>
    <t>Sueldo Ingeniero Senior</t>
  </si>
  <si>
    <t>Compra de notebooks</t>
  </si>
  <si>
    <t>Arriendo de oficina</t>
  </si>
  <si>
    <t>Servicios contables</t>
  </si>
  <si>
    <t>Impresión de informes</t>
  </si>
  <si>
    <t>Intereses bancarios</t>
  </si>
  <si>
    <t>IVA no recuperable</t>
  </si>
  <si>
    <t>Donaciones</t>
  </si>
  <si>
    <t>Pasajes aéreos internacionales</t>
  </si>
  <si>
    <t>Boletos de avión para viajes al extranjero</t>
  </si>
  <si>
    <t>Alimentación</t>
  </si>
  <si>
    <t>Sueldo Ingeniero Junior</t>
  </si>
  <si>
    <t>Compra de software</t>
  </si>
  <si>
    <t>Electricidad</t>
  </si>
  <si>
    <t>Asesoría legal</t>
  </si>
  <si>
    <t>Traducción técnica</t>
  </si>
  <si>
    <t>Comisiones bancarias</t>
  </si>
  <si>
    <t>Patente municipal</t>
  </si>
  <si>
    <t>Multas</t>
  </si>
  <si>
    <t>Arriendo de vehículo</t>
  </si>
  <si>
    <t>Renta temporal de automóviles o camionetas</t>
  </si>
  <si>
    <t>Día</t>
  </si>
  <si>
    <t>Reuniones con clientes</t>
  </si>
  <si>
    <t>Consultor externo</t>
  </si>
  <si>
    <t>Compra de Licencia</t>
  </si>
  <si>
    <t>Internet y telefonía</t>
  </si>
  <si>
    <t>Capacitación</t>
  </si>
  <si>
    <t>Carga en portales</t>
  </si>
  <si>
    <t>Diferencias de cambio</t>
  </si>
  <si>
    <t>Retenciones de impuestos</t>
  </si>
  <si>
    <t>Pérdidas por incobrables</t>
  </si>
  <si>
    <t>Combustible</t>
  </si>
  <si>
    <t>Gasto en gasolina o diésel para movilización</t>
  </si>
  <si>
    <t>Litro</t>
  </si>
  <si>
    <t>Coffee break y refrigerios</t>
  </si>
  <si>
    <t>Cargas sociales</t>
  </si>
  <si>
    <t>Licencia Microsoft 365</t>
  </si>
  <si>
    <t>Papelería</t>
  </si>
  <si>
    <t>Seguros generales</t>
  </si>
  <si>
    <t>Compra de datos externos</t>
  </si>
  <si>
    <t>Otro</t>
  </si>
  <si>
    <t>Viáticos</t>
  </si>
  <si>
    <t>Asignación diaria para alimentación y transporte local</t>
  </si>
  <si>
    <t>Bonos por desempeño</t>
  </si>
  <si>
    <t>Suscripción nube</t>
  </si>
  <si>
    <t>Aseo y limpieza</t>
  </si>
  <si>
    <t>Marketing y comunicaciones</t>
  </si>
  <si>
    <t>Consultor / servicio externo</t>
  </si>
  <si>
    <t>Peajes y estacionamientos</t>
  </si>
  <si>
    <t>Pagos por uso de carreteras o estacionamientos</t>
  </si>
  <si>
    <t>Evento</t>
  </si>
  <si>
    <t>Mantenimiento TI</t>
  </si>
  <si>
    <t>Seguro de viaje</t>
  </si>
  <si>
    <t>Cobertura médica o de accidentes durante viajes</t>
  </si>
  <si>
    <t>Póliza</t>
  </si>
  <si>
    <t>Alojamiento y Alimentación</t>
  </si>
  <si>
    <t>Gastos de hotel o alojamiento temporal</t>
  </si>
  <si>
    <t>Noche</t>
  </si>
  <si>
    <t>Comidas diarias (desayuno, almuerzo, cena)</t>
  </si>
  <si>
    <t>Almuerzos o cenas de trabajo con clientes</t>
  </si>
  <si>
    <t>Indirecto</t>
  </si>
  <si>
    <t>Servicios de alimentación en talleres o capacitaciones</t>
  </si>
  <si>
    <t>Personal y Honorarios</t>
  </si>
  <si>
    <t>Remuneración mensual de ingeniero senior</t>
  </si>
  <si>
    <t>Mes</t>
  </si>
  <si>
    <t>Remuneración mensual de ingeniero junior</t>
  </si>
  <si>
    <t>Honorario por servicios profesionales contratados</t>
  </si>
  <si>
    <t>Proyecto</t>
  </si>
  <si>
    <t>Aportes previsionales, salud y seguros</t>
  </si>
  <si>
    <t>Incentivos por cumplimiento de hitos</t>
  </si>
  <si>
    <t>Equipos y Tecnología</t>
  </si>
  <si>
    <t>Adquisición de equipos de trabajo</t>
  </si>
  <si>
    <t>Unidad</t>
  </si>
  <si>
    <t>Adquisición de software de trabajo</t>
  </si>
  <si>
    <t>Software especializado en minería</t>
  </si>
  <si>
    <t>Año</t>
  </si>
  <si>
    <t>Herramientas de oficina y colaboración</t>
  </si>
  <si>
    <t>Servicios de almacenamiento (Google Drive, OneDrive)</t>
  </si>
  <si>
    <t>Soporte y reparación de equipos informáticos</t>
  </si>
  <si>
    <t>Oficina y Servicios Básicos</t>
  </si>
  <si>
    <t>Pago mensual de arriendo de instalaciones</t>
  </si>
  <si>
    <t>Consumo eléctrico de las oficinas</t>
  </si>
  <si>
    <t>Servicios de conectividad y comunicación</t>
  </si>
  <si>
    <t>Materiales e insumos de oficina</t>
  </si>
  <si>
    <t>Servicios de mantención y aseo</t>
  </si>
  <si>
    <t>Administración y Gestión</t>
  </si>
  <si>
    <t>Asesoría contable y tributaria externa</t>
  </si>
  <si>
    <t>Revisión de contratos y asesoría jurídica</t>
  </si>
  <si>
    <t>Cursos y formación técnica del personal</t>
  </si>
  <si>
    <t>Coberturas de responsabilidad civil y accidentes</t>
  </si>
  <si>
    <t>Publicidad, sitio web, redes sociales</t>
  </si>
  <si>
    <t>Gastos de Proyecto</t>
  </si>
  <si>
    <t>Impresión y encuadernación de entregables</t>
  </si>
  <si>
    <t>Traducción profesional de informes o documentos</t>
  </si>
  <si>
    <t>Publicación de documentos en plataformas de clientes</t>
  </si>
  <si>
    <t>Compra de información geológica, topográfica, etc.</t>
  </si>
  <si>
    <t>Intereses por préstamos o líneas de crédito</t>
  </si>
  <si>
    <t>Comisiones por transferencias o factorización</t>
  </si>
  <si>
    <t>Ajustes por variaciones en el tipo de cambio</t>
  </si>
  <si>
    <t>Impuestos y Obligaciones</t>
  </si>
  <si>
    <t>Impuesto al valor agregado no acreditable</t>
  </si>
  <si>
    <t>Pago de patente y permisos comerciales</t>
  </si>
  <si>
    <t>Retención de impuestos a consultores externos</t>
  </si>
  <si>
    <t>Otros Gastos</t>
  </si>
  <si>
    <t>Aportes o contribuciones a entidades externas</t>
  </si>
  <si>
    <t>Multas o sanciones administrativas</t>
  </si>
  <si>
    <t>Facturas no cobradas o castigadas</t>
  </si>
  <si>
    <t>RESPONSABLE</t>
  </si>
  <si>
    <t>AREA</t>
  </si>
  <si>
    <t>Origen Gasto</t>
  </si>
  <si>
    <t>Alan Fraser</t>
  </si>
  <si>
    <t>Comercial</t>
  </si>
  <si>
    <t>Chile</t>
  </si>
  <si>
    <t>Isabel Marchant</t>
  </si>
  <si>
    <t>Perú</t>
  </si>
  <si>
    <t>Cinthia Moreno</t>
  </si>
  <si>
    <t>RRHH</t>
  </si>
  <si>
    <t>Brasil</t>
  </si>
  <si>
    <t>Ricardo Miranda</t>
  </si>
  <si>
    <t>SSTT / Gestión</t>
  </si>
  <si>
    <t>USA</t>
  </si>
  <si>
    <t>Matías Fuentes</t>
  </si>
  <si>
    <t>Ingeniería REDCO</t>
  </si>
  <si>
    <t>Rusia</t>
  </si>
  <si>
    <t>Juan Fco. San Martín</t>
  </si>
  <si>
    <t>Ingeniería R+</t>
  </si>
  <si>
    <t>Claudio Hernández</t>
  </si>
  <si>
    <t>Ingeniería Geomecánica</t>
  </si>
  <si>
    <t>PREMISAS ECONOMICAS</t>
  </si>
  <si>
    <t>TC</t>
  </si>
  <si>
    <t>Valor</t>
  </si>
  <si>
    <t>Respaldo</t>
  </si>
  <si>
    <t>País</t>
  </si>
  <si>
    <t>CLP/USD</t>
  </si>
  <si>
    <t>Link</t>
  </si>
  <si>
    <t>BR/USD</t>
  </si>
  <si>
    <t>PEN/USD</t>
  </si>
  <si>
    <t>Viajes</t>
  </si>
  <si>
    <t>Alojamiento</t>
  </si>
  <si>
    <t>Personal</t>
  </si>
  <si>
    <t>Tecnología</t>
  </si>
  <si>
    <t>ServiciosBásicos</t>
  </si>
  <si>
    <t>Impuestos</t>
  </si>
  <si>
    <t>CapEx</t>
  </si>
  <si>
    <t>Ingreso_Operacional</t>
  </si>
  <si>
    <t>Pasajes nacionales</t>
  </si>
  <si>
    <t>Notebooks</t>
  </si>
  <si>
    <t>Asesoría contable</t>
  </si>
  <si>
    <t>Inversión</t>
  </si>
  <si>
    <t>REDCO</t>
  </si>
  <si>
    <t>Pasajes internacionales</t>
  </si>
  <si>
    <t>Software</t>
  </si>
  <si>
    <t>Adyacencia</t>
  </si>
  <si>
    <t>Ferias</t>
  </si>
  <si>
    <t>R+</t>
  </si>
  <si>
    <t>Vehículo</t>
  </si>
  <si>
    <t>Coffee break</t>
  </si>
  <si>
    <t>Asesoría tributaria</t>
  </si>
  <si>
    <t>Otros</t>
  </si>
  <si>
    <t>Geomecánica</t>
  </si>
  <si>
    <t>Suscripciones</t>
  </si>
  <si>
    <t>Asesoría informática</t>
  </si>
  <si>
    <t>Celebraciones</t>
  </si>
  <si>
    <t>Mantención y reperación</t>
  </si>
  <si>
    <t>Paseo</t>
  </si>
  <si>
    <t>Vacunas</t>
  </si>
  <si>
    <t>Arriendos y gastos comunes</t>
  </si>
  <si>
    <t>Seguros</t>
  </si>
  <si>
    <t>Utiles y arts. oficina</t>
  </si>
  <si>
    <t>Exámenes</t>
  </si>
  <si>
    <t>Examenes Preocupacionales</t>
  </si>
  <si>
    <t>Gastos camionetas</t>
  </si>
  <si>
    <t>Gastos notariales</t>
  </si>
  <si>
    <t>Gastos generales</t>
  </si>
  <si>
    <t>Gastos bancarios</t>
  </si>
  <si>
    <t xml:space="preserve"> </t>
  </si>
  <si>
    <t>Petente comercial</t>
  </si>
  <si>
    <t>Servicio backoffice</t>
  </si>
  <si>
    <t>Contribuciones</t>
  </si>
  <si>
    <t>Permiso circulación</t>
  </si>
  <si>
    <t>Plataforma proveedores</t>
  </si>
  <si>
    <t>Servicio de transporte</t>
  </si>
  <si>
    <t>Impto. adicional (extranjero)</t>
  </si>
  <si>
    <t>Gastos viajes director-gcia.</t>
  </si>
  <si>
    <t>PRESUPUESTO 2026</t>
  </si>
  <si>
    <t>Gasto USD</t>
  </si>
  <si>
    <t>Responsable</t>
  </si>
  <si>
    <t>#</t>
  </si>
  <si>
    <t>Proceso</t>
  </si>
  <si>
    <t>Categoría Gasto</t>
  </si>
  <si>
    <t>Detalle del Gasto</t>
  </si>
  <si>
    <t>ene-26</t>
  </si>
  <si>
    <t>feb-26</t>
  </si>
  <si>
    <t>mar-26</t>
  </si>
  <si>
    <t>abr-26</t>
  </si>
  <si>
    <t>may-26</t>
  </si>
  <si>
    <t>jun-26</t>
  </si>
  <si>
    <t>jul-26</t>
  </si>
  <si>
    <t>ago-26</t>
  </si>
  <si>
    <t>sept-26</t>
  </si>
  <si>
    <t>oct-26</t>
  </si>
  <si>
    <t>nov-26</t>
  </si>
  <si>
    <t>dic-26</t>
  </si>
  <si>
    <t>Legal prisma Limitada</t>
  </si>
  <si>
    <t>Salcedo &amp; Cía Limitada</t>
  </si>
  <si>
    <t>Arriendo of.1502, mas gtos.comunes of.1502 -1302-1304</t>
  </si>
  <si>
    <t>Resmas, toners, archivadores, carpetas, etc</t>
  </si>
  <si>
    <t>ENEL conusmo oficinas 1304-1302-1502</t>
  </si>
  <si>
    <t>Serv, PCS, red fija, internet</t>
  </si>
  <si>
    <t>Peajes, seguros, combustible</t>
  </si>
  <si>
    <t>Legalziación documentos, poderes</t>
  </si>
  <si>
    <t>Gtos. viajes unidades negocio Redco</t>
  </si>
  <si>
    <t>Comisión, seguro, comercio exterior</t>
  </si>
  <si>
    <t>Patente 1er y  2do semestre</t>
  </si>
  <si>
    <t>Arts. limpieza  y aseo ofs. 1303-1304-1502</t>
  </si>
  <si>
    <t>Rep. electricas, baños, cocina</t>
  </si>
  <si>
    <t>Redcross Servicio Backoffice</t>
  </si>
  <si>
    <t>Gastos financieros</t>
  </si>
  <si>
    <t>Interses hipotecario of.1302,1304</t>
  </si>
  <si>
    <t xml:space="preserve">Uso licencia Defontana-Geovictoria- ATX </t>
  </si>
  <si>
    <t>Oficinas 1302 y 1304</t>
  </si>
  <si>
    <t>Ingeniería</t>
  </si>
  <si>
    <t>Gtos. restaurant, taxi,  otros</t>
  </si>
  <si>
    <t xml:space="preserve">Patentes camionetas </t>
  </si>
  <si>
    <t>Seguros camioneta</t>
  </si>
  <si>
    <t>Sap Ariba-Regis.C.Comercio-Chile Proveedores</t>
  </si>
  <si>
    <t>Servicio telefónia</t>
  </si>
  <si>
    <t>Arriendo of. administración</t>
  </si>
  <si>
    <t>Servicio asesoría legal</t>
  </si>
  <si>
    <t>Servicio Contable</t>
  </si>
  <si>
    <t>Estadia viajes desde Chile</t>
  </si>
  <si>
    <t>Transporte</t>
  </si>
  <si>
    <t>Sofware (Defontana)</t>
  </si>
  <si>
    <t>Servicios contable</t>
  </si>
  <si>
    <t>Tarifas Bancarias</t>
  </si>
  <si>
    <t>Serv, Informática</t>
  </si>
  <si>
    <t>Tasas Municipal</t>
  </si>
  <si>
    <t>Abogados-cuotas procesos</t>
  </si>
  <si>
    <t>Gtos. arriendo casa A.Figueroa</t>
  </si>
  <si>
    <t>Abogado BFA A. Figueroa</t>
  </si>
  <si>
    <t>Pasajes Alex Figueroa</t>
  </si>
  <si>
    <t>Otros gastos</t>
  </si>
  <si>
    <t>IBRAM mensualidades</t>
  </si>
  <si>
    <t>Termino implementacion DEFONTANA</t>
  </si>
  <si>
    <t>Gasto(s) a ejecutar una sola vez</t>
  </si>
  <si>
    <t>Of Centro de monitoreo</t>
  </si>
  <si>
    <t>Arriendo of. extra caso $12.5M</t>
  </si>
  <si>
    <t>Gastos comunes caso $12.5M</t>
  </si>
  <si>
    <t>Arts. limpieza  y aseo caso $12,5M</t>
  </si>
  <si>
    <t>Arts. oficina caso $12,5M</t>
  </si>
  <si>
    <t>ENEL conusmo oficina caso $12,5M</t>
  </si>
  <si>
    <t>SME MINEXCHANGE</t>
  </si>
  <si>
    <t>PDAC</t>
  </si>
  <si>
    <t>CESCO Dinner</t>
  </si>
  <si>
    <t>CIM Connect</t>
  </si>
  <si>
    <t>Expo San Juan Minera</t>
  </si>
  <si>
    <t>World Mining Congress</t>
  </si>
  <si>
    <t>CAVING</t>
  </si>
  <si>
    <t>Exposibram</t>
  </si>
  <si>
    <t>FEXMIN</t>
  </si>
  <si>
    <t>Slope Stability</t>
  </si>
  <si>
    <t>Congreso Anual IIMCh</t>
  </si>
  <si>
    <t>MRMR</t>
  </si>
  <si>
    <t>Minexcellence</t>
  </si>
  <si>
    <t>Resourcing Tomorrow</t>
  </si>
  <si>
    <t>SME MINEXCHANGE 2027</t>
  </si>
  <si>
    <t>CESCO Dinner 2027</t>
  </si>
  <si>
    <t>Exposibram 2027</t>
  </si>
  <si>
    <t>Perumin 2027</t>
  </si>
  <si>
    <t>Realización video comercial</t>
  </si>
  <si>
    <t>Artículo Revista Minería Chilena (x2)</t>
  </si>
  <si>
    <t>Artículo Diario Financiero (x1)</t>
  </si>
  <si>
    <t>Cámara Chileno Peruana</t>
  </si>
  <si>
    <t>Cámara Chileno Británica</t>
  </si>
  <si>
    <t>Cámara Chileno Canadiense</t>
  </si>
  <si>
    <t>Papelería para Ferias</t>
  </si>
  <si>
    <t>Renovación Softwares de Edición (CANVA, Adobe, Hubspot)</t>
  </si>
  <si>
    <t>Viajes Alan Fraser (Latam x10)</t>
  </si>
  <si>
    <t>Reuniones Alan Fraser</t>
  </si>
  <si>
    <t>Viajes Alan Fraser (Antofagasta, Copiapó, La Serena)</t>
  </si>
  <si>
    <t>Viajes Alan Fraser (UK x1)</t>
  </si>
  <si>
    <t xml:space="preserve">3 viajes a Rusia de equipo técnico </t>
  </si>
  <si>
    <t>Box de Ingresos</t>
  </si>
  <si>
    <t>Merchandizing (cuadernos, lapices, lanyerds)</t>
  </si>
  <si>
    <t>Merchandizing (tarjetas, pines, galvanos, calendarios)</t>
  </si>
  <si>
    <t>Vestimenta (camisas, poleras, polar)</t>
  </si>
  <si>
    <t>Mochilas</t>
  </si>
  <si>
    <t>Actividad fin de año</t>
  </si>
  <si>
    <t>Gift Card navidad</t>
  </si>
  <si>
    <t>Fundación Choshuenco</t>
  </si>
  <si>
    <t>Cumpleaños</t>
  </si>
  <si>
    <t>Articulos de oficina , aseo  y kitchen</t>
  </si>
  <si>
    <t xml:space="preserve">Examenes Preocupacionales </t>
  </si>
  <si>
    <t>Vacunas Influenza</t>
  </si>
  <si>
    <t>Vacunas (extraordinarias por seguridad de salud)</t>
  </si>
  <si>
    <t>Gestión</t>
  </si>
  <si>
    <t>ERP Aurora</t>
  </si>
  <si>
    <t>Power BI (6)</t>
  </si>
  <si>
    <t>Project (3)</t>
  </si>
  <si>
    <t>Servicios especialistas externos: Geofisica, Geoquimica, Geoestructural</t>
  </si>
  <si>
    <t>Servicios especialistas externos: Metalurgia y Procesos</t>
  </si>
  <si>
    <t>Servicios especialistas externos: Internacionales (USA)</t>
  </si>
  <si>
    <t>Servicios especialistas externos: Planos</t>
  </si>
  <si>
    <t>Servicios especialistas externos: Traductores (Rusia)</t>
  </si>
  <si>
    <t>Servicios especialistas externos: Traductores (Brasil)</t>
  </si>
  <si>
    <t>Servicios especialistas externos: Hidrogeologo</t>
  </si>
  <si>
    <t>Servicios especialistas externos: IMS</t>
  </si>
  <si>
    <t>Servicios especialistas externos: Ingenieria Civil estructural</t>
  </si>
  <si>
    <t>Servicios especialistas externos: Automatización Seligdar</t>
  </si>
  <si>
    <t>Instituto de diseño (SPB-Hyproshacht )</t>
  </si>
  <si>
    <t>Visita comercial a cliente / Geomecánica</t>
  </si>
  <si>
    <t>Servidores (2x)  / Geomecánica</t>
  </si>
  <si>
    <t>Renovación equipos (x3) / Geomecánica</t>
  </si>
  <si>
    <t>Software FLAC 3D (1x) / Geomecánica</t>
  </si>
  <si>
    <t>Software RS3 (x2) / Geomecánica</t>
  </si>
  <si>
    <t>Software Rocscience 2026 (x6) / Geomecánica</t>
  </si>
  <si>
    <t>LeapFrog(x1) / Geomecánica</t>
  </si>
  <si>
    <t>Software SBLock (x1) / Geomecánica</t>
  </si>
  <si>
    <t>Desarrollo Gestión de Peligro Sísmico (C.Cáceres/Memorista)</t>
  </si>
  <si>
    <t>Talleres de alineamiento equipo geomecánico</t>
  </si>
  <si>
    <t>Capacitaciones externas / Geomecánica</t>
  </si>
  <si>
    <t>Desarrollo Gestión de Pasivos / Geomecánica</t>
  </si>
  <si>
    <t>PCBC - Dassault Systems</t>
  </si>
  <si>
    <t>DBS</t>
  </si>
  <si>
    <t>PCBC - Dassault Systems (alternativo)</t>
  </si>
  <si>
    <t>Simulación UG - OP Alternativos</t>
  </si>
  <si>
    <t>IA (Plataforma REDCO + ChatGPT + Repplit)</t>
  </si>
  <si>
    <t>Capacitaciones externas técnicas (software minero)</t>
  </si>
  <si>
    <t>Capacitaciones externas técnicas (simuladores)</t>
  </si>
  <si>
    <t>Teams Pro + Plataformas de diseño PPT</t>
  </si>
  <si>
    <t>Herramientas de simulación metalurgica</t>
  </si>
  <si>
    <t>Ventsim</t>
  </si>
  <si>
    <t>Energía Eléctrica (alternativo)</t>
  </si>
  <si>
    <t>Pumpsim</t>
  </si>
  <si>
    <t>Reemplazo de Notebooks</t>
  </si>
  <si>
    <t>Remuneración</t>
  </si>
  <si>
    <t>Sueldo</t>
  </si>
  <si>
    <t>Patricio Vergara</t>
  </si>
  <si>
    <t>Juan Francisco San Martín</t>
  </si>
  <si>
    <t>Felipe Hidalgo</t>
  </si>
  <si>
    <t>Renán Argandoña</t>
  </si>
  <si>
    <t>Eugenio Santander</t>
  </si>
  <si>
    <t>Matías Fuentes B.</t>
  </si>
  <si>
    <t>Carolina Arcos</t>
  </si>
  <si>
    <t>Alex Figueroa</t>
  </si>
  <si>
    <t>Eduardo Morales</t>
  </si>
  <si>
    <t>Emilio Sánchez</t>
  </si>
  <si>
    <t>Gonzalo Díaz</t>
  </si>
  <si>
    <t>Rodrigo Báez</t>
  </si>
  <si>
    <t>Pablo Quiero</t>
  </si>
  <si>
    <t>Gerson Alfaro</t>
  </si>
  <si>
    <t>Jorman Barrera</t>
  </si>
  <si>
    <t>Sarah Bull</t>
  </si>
  <si>
    <t>Germán Soto</t>
  </si>
  <si>
    <t>Álvaro Soto Galaz</t>
  </si>
  <si>
    <t>Olesya Dashavskaya</t>
  </si>
  <si>
    <t>Nicélio José dos Santos</t>
  </si>
  <si>
    <t>Felipe Lira A.</t>
  </si>
  <si>
    <t>Nicolás Ayarza D.</t>
  </si>
  <si>
    <t>Juan Luis Pizarro</t>
  </si>
  <si>
    <t>Ignacio Navarrete</t>
  </si>
  <si>
    <t>Erick Sanhueza Correa</t>
  </si>
  <si>
    <t>Diego Muñoz</t>
  </si>
  <si>
    <t>Daniela Oyarzo E.</t>
  </si>
  <si>
    <t>Gabriel Ojeda</t>
  </si>
  <si>
    <t>Eduardo Cuevas</t>
  </si>
  <si>
    <t>Anaís Ramírez</t>
  </si>
  <si>
    <t>Fabián Parra</t>
  </si>
  <si>
    <t>Eduardo Lama</t>
  </si>
  <si>
    <t>Carlos Catalán</t>
  </si>
  <si>
    <t>Rodrigo Andrae</t>
  </si>
  <si>
    <t>Director de Proyecto</t>
  </si>
  <si>
    <t>Kevin Rios</t>
  </si>
  <si>
    <t>Cristián Alarcón</t>
  </si>
  <si>
    <t>Antonio Schettino</t>
  </si>
  <si>
    <t>Enzo Ruíz Romo</t>
  </si>
  <si>
    <t>Edward Torres</t>
  </si>
  <si>
    <t xml:space="preserve">Nicolás Díaz </t>
  </si>
  <si>
    <t>Martin Robles</t>
  </si>
  <si>
    <t>Luis Flores</t>
  </si>
  <si>
    <t>Nicolás Sanzana</t>
  </si>
  <si>
    <t>Victor Arias</t>
  </si>
  <si>
    <t>Branco Ignacio Campos</t>
  </si>
  <si>
    <t>Eduardo Cepeda</t>
  </si>
  <si>
    <t>Alex Pacheco C.</t>
  </si>
  <si>
    <t>Víctor Mohana Tapia</t>
  </si>
  <si>
    <t>Walter Lupinta</t>
  </si>
  <si>
    <t>José Pizarro</t>
  </si>
  <si>
    <t>Cristóbal Poblete</t>
  </si>
  <si>
    <t>Gersson Rivera</t>
  </si>
  <si>
    <t>Isidora Figueroa</t>
  </si>
  <si>
    <t>Matías Gallardo Zapata</t>
  </si>
  <si>
    <t>María Célia P. Fonseca</t>
  </si>
  <si>
    <t>Álvaro Cuevas Pradenas</t>
  </si>
  <si>
    <t>Magaly Esquivel</t>
  </si>
  <si>
    <t>Martín Figueroa</t>
  </si>
  <si>
    <t>Alejandra Montalván Aratia</t>
  </si>
  <si>
    <t>Vicente Alberto Jiménez</t>
  </si>
  <si>
    <t>Gino Espinoza</t>
  </si>
  <si>
    <t>Valentina Ramos Olivera</t>
  </si>
  <si>
    <t>Benjamín Baeza</t>
  </si>
  <si>
    <t>Javier Salazar</t>
  </si>
  <si>
    <t>Ignacia Álvarez</t>
  </si>
  <si>
    <t>Matías Nicolás Guerrero</t>
  </si>
  <si>
    <t>Arnold Tadeo</t>
  </si>
  <si>
    <t>Ignacio Aguayo</t>
  </si>
  <si>
    <t>Joseph Livia</t>
  </si>
  <si>
    <t>Jhonatan Huaynate</t>
  </si>
  <si>
    <t>Cristóbal Ventura</t>
  </si>
  <si>
    <t>Angelo Alejandro Patri Carbajal</t>
  </si>
  <si>
    <t>Alex Remolcoy Guenteo</t>
  </si>
  <si>
    <t>Luiz Chumpitaz</t>
  </si>
  <si>
    <t>Gladys Myriam Muñoz</t>
  </si>
  <si>
    <t>Mateo Villanueva</t>
  </si>
  <si>
    <t>Pedro Aguiluz</t>
  </si>
  <si>
    <t>Maria Huaman</t>
  </si>
  <si>
    <t>Karina Barrera (servicio contable)</t>
  </si>
  <si>
    <t>Francisco Hizo</t>
  </si>
  <si>
    <t>Miguel Cuadros</t>
  </si>
  <si>
    <t>Nicolas Diaz Ramos</t>
  </si>
  <si>
    <t>Sandra Salazar (Reemplazo Gladys)</t>
  </si>
  <si>
    <t>Felipe Matamoros</t>
  </si>
  <si>
    <t>Practicante 1</t>
  </si>
  <si>
    <t>Gonzalo Parada</t>
  </si>
  <si>
    <t>Control de gestión/Project</t>
  </si>
  <si>
    <t>Victor Pacheco</t>
  </si>
  <si>
    <t>Jefe de Proyecto 1</t>
  </si>
  <si>
    <t>Jefe de Proyecto 2</t>
  </si>
  <si>
    <t>Jefe de Proyecto 3</t>
  </si>
  <si>
    <t>Ingeniero 1</t>
  </si>
  <si>
    <t>Ingeniero 2</t>
  </si>
  <si>
    <t>Ingeniero 3</t>
  </si>
  <si>
    <t>Ingeniero 4</t>
  </si>
  <si>
    <t>Ingeniero 5</t>
  </si>
  <si>
    <t>Ingeniero 6</t>
  </si>
  <si>
    <t>Ingeniero 7</t>
  </si>
  <si>
    <t>Ingeniero 8</t>
  </si>
  <si>
    <t>Ingeniero 9</t>
  </si>
  <si>
    <t>Ingeniero 10</t>
  </si>
  <si>
    <t>Ingeniero 11</t>
  </si>
  <si>
    <t>Ingeniero 12</t>
  </si>
  <si>
    <t>Ingeniero 13</t>
  </si>
  <si>
    <t>Ingeniero 14</t>
  </si>
  <si>
    <t>Ingeniero 15</t>
  </si>
  <si>
    <t>Ingeniero 16</t>
  </si>
  <si>
    <t>Ingeniero 17</t>
  </si>
  <si>
    <t>Ítem</t>
  </si>
  <si>
    <t>Total</t>
  </si>
  <si>
    <t>(Excluye gerencia&amp;Sara)</t>
  </si>
  <si>
    <t>ing&amp;Geo</t>
  </si>
  <si>
    <t>G&amp;A</t>
  </si>
  <si>
    <t>Operaciones</t>
  </si>
  <si>
    <t>Considerando como parte de la dotación a PV, SB, MF, JFSM, CH y FH</t>
  </si>
  <si>
    <t>Beneficios</t>
  </si>
  <si>
    <t>Bonos</t>
  </si>
  <si>
    <t>Bonos desempeño año anterior</t>
  </si>
  <si>
    <t>Aguinaldo</t>
  </si>
  <si>
    <t>Comisiones</t>
  </si>
  <si>
    <t>Rol II</t>
  </si>
  <si>
    <t>Gerente</t>
  </si>
  <si>
    <t>Jefe de Proyecto</t>
  </si>
  <si>
    <t>Ingeniero</t>
  </si>
  <si>
    <t>Dot ppto actual</t>
  </si>
  <si>
    <t>Director (Gerente Técnico)</t>
  </si>
  <si>
    <t>jefe de proyecto</t>
  </si>
  <si>
    <t>Dot estimada</t>
  </si>
  <si>
    <t>Dif. Gerencia</t>
  </si>
  <si>
    <t>Dif. Jefes de Proyectos</t>
  </si>
  <si>
    <t>Dif. Ingeniero</t>
  </si>
  <si>
    <t>Caso $12,5MUSD</t>
  </si>
  <si>
    <t># Diferencia</t>
  </si>
  <si>
    <t>Modulo Tipico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</si>
  <si>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</si>
  <si>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</si>
  <si>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</si>
  <si>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</si>
  <si>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</si>
  <si>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</si>
  <si>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</si>
  <si>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</si>
  <si>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</si>
  <si>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</si>
  <si>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</si>
  <si>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</si>
  <si>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Director</t>
  </si>
  <si>
    <t>Ingeniero Principal</t>
  </si>
  <si>
    <t>Ingeniero Minas</t>
  </si>
  <si>
    <t>Nombre de profesional</t>
  </si>
  <si>
    <t>Cargo</t>
  </si>
  <si>
    <t>Rol</t>
  </si>
  <si>
    <t>Country Manager</t>
  </si>
  <si>
    <t>Gerente técnico</t>
  </si>
  <si>
    <t>Gerente/Jefe</t>
  </si>
  <si>
    <t>Jefe</t>
  </si>
  <si>
    <t>Ingeniero Senior</t>
  </si>
  <si>
    <t>Jefe/Ingeniero</t>
  </si>
  <si>
    <t>Ing Principal</t>
  </si>
  <si>
    <t>Ing Proyecto</t>
  </si>
  <si>
    <t>(en blanco)</t>
  </si>
  <si>
    <t>Total general</t>
  </si>
  <si>
    <t>(Todas)</t>
  </si>
  <si>
    <t>Meses (Fecha)</t>
  </si>
  <si>
    <t>Suma de Valor</t>
  </si>
  <si>
    <t>Ingresos USD</t>
  </si>
  <si>
    <t>Nombre Proyecto</t>
  </si>
  <si>
    <t>Ingresos</t>
  </si>
  <si>
    <t>Seligdar_Kyuchus</t>
  </si>
  <si>
    <t>Grasberg</t>
  </si>
  <si>
    <t>Codelco_Auditoria Recursos y Reservas</t>
  </si>
  <si>
    <t/>
  </si>
  <si>
    <t>ERG_Parámetros estabilidad taludes</t>
  </si>
  <si>
    <t>ElBrocal_Estudio Geomecanico Estabilidad</t>
  </si>
  <si>
    <t>Polyus_Olimpiada Cutback 5&amp;6</t>
  </si>
  <si>
    <t>Emincar_Los Castellanos_UG</t>
  </si>
  <si>
    <t>Polyus_Evaluacion talud mina Blagodatny</t>
  </si>
  <si>
    <t>AuraMinerals_Proyecto Paiol PFS UG</t>
  </si>
  <si>
    <t>EroCopper_Scoping Proyecto Furnas</t>
  </si>
  <si>
    <t>Hochschild_FS Metodos de Minado Tesoro</t>
  </si>
  <si>
    <t>Miskimayo_Evaluación Transporte en Mina</t>
  </si>
  <si>
    <t>ERG_Structural Model Update</t>
  </si>
  <si>
    <t>Los Calatos_Resource Development Plan</t>
  </si>
  <si>
    <t>Alpayana_Estudio de Sismicidad</t>
  </si>
  <si>
    <t>AtlasMining_Ley de corte optima Malomyr</t>
  </si>
  <si>
    <t>EQUINOX_Actualización Ing. Básica UG</t>
  </si>
  <si>
    <t>Collahuasi_Valor Incorporación Chx.03</t>
  </si>
  <si>
    <t>Resolution_General Review</t>
  </si>
  <si>
    <t>Codelco_Formulación caso de negocio TBM</t>
  </si>
  <si>
    <t>Mine compliance Collahuasi 2026</t>
  </si>
  <si>
    <t>AMSA_RIINO BC - Centinela</t>
  </si>
  <si>
    <t>SPM_FS Labores Subterraneas 2da MEIA</t>
  </si>
  <si>
    <t>kUSD</t>
  </si>
  <si>
    <t>%</t>
  </si>
  <si>
    <t>Item</t>
  </si>
  <si>
    <t>MUS$</t>
  </si>
  <si>
    <t>USD</t>
  </si>
  <si>
    <t>Etiquetas de columna</t>
  </si>
  <si>
    <t>Etiquetas de fila</t>
  </si>
  <si>
    <t>ene</t>
  </si>
  <si>
    <t>feb</t>
  </si>
  <si>
    <t>mar</t>
  </si>
  <si>
    <t>abr</t>
  </si>
  <si>
    <t>may</t>
  </si>
  <si>
    <t>jun</t>
  </si>
  <si>
    <t>jul</t>
  </si>
  <si>
    <t>ago</t>
  </si>
  <si>
    <t>sept</t>
  </si>
  <si>
    <t>oct</t>
  </si>
  <si>
    <t>nov</t>
  </si>
  <si>
    <t>dic</t>
  </si>
  <si>
    <t>Modulos</t>
  </si>
  <si>
    <t>Proyectos nuevos iniciados</t>
  </si>
  <si>
    <t>Proyectos terminados</t>
  </si>
  <si>
    <t>Costo total</t>
  </si>
  <si>
    <t>KPI (x modulo)</t>
  </si>
  <si>
    <t>Costo USD</t>
  </si>
  <si>
    <t>Multiplicador</t>
  </si>
  <si>
    <t>Como se aplica</t>
  </si>
  <si>
    <t>Pasajes aéreos proyecto</t>
  </si>
  <si>
    <t>1 al inicio de proyecto</t>
  </si>
  <si>
    <t>Pasajes aéreos comercial</t>
  </si>
  <si>
    <t>cafe de trabajo con clientes</t>
  </si>
  <si>
    <t>1 a mitad de proyecto</t>
  </si>
  <si>
    <t>Sueldo Director</t>
  </si>
  <si>
    <t>Remuneración mensual de Director</t>
  </si>
  <si>
    <t>Mensual</t>
  </si>
  <si>
    <t>Sueldo Ingeniero Ppal</t>
  </si>
  <si>
    <t>Remuneración mensual de ingeniero ppal</t>
  </si>
  <si>
    <t>Sueldo Ingeniero de Proyecto</t>
  </si>
  <si>
    <t>Remuneración mensual de ingeniero de proyecto</t>
  </si>
  <si>
    <t>Sueldo Gerente</t>
  </si>
  <si>
    <t>Remuneración mensual gerente</t>
  </si>
  <si>
    <t>1 vez al año</t>
  </si>
  <si>
    <t>Compra de servidores</t>
  </si>
  <si>
    <t>Adquisición de equipos especializados (torre)</t>
  </si>
  <si>
    <t>Monto mensual (considera duracion promedio de equipo de 3 años valor equipo 7000 USD; 5 equipos)</t>
  </si>
  <si>
    <t>Monto mensual (considera duracion promedio de equipo de 4 años valor equipo 2000 USD)</t>
  </si>
  <si>
    <t>Monto mensual (considera costo anual de software de 20k USD prorrateado en 20 modulos)</t>
  </si>
  <si>
    <t>Herramientas complementarias</t>
  </si>
  <si>
    <t>Uso de IA y soporte</t>
  </si>
  <si>
    <t>Compra pantallas</t>
  </si>
  <si>
    <t>Pantallas</t>
  </si>
  <si>
    <t>Mensual en base a 5 años de vida util con 200 USD de costo</t>
  </si>
  <si>
    <t>Compra accesorios</t>
  </si>
  <si>
    <t>Mouse, teclados y/o cargadores</t>
  </si>
  <si>
    <t>Adaptadores, HDMI, extensiones de corriente</t>
  </si>
  <si>
    <t>Gastos comunes</t>
  </si>
  <si>
    <t>Mensual (considera Chile solamente)</t>
  </si>
  <si>
    <t>Estacionamientos</t>
  </si>
  <si>
    <t>Monto mensual considerando 12 kUSD por persona</t>
  </si>
  <si>
    <t>Internet</t>
  </si>
  <si>
    <t>Monto mensual</t>
  </si>
  <si>
    <t>Telefonía</t>
  </si>
  <si>
    <t>Hojas de impresión</t>
  </si>
  <si>
    <t>Carpetas</t>
  </si>
  <si>
    <t>Insumos minimos</t>
  </si>
  <si>
    <t>Insumos minimos (Corchetes, clips, posit)</t>
  </si>
  <si>
    <t>Tinta impresora</t>
  </si>
  <si>
    <t xml:space="preserve">Lapices </t>
  </si>
  <si>
    <t>Plumones</t>
  </si>
  <si>
    <t>Borrador pizarra</t>
  </si>
  <si>
    <t>Sobres</t>
  </si>
  <si>
    <t>Cuadernos</t>
  </si>
  <si>
    <t>Tarjetas presentación</t>
  </si>
  <si>
    <t>Accesorios corporativos</t>
  </si>
  <si>
    <t>Archivadores</t>
  </si>
  <si>
    <t>Accesorios secretaria</t>
  </si>
  <si>
    <t>Corchetera, perforadora, otros</t>
  </si>
  <si>
    <t>Ploteos</t>
  </si>
  <si>
    <t>Papel Higenico</t>
  </si>
  <si>
    <t>Papel toalla</t>
  </si>
  <si>
    <t>Jabón</t>
  </si>
  <si>
    <t>Aromatizador</t>
  </si>
  <si>
    <t>Cloro y otros limpieza</t>
  </si>
  <si>
    <t>Guantes de limpieza</t>
  </si>
  <si>
    <t>Café</t>
  </si>
  <si>
    <t>Cuchara</t>
  </si>
  <si>
    <t>Tenedor</t>
  </si>
  <si>
    <t>Cuchillos</t>
  </si>
  <si>
    <t>Servilletas</t>
  </si>
  <si>
    <t>Endulzante / Azucar</t>
  </si>
  <si>
    <t>Te / Hierbas</t>
  </si>
  <si>
    <t>Aceite</t>
  </si>
  <si>
    <t>Agua mineral</t>
  </si>
  <si>
    <t>Bebidas</t>
  </si>
  <si>
    <t>Lavaloza</t>
  </si>
  <si>
    <t>Individuales</t>
  </si>
  <si>
    <t>Platos</t>
  </si>
  <si>
    <t>Tazas</t>
  </si>
  <si>
    <t>Vasos</t>
  </si>
  <si>
    <t>Leche</t>
  </si>
  <si>
    <t>Limpia piso</t>
  </si>
  <si>
    <t>Paños</t>
  </si>
  <si>
    <t>Otros insumos limpieza</t>
  </si>
  <si>
    <t>Sal</t>
  </si>
  <si>
    <t>Servicio aseo externo</t>
  </si>
  <si>
    <t xml:space="preserve">Reemplazo de vacaciones </t>
  </si>
  <si>
    <t>Ocurre una vez al año</t>
  </si>
  <si>
    <t>Celebración mensual con tortas</t>
  </si>
  <si>
    <t>Snacks</t>
  </si>
  <si>
    <t>Galletas y otros varios (recepción visitas)</t>
  </si>
  <si>
    <t>Evento fin de año</t>
  </si>
  <si>
    <t>Fiestas Patrias</t>
  </si>
  <si>
    <t>Aniversario</t>
  </si>
  <si>
    <t>Día del minero</t>
  </si>
  <si>
    <t>Otros eventos</t>
  </si>
  <si>
    <t>Considera una celebración trimestral</t>
  </si>
  <si>
    <t>Se consideran eventos para compatir de manera trimestral por 500 USD c/u</t>
  </si>
  <si>
    <t>Desvinculaciones</t>
  </si>
  <si>
    <t>Considera salida de personal</t>
  </si>
  <si>
    <t>ERP Contable</t>
  </si>
  <si>
    <t>Defontana</t>
  </si>
  <si>
    <t>Inscripcion ferias</t>
  </si>
  <si>
    <t>Stand</t>
  </si>
  <si>
    <t>EPP</t>
  </si>
  <si>
    <t>Compra de elementos de protección personal</t>
  </si>
  <si>
    <t>Monto mensual por modulo</t>
  </si>
  <si>
    <t>Consultor</t>
  </si>
  <si>
    <t>Servicio externo</t>
  </si>
  <si>
    <t>Laboratorio, toma de muestras, otros</t>
  </si>
  <si>
    <t>Pago mensual de arriendo de instalaciones Chile REDCO</t>
  </si>
  <si>
    <t xml:space="preserve">Monto fijo por oficina </t>
  </si>
  <si>
    <t>Pago mensual de arriendo de instalaciones Chile R+</t>
  </si>
  <si>
    <t>Pago mensual de arriendo de instalaciones REDCO Perú</t>
  </si>
  <si>
    <t>Pago mensual de arriendo de instalaciones REDCO Brasil</t>
  </si>
  <si>
    <t>Una vez al final del proyecto</t>
  </si>
  <si>
    <t>(Varios elementos)</t>
  </si>
  <si>
    <t>Meses (Atributo)</t>
  </si>
  <si>
    <t>Chile Dot</t>
  </si>
  <si>
    <t>Perú Dot</t>
  </si>
  <si>
    <t>Horas CL</t>
  </si>
  <si>
    <t>Horas PE</t>
  </si>
  <si>
    <t>HH Chile</t>
  </si>
  <si>
    <t>HH Perú</t>
  </si>
  <si>
    <t>Total HH</t>
  </si>
  <si>
    <t>Total Dot</t>
  </si>
  <si>
    <t xml:space="preserve">Ppto </t>
  </si>
  <si>
    <t>Real</t>
  </si>
  <si>
    <t>TOTAL</t>
  </si>
  <si>
    <t>EDP v3</t>
  </si>
  <si>
    <t>Ingreso</t>
  </si>
  <si>
    <t>Gasto</t>
  </si>
  <si>
    <t>Margen</t>
  </si>
  <si>
    <t>Rentabilidad</t>
  </si>
  <si>
    <t>Gasto v3</t>
  </si>
  <si>
    <t>Escenario A</t>
  </si>
  <si>
    <t>Margen v_3</t>
  </si>
  <si>
    <t>Escenario B</t>
  </si>
  <si>
    <t>Diferencia</t>
  </si>
  <si>
    <t>EDP v2</t>
  </si>
  <si>
    <t>Var.%</t>
  </si>
  <si>
    <t>Gasto v2</t>
  </si>
  <si>
    <t>Margen v_2</t>
  </si>
  <si>
    <t>Total Ingeniería</t>
  </si>
  <si>
    <t>Total Administración</t>
  </si>
  <si>
    <t>Total Geomecánica</t>
  </si>
  <si>
    <t>Total Comercial</t>
  </si>
  <si>
    <t>Total Otros</t>
  </si>
  <si>
    <t>Total Gestión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</si>
</sst>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 [$USD]\ * #,##0_ ;_ [$USD]\ * \-#,##0_ ;_ [$USD]\ * &quot;-&quot;_ ;_ @_ "/>
    <numFmt numFmtId="165" formatCode="#,##0_ ;\-#,##0\ "/>
    <numFmt numFmtId="166" formatCode="#,##0.0"/>
  </numFmts>
  <fonts count="22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0"/>
      <color theme="1"/>
      <name val="Aptos"/>
      <family val="2"/>
    </font>
    <font>
      <b/>
      <sz val="10"/>
      <color theme="1"/>
      <name val="Aptos"/>
      <family val="2"/>
    </font>
    <font>
      <b/>
      <sz val="18"/>
      <color theme="0"/>
      <name val="Aptos"/>
      <family val="2"/>
    </font>
    <font>
      <u/>
      <sz val="11"/>
      <color theme="10"/>
      <name val="Aptos Narrow"/>
      <family val="2"/>
      <scheme val="minor"/>
    </font>
    <font>
      <strike/>
      <sz val="11"/>
      <color rgb="FFFF0000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10"/>
      <color theme="0"/>
      <name val="Raleway"/>
    </font>
    <font>
      <sz val="10"/>
      <color theme="1"/>
      <name val="Raleway"/>
    </font>
    <font>
      <sz val="10"/>
      <color theme="1"/>
      <name val="Century Gothic"/>
      <family val="2"/>
    </font>
    <font>
      <sz val="10"/>
      <color theme="5"/>
      <name val="Raleway"/>
    </font>
    <font>
      <sz val="10"/>
      <color rgb="FFFF0000"/>
      <name val="Aptos"/>
      <family val="2"/>
    </font>
    <font>
      <sz val="10"/>
      <color rgb="FFFF0000"/>
      <name val="Raleway"/>
    </font>
    <font>
      <b/>
      <sz val="10"/>
      <color theme="1"/>
      <name val="Century Gothic"/>
      <family val="2"/>
    </font>
    <font>
      <b/>
      <sz val="10"/>
      <color theme="0"/>
      <name val="Century Gothic"/>
      <family val="2"/>
    </font>
    <font>
      <sz val="10"/>
      <name val="Aptos"/>
      <family val="2"/>
    </font>
    <font>
      <sz val="11"/>
      <color theme="0"/>
      <name val="Aptos Narrow"/>
      <family val="2"/>
      <scheme val="minor"/>
    </font>
    <font>
      <sz val="11"/>
      <name val="Aptos Narrow"/>
      <family val="2"/>
      <scheme val="minor"/>
    </font>
    <font>
      <sz val="10"/>
      <color rgb="FFFF0000"/>
      <name val="Aptos Narrow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-0.249977111117893"/>
        <bgColor theme="4" tint="-0.249977111117893"/>
      </patternFill>
    </fill>
    <fill>
      <patternFill patternType="solid">
        <fgColor theme="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249977111117893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theme="4" tint="-0.249977111117893"/>
      </top>
      <bottom style="thin">
        <color theme="4" tint="0.79998168889431442"/>
      </bottom>
      <diagonal/>
    </border>
    <border>
      <left/>
      <right/>
      <top style="thin">
        <color theme="4" tint="0.79998168889431442"/>
      </top>
      <bottom style="thin">
        <color theme="4" tint="0.79998168889431442"/>
      </bottom>
      <diagonal/>
    </border>
    <border>
      <left/>
      <right/>
      <top style="medium">
        <color theme="4" tint="-0.249977111117893"/>
      </top>
      <bottom/>
      <diagonal/>
    </border>
    <border>
      <left/>
      <right/>
      <top style="thin">
        <color theme="4" tint="-0.249977111117893"/>
      </top>
      <bottom style="medium">
        <color theme="4" tint="-0.249977111117893"/>
      </bottom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9" fontId="8" fillId="0" borderId="0" applyFont="0" applyFill="0" applyBorder="0" applyAlignment="0" applyProtection="0"/>
  </cellStyleXfs>
  <cellXfs count="100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3" fillId="3" borderId="0" xfId="0" applyFont="1" applyFill="1"/>
    <xf numFmtId="17" fontId="3" fillId="3" borderId="0" xfId="0" applyNumberFormat="1" applyFont="1" applyFill="1"/>
    <xf numFmtId="0" fontId="3" fillId="4" borderId="0" xfId="0" applyFont="1" applyFill="1" applyAlignment="1">
      <alignment horizontal="center"/>
    </xf>
    <xf numFmtId="0" fontId="2" fillId="4" borderId="0" xfId="0" applyFont="1" applyFill="1"/>
    <xf numFmtId="0" fontId="5" fillId="0" borderId="0" xfId="1"/>
    <xf numFmtId="0" fontId="1" fillId="0" borderId="1" xfId="0" applyFont="1" applyBorder="1" applyAlignment="1">
      <alignment horizontal="center" vertical="top"/>
    </xf>
    <xf numFmtId="0" fontId="6" fillId="0" borderId="0" xfId="0" applyFont="1"/>
    <xf numFmtId="3" fontId="2" fillId="4" borderId="0" xfId="0" applyNumberFormat="1" applyFont="1" applyFill="1"/>
    <xf numFmtId="3" fontId="2" fillId="0" borderId="0" xfId="0" applyNumberFormat="1" applyFont="1"/>
    <xf numFmtId="0" fontId="0" fillId="5" borderId="0" xfId="0" applyFill="1"/>
    <xf numFmtId="0" fontId="0" fillId="6" borderId="0" xfId="0" applyFill="1"/>
    <xf numFmtId="3" fontId="1" fillId="7" borderId="0" xfId="0" applyNumberFormat="1" applyFont="1" applyFill="1"/>
    <xf numFmtId="3" fontId="0" fillId="0" borderId="0" xfId="0" applyNumberFormat="1"/>
    <xf numFmtId="3" fontId="0" fillId="6" borderId="0" xfId="0" applyNumberFormat="1" applyFill="1"/>
    <xf numFmtId="3" fontId="1" fillId="0" borderId="0" xfId="0" applyNumberFormat="1" applyFont="1"/>
    <xf numFmtId="17" fontId="1" fillId="0" borderId="0" xfId="0" applyNumberFormat="1" applyFont="1"/>
    <xf numFmtId="3" fontId="3" fillId="0" borderId="0" xfId="0" applyNumberFormat="1" applyFont="1"/>
    <xf numFmtId="4" fontId="0" fillId="0" borderId="0" xfId="0" applyNumberFormat="1"/>
    <xf numFmtId="4" fontId="0" fillId="6" borderId="0" xfId="0" applyNumberFormat="1" applyFill="1"/>
    <xf numFmtId="164" fontId="2" fillId="0" borderId="0" xfId="0" applyNumberFormat="1" applyFont="1"/>
    <xf numFmtId="165" fontId="2" fillId="0" borderId="0" xfId="0" applyNumberFormat="1" applyFont="1"/>
    <xf numFmtId="165" fontId="3" fillId="0" borderId="0" xfId="0" applyNumberFormat="1" applyFont="1"/>
    <xf numFmtId="0" fontId="10" fillId="8" borderId="2" xfId="0" applyFont="1" applyFill="1" applyBorder="1"/>
    <xf numFmtId="0" fontId="10" fillId="8" borderId="2" xfId="0" applyFont="1" applyFill="1" applyBorder="1" applyAlignment="1">
      <alignment horizontal="center"/>
    </xf>
    <xf numFmtId="0" fontId="10" fillId="8" borderId="0" xfId="0" applyFont="1" applyFill="1" applyAlignment="1">
      <alignment horizontal="center"/>
    </xf>
    <xf numFmtId="17" fontId="10" fillId="8" borderId="2" xfId="0" applyNumberFormat="1" applyFont="1" applyFill="1" applyBorder="1" applyAlignment="1">
      <alignment horizontal="center"/>
    </xf>
    <xf numFmtId="0" fontId="11" fillId="0" borderId="3" xfId="0" applyFont="1" applyBorder="1"/>
    <xf numFmtId="0" fontId="11" fillId="0" borderId="3" xfId="0" applyFont="1" applyBorder="1" applyAlignment="1">
      <alignment horizontal="center"/>
    </xf>
    <xf numFmtId="0" fontId="11" fillId="0" borderId="0" xfId="0" applyFont="1" applyAlignment="1">
      <alignment horizontal="center"/>
    </xf>
    <xf numFmtId="3" fontId="11" fillId="4" borderId="3" xfId="0" applyNumberFormat="1" applyFont="1" applyFill="1" applyBorder="1" applyAlignment="1">
      <alignment horizontal="center"/>
    </xf>
    <xf numFmtId="3" fontId="11" fillId="0" borderId="3" xfId="0" applyNumberFormat="1" applyFont="1" applyBorder="1" applyAlignment="1">
      <alignment horizontal="center"/>
    </xf>
    <xf numFmtId="0" fontId="12" fillId="0" borderId="0" xfId="0" applyFont="1"/>
    <xf numFmtId="3" fontId="12" fillId="0" borderId="0" xfId="0" applyNumberFormat="1" applyFont="1"/>
    <xf numFmtId="0" fontId="13" fillId="0" borderId="3" xfId="0" applyFont="1" applyBorder="1"/>
    <xf numFmtId="0" fontId="13" fillId="0" borderId="0" xfId="0" applyFont="1" applyAlignment="1">
      <alignment horizontal="center"/>
    </xf>
    <xf numFmtId="0" fontId="13" fillId="0" borderId="3" xfId="0" applyFont="1" applyBorder="1" applyAlignment="1">
      <alignment horizontal="center"/>
    </xf>
    <xf numFmtId="3" fontId="13" fillId="4" borderId="3" xfId="0" applyNumberFormat="1" applyFont="1" applyFill="1" applyBorder="1" applyAlignment="1">
      <alignment horizontal="center"/>
    </xf>
    <xf numFmtId="3" fontId="13" fillId="0" borderId="3" xfId="0" applyNumberFormat="1" applyFont="1" applyBorder="1" applyAlignment="1">
      <alignment horizontal="center"/>
    </xf>
    <xf numFmtId="0" fontId="9" fillId="0" borderId="0" xfId="0" applyFont="1"/>
    <xf numFmtId="3" fontId="14" fillId="0" borderId="0" xfId="0" applyNumberFormat="1" applyFont="1"/>
    <xf numFmtId="0" fontId="0" fillId="0" borderId="0" xfId="0" pivotButton="1"/>
    <xf numFmtId="0" fontId="0" fillId="0" borderId="0" xfId="0" applyAlignment="1">
      <alignment horizontal="left"/>
    </xf>
    <xf numFmtId="3" fontId="2" fillId="5" borderId="0" xfId="0" applyNumberFormat="1" applyFont="1" applyFill="1"/>
    <xf numFmtId="0" fontId="15" fillId="0" borderId="3" xfId="0" applyFont="1" applyBorder="1"/>
    <xf numFmtId="0" fontId="11" fillId="0" borderId="0" xfId="0" applyFont="1"/>
    <xf numFmtId="3" fontId="11" fillId="4" borderId="0" xfId="0" applyNumberFormat="1" applyFont="1" applyFill="1"/>
    <xf numFmtId="3" fontId="11" fillId="0" borderId="0" xfId="0" applyNumberFormat="1" applyFont="1"/>
    <xf numFmtId="3" fontId="11" fillId="10" borderId="3" xfId="0" applyNumberFormat="1" applyFont="1" applyFill="1" applyBorder="1" applyAlignment="1">
      <alignment horizontal="center"/>
    </xf>
    <xf numFmtId="3" fontId="13" fillId="10" borderId="3" xfId="0" applyNumberFormat="1" applyFont="1" applyFill="1" applyBorder="1" applyAlignment="1">
      <alignment horizontal="center"/>
    </xf>
    <xf numFmtId="166" fontId="0" fillId="0" borderId="0" xfId="0" applyNumberFormat="1"/>
    <xf numFmtId="0" fontId="12" fillId="0" borderId="0" xfId="0" pivotButton="1" applyFont="1"/>
    <xf numFmtId="9" fontId="0" fillId="0" borderId="0" xfId="2" applyFont="1"/>
    <xf numFmtId="0" fontId="17" fillId="11" borderId="4" xfId="0" applyFont="1" applyFill="1" applyBorder="1"/>
    <xf numFmtId="0" fontId="16" fillId="0" borderId="5" xfId="0" applyFont="1" applyBorder="1"/>
    <xf numFmtId="3" fontId="16" fillId="0" borderId="5" xfId="0" applyNumberFormat="1" applyFont="1" applyBorder="1"/>
    <xf numFmtId="1" fontId="0" fillId="0" borderId="0" xfId="0" applyNumberFormat="1"/>
    <xf numFmtId="0" fontId="2" fillId="12" borderId="0" xfId="0" applyFont="1" applyFill="1"/>
    <xf numFmtId="0" fontId="13" fillId="12" borderId="3" xfId="0" applyFont="1" applyFill="1" applyBorder="1"/>
    <xf numFmtId="0" fontId="18" fillId="12" borderId="0" xfId="0" applyFont="1" applyFill="1"/>
    <xf numFmtId="0" fontId="0" fillId="0" borderId="0" xfId="0" applyAlignment="1">
      <alignment horizontal="center"/>
    </xf>
    <xf numFmtId="0" fontId="1" fillId="4" borderId="0" xfId="0" applyFont="1" applyFill="1"/>
    <xf numFmtId="17" fontId="0" fillId="0" borderId="0" xfId="0" applyNumberFormat="1"/>
    <xf numFmtId="3" fontId="0" fillId="9" borderId="0" xfId="0" applyNumberFormat="1" applyFill="1"/>
    <xf numFmtId="0" fontId="2" fillId="5" borderId="0" xfId="0" applyFont="1" applyFill="1"/>
    <xf numFmtId="0" fontId="11" fillId="5" borderId="3" xfId="0" applyFont="1" applyFill="1" applyBorder="1"/>
    <xf numFmtId="0" fontId="11" fillId="13" borderId="3" xfId="0" applyFont="1" applyFill="1" applyBorder="1"/>
    <xf numFmtId="0" fontId="13" fillId="13" borderId="3" xfId="0" applyFont="1" applyFill="1" applyBorder="1"/>
    <xf numFmtId="0" fontId="11" fillId="13" borderId="3" xfId="0" applyFont="1" applyFill="1" applyBorder="1" applyAlignment="1">
      <alignment horizontal="center"/>
    </xf>
    <xf numFmtId="9" fontId="1" fillId="0" borderId="0" xfId="2" applyFont="1"/>
    <xf numFmtId="1" fontId="1" fillId="0" borderId="0" xfId="0" applyNumberFormat="1" applyFont="1"/>
    <xf numFmtId="0" fontId="1" fillId="7" borderId="0" xfId="0" applyFont="1" applyFill="1"/>
    <xf numFmtId="1" fontId="1" fillId="4" borderId="0" xfId="0" applyNumberFormat="1" applyFont="1" applyFill="1"/>
    <xf numFmtId="0" fontId="0" fillId="13" borderId="0" xfId="0" applyFill="1"/>
    <xf numFmtId="0" fontId="0" fillId="9" borderId="0" xfId="0" applyFill="1"/>
    <xf numFmtId="0" fontId="20" fillId="9" borderId="0" xfId="0" applyFont="1" applyFill="1"/>
    <xf numFmtId="0" fontId="0" fillId="3" borderId="0" xfId="0" applyFill="1"/>
    <xf numFmtId="0" fontId="19" fillId="2" borderId="0" xfId="0" applyFont="1" applyFill="1"/>
    <xf numFmtId="3" fontId="1" fillId="6" borderId="0" xfId="0" applyNumberFormat="1" applyFont="1" applyFill="1"/>
    <xf numFmtId="3" fontId="0" fillId="5" borderId="0" xfId="0" applyNumberFormat="1" applyFill="1"/>
    <xf numFmtId="3" fontId="11" fillId="5" borderId="0" xfId="0" applyNumberFormat="1" applyFont="1" applyFill="1"/>
    <xf numFmtId="0" fontId="1" fillId="14" borderId="0" xfId="0" applyFont="1" applyFill="1"/>
    <xf numFmtId="0" fontId="21" fillId="0" borderId="0" xfId="0" applyFont="1"/>
    <xf numFmtId="3" fontId="1" fillId="4" borderId="0" xfId="0" applyNumberFormat="1" applyFont="1" applyFill="1"/>
    <xf numFmtId="3" fontId="21" fillId="0" borderId="0" xfId="0" applyNumberFormat="1" applyFont="1"/>
    <xf numFmtId="0" fontId="12" fillId="6" borderId="0" xfId="0" applyFont="1" applyFill="1"/>
    <xf numFmtId="3" fontId="12" fillId="6" borderId="0" xfId="0" applyNumberFormat="1" applyFont="1" applyFill="1"/>
    <xf numFmtId="9" fontId="0" fillId="6" borderId="0" xfId="2" applyFont="1" applyFill="1"/>
    <xf numFmtId="9" fontId="21" fillId="0" borderId="0" xfId="2" applyFont="1"/>
    <xf numFmtId="17" fontId="1" fillId="0" borderId="0" xfId="0" applyNumberFormat="1" applyFont="1" applyAlignment="1">
      <alignment horizontal="center"/>
    </xf>
    <xf numFmtId="9" fontId="0" fillId="0" borderId="0" xfId="0" applyNumberFormat="1"/>
    <xf numFmtId="0" fontId="14" fillId="0" borderId="0" xfId="0" applyFont="1"/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4" fillId="2" borderId="0" xfId="0" applyFont="1" applyFill="1" applyAlignment="1">
      <alignment horizontal="center"/>
    </xf>
    <xf numFmtId="0" fontId="3" fillId="4" borderId="0" xfId="0" applyFont="1" applyFill="1" applyAlignment="1">
      <alignment horizontal="center"/>
    </xf>
    <xf numFmtId="0" fontId="0" fillId="0" borderId="0" xfId="0" applyAlignment="1">
      <alignment horizontal="center"/>
    </xf>
  </cellXfs>
  <cellStyles count="3">
    <cellStyle name="Hipervínculo" xfId="1" builtinId="8"/>
    <cellStyle name="Normal" xfId="0" builtinId="0"/>
    <cellStyle name="Porcentaje" xfId="2" builtinId="5"/>
  </cellStyles>
  <dxfs count="340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3" formatCode="#,##0"/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167" formatCode="mmm/yy"/>
      <fill>
        <patternFill patternType="solid">
          <fgColor indexed="64"/>
          <bgColor theme="3" tint="0.8999908444471571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5"/>
        <name val="Raleway"/>
        <scheme val="none"/>
      </font>
      <numFmt numFmtId="0" formatCode="General"/>
      <border diagonalUp="0" diagonalDown="0">
        <left/>
        <right/>
        <top style="thin">
          <color theme="4" tint="0.79998168889431442"/>
        </top>
        <bottom style="thin">
          <color theme="4" tint="0.7999816888943144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aleway"/>
        <scheme val="none"/>
      </font>
      <border diagonalUp="0" diagonalDown="0">
        <left/>
        <right/>
        <top style="thin">
          <color theme="4" tint="0.79998168889431442"/>
        </top>
        <bottom style="thin">
          <color theme="4" tint="0.7999816888943144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aleway"/>
        <scheme val="none"/>
      </font>
      <numFmt numFmtId="167" formatCode="mmm/yy"/>
      <fill>
        <patternFill patternType="solid">
          <fgColor theme="4" tint="-0.249977111117893"/>
          <bgColor theme="4" tint="-0.249977111117893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aleway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aleway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aleway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aleway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aleway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aleway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aleway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aleway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aleway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aleway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aleway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aleway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aleway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aleway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aleway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aleway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aleway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aleway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aleway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aleway"/>
        <scheme val="none"/>
      </font>
      <numFmt numFmtId="167" formatCode="mmm/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aleway"/>
        <scheme val="none"/>
      </font>
      <numFmt numFmtId="167" formatCode="mmm/yy"/>
      <fill>
        <patternFill patternType="solid">
          <fgColor theme="4" tint="-0.249977111117893"/>
          <bgColor theme="4" tint="-0.249977111117893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aleway"/>
        <scheme val="none"/>
      </font>
      <border diagonalUp="0" diagonalDown="0">
        <left/>
        <right/>
        <top style="thin">
          <color theme="4" tint="0.79998168889431442"/>
        </top>
        <bottom style="thin">
          <color theme="4" tint="0.7999816888943144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aleway"/>
        <scheme val="none"/>
      </font>
      <numFmt numFmtId="167" formatCode="mmm/yy"/>
      <fill>
        <patternFill patternType="solid">
          <fgColor theme="4" tint="-0.249977111117893"/>
          <bgColor theme="4" tint="-0.249977111117893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3" formatCode="#,##0"/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167" formatCode="mmm/yy"/>
      <fill>
        <patternFill patternType="solid">
          <fgColor indexed="64"/>
          <bgColor theme="3" tint="0.8999908444471571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3" formatCode="#,##0"/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167" formatCode="mmm/yy"/>
      <fill>
        <patternFill patternType="solid">
          <fgColor indexed="64"/>
          <bgColor theme="3" tint="0.8999908444471571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3" formatCode="#,##0"/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167" formatCode="mmm/yy"/>
      <fill>
        <patternFill patternType="solid">
          <fgColor indexed="64"/>
          <bgColor theme="3" tint="0.8999908444471571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3" formatCode="#,##0"/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167" formatCode="mmm/yy"/>
      <fill>
        <patternFill patternType="solid">
          <fgColor indexed="64"/>
          <bgColor theme="3" tint="0.8999908444471571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3" formatCode="#,##0"/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167" formatCode="mmm/yy"/>
      <fill>
        <patternFill patternType="solid">
          <fgColor indexed="64"/>
          <bgColor theme="3" tint="0.8999908444471571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3" formatCode="#,##0"/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167" formatCode="mmm/yy"/>
      <fill>
        <patternFill patternType="solid">
          <fgColor indexed="64"/>
          <bgColor theme="3" tint="0.89999084444715716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3" formatCode="#,##0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numFmt numFmtId="3" formatCode="#,##0"/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numFmt numFmtId="3" formatCode="#,##0"/>
    </dxf>
    <dxf>
      <numFmt numFmtId="3" formatCode="#,##0"/>
    </dxf>
    <dxf>
      <numFmt numFmtId="3" formatCode="#,##0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numFmt numFmtId="3" formatCode="#,##0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numFmt numFmtId="3" formatCode="#,##0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numFmt numFmtId="3" formatCode="#,##0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numFmt numFmtId="3" formatCode="#,##0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numFmt numFmtId="3" formatCode="#,##0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  <dxf>
      <font>
        <name val="Century Gothic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1.xml"/><Relationship Id="rId39" Type="http://schemas.microsoft.com/office/2006/relationships/vbaProject" Target="vbaProject.bin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1.xml"/><Relationship Id="rId33" Type="http://schemas.openxmlformats.org/officeDocument/2006/relationships/sharedStrings" Target="sharedStrings.xml"/><Relationship Id="rId38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pivotCacheDefinition" Target="pivotCache/pivotCacheDefinition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37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3.xml"/><Relationship Id="rId36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2.xml"/><Relationship Id="rId30" Type="http://schemas.openxmlformats.org/officeDocument/2006/relationships/theme" Target="theme/theme1.xml"/><Relationship Id="rId35" Type="http://schemas.openxmlformats.org/officeDocument/2006/relationships/customXml" Target="../customXml/item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60" b="0" i="0" u="none" strike="noStrike" kern="1200" baseline="0">
                <a:solidFill>
                  <a:schemeClr val="tx2"/>
                </a:solidFill>
                <a:latin typeface="Raleway" pitchFamily="2" charset="0"/>
                <a:ea typeface="+mn-ea"/>
                <a:cs typeface="+mn-cs"/>
              </a:defRPr>
            </a:pPr>
            <a:r>
              <a:rPr lang="es-CL" b="0"/>
              <a:t>Evolutivo dotación</a:t>
            </a:r>
            <a:r>
              <a:rPr lang="es-CL" b="0" baseline="0"/>
              <a:t> mensual v3 (#)</a:t>
            </a:r>
            <a:endParaRPr lang="es-CL" b="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60" b="0" i="0" u="none" strike="noStrike" kern="1200" baseline="0">
              <a:solidFill>
                <a:schemeClr val="tx2"/>
              </a:solidFill>
              <a:latin typeface="Raleway" pitchFamily="2" charset="0"/>
              <a:ea typeface="+mn-ea"/>
              <a:cs typeface="+mn-cs"/>
            </a:defRPr>
          </a:pPr>
          <a:endParaRPr lang="es-CL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SueldosBrutos!$G$117</c:f>
              <c:strCache>
                <c:ptCount val="1"/>
                <c:pt idx="0">
                  <c:v>Ingeniería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numRef>
              <c:f>SueldosBrutos!$H$116:$S$116</c:f>
              <c:numCache>
                <c:formatCode>mmm\-yy</c:formatCode>
                <c:ptCount val="12"/>
                <c:pt idx="0">
                  <c:v>46023</c:v>
                </c:pt>
                <c:pt idx="1">
                  <c:v>46054</c:v>
                </c:pt>
                <c:pt idx="2">
                  <c:v>46082</c:v>
                </c:pt>
                <c:pt idx="3">
                  <c:v>46113</c:v>
                </c:pt>
                <c:pt idx="4">
                  <c:v>46143</c:v>
                </c:pt>
                <c:pt idx="5">
                  <c:v>46174</c:v>
                </c:pt>
                <c:pt idx="6">
                  <c:v>46204</c:v>
                </c:pt>
                <c:pt idx="7">
                  <c:v>46235</c:v>
                </c:pt>
                <c:pt idx="8">
                  <c:v>46266</c:v>
                </c:pt>
                <c:pt idx="9">
                  <c:v>46296</c:v>
                </c:pt>
                <c:pt idx="10">
                  <c:v>46327</c:v>
                </c:pt>
                <c:pt idx="11">
                  <c:v>46357</c:v>
                </c:pt>
              </c:numCache>
            </c:numRef>
          </c:cat>
          <c:val>
            <c:numRef>
              <c:f>SueldosBrutos!$H$117:$S$117</c:f>
              <c:numCache>
                <c:formatCode>General</c:formatCode>
                <c:ptCount val="12"/>
                <c:pt idx="0">
                  <c:v>53</c:v>
                </c:pt>
                <c:pt idx="1">
                  <c:v>46</c:v>
                </c:pt>
                <c:pt idx="2">
                  <c:v>38</c:v>
                </c:pt>
                <c:pt idx="3">
                  <c:v>54</c:v>
                </c:pt>
                <c:pt idx="4">
                  <c:v>54</c:v>
                </c:pt>
                <c:pt idx="5">
                  <c:v>54</c:v>
                </c:pt>
                <c:pt idx="6">
                  <c:v>54</c:v>
                </c:pt>
                <c:pt idx="7">
                  <c:v>57</c:v>
                </c:pt>
                <c:pt idx="8">
                  <c:v>57</c:v>
                </c:pt>
                <c:pt idx="9">
                  <c:v>54</c:v>
                </c:pt>
                <c:pt idx="10">
                  <c:v>54</c:v>
                </c:pt>
                <c:pt idx="11">
                  <c:v>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C1-42B6-A564-D645D5D15381}"/>
            </c:ext>
          </c:extLst>
        </c:ser>
        <c:ser>
          <c:idx val="1"/>
          <c:order val="1"/>
          <c:tx>
            <c:strRef>
              <c:f>SueldosBrutos!$G$118</c:f>
              <c:strCache>
                <c:ptCount val="1"/>
                <c:pt idx="0">
                  <c:v>Geomecánica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numRef>
              <c:f>SueldosBrutos!$H$116:$S$116</c:f>
              <c:numCache>
                <c:formatCode>mmm\-yy</c:formatCode>
                <c:ptCount val="12"/>
                <c:pt idx="0">
                  <c:v>46023</c:v>
                </c:pt>
                <c:pt idx="1">
                  <c:v>46054</c:v>
                </c:pt>
                <c:pt idx="2">
                  <c:v>46082</c:v>
                </c:pt>
                <c:pt idx="3">
                  <c:v>46113</c:v>
                </c:pt>
                <c:pt idx="4">
                  <c:v>46143</c:v>
                </c:pt>
                <c:pt idx="5">
                  <c:v>46174</c:v>
                </c:pt>
                <c:pt idx="6">
                  <c:v>46204</c:v>
                </c:pt>
                <c:pt idx="7">
                  <c:v>46235</c:v>
                </c:pt>
                <c:pt idx="8">
                  <c:v>46266</c:v>
                </c:pt>
                <c:pt idx="9">
                  <c:v>46296</c:v>
                </c:pt>
                <c:pt idx="10">
                  <c:v>46327</c:v>
                </c:pt>
                <c:pt idx="11">
                  <c:v>46357</c:v>
                </c:pt>
              </c:numCache>
            </c:numRef>
          </c:cat>
          <c:val>
            <c:numRef>
              <c:f>SueldosBrutos!$H$118:$S$118</c:f>
              <c:numCache>
                <c:formatCode>General</c:formatCode>
                <c:ptCount val="12"/>
                <c:pt idx="0">
                  <c:v>16</c:v>
                </c:pt>
                <c:pt idx="1">
                  <c:v>17</c:v>
                </c:pt>
                <c:pt idx="2">
                  <c:v>17</c:v>
                </c:pt>
                <c:pt idx="3">
                  <c:v>14</c:v>
                </c:pt>
                <c:pt idx="4">
                  <c:v>14</c:v>
                </c:pt>
                <c:pt idx="5">
                  <c:v>14</c:v>
                </c:pt>
                <c:pt idx="6">
                  <c:v>14</c:v>
                </c:pt>
                <c:pt idx="7">
                  <c:v>14</c:v>
                </c:pt>
                <c:pt idx="8">
                  <c:v>14</c:v>
                </c:pt>
                <c:pt idx="9">
                  <c:v>14</c:v>
                </c:pt>
                <c:pt idx="10">
                  <c:v>14</c:v>
                </c:pt>
                <c:pt idx="11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5C1-42B6-A564-D645D5D153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968335775"/>
        <c:axId val="1968319455"/>
      </c:barChart>
      <c:lineChart>
        <c:grouping val="standard"/>
        <c:varyColors val="0"/>
        <c:ser>
          <c:idx val="2"/>
          <c:order val="2"/>
          <c:tx>
            <c:strRef>
              <c:f>SueldosBrutos!$G$119</c:f>
              <c:strCache>
                <c:ptCount val="1"/>
                <c:pt idx="0">
                  <c:v>Total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  <a:effectLst/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lt2"/>
                </a:solidFill>
                <a:prstDash val="solid"/>
                <a:round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2"/>
                    </a:solidFill>
                    <a:latin typeface="Raleway" pitchFamily="2" charset="0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SueldosBrutos!$H$119:$S$119</c:f>
              <c:numCache>
                <c:formatCode>General</c:formatCode>
                <c:ptCount val="12"/>
                <c:pt idx="0">
                  <c:v>69</c:v>
                </c:pt>
                <c:pt idx="1">
                  <c:v>63</c:v>
                </c:pt>
                <c:pt idx="2">
                  <c:v>55</c:v>
                </c:pt>
                <c:pt idx="3">
                  <c:v>68</c:v>
                </c:pt>
                <c:pt idx="4">
                  <c:v>68</c:v>
                </c:pt>
                <c:pt idx="5">
                  <c:v>68</c:v>
                </c:pt>
                <c:pt idx="6">
                  <c:v>68</c:v>
                </c:pt>
                <c:pt idx="7">
                  <c:v>71</c:v>
                </c:pt>
                <c:pt idx="8">
                  <c:v>71</c:v>
                </c:pt>
                <c:pt idx="9">
                  <c:v>68</c:v>
                </c:pt>
                <c:pt idx="10">
                  <c:v>68</c:v>
                </c:pt>
                <c:pt idx="11">
                  <c:v>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5C1-42B6-A564-D645D5D153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68335775"/>
        <c:axId val="1968319455"/>
      </c:lineChart>
      <c:dateAx>
        <c:axId val="1968335775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2"/>
                </a:solidFill>
                <a:latin typeface="Raleway" pitchFamily="2" charset="0"/>
                <a:ea typeface="+mn-ea"/>
                <a:cs typeface="+mn-cs"/>
              </a:defRPr>
            </a:pPr>
            <a:endParaRPr lang="es-CL"/>
          </a:p>
        </c:txPr>
        <c:crossAx val="1968319455"/>
        <c:crosses val="autoZero"/>
        <c:auto val="1"/>
        <c:lblOffset val="100"/>
        <c:baseTimeUnit val="months"/>
      </c:dateAx>
      <c:valAx>
        <c:axId val="196831945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2"/>
                </a:solidFill>
                <a:latin typeface="Raleway" pitchFamily="2" charset="0"/>
                <a:ea typeface="+mn-ea"/>
                <a:cs typeface="+mn-cs"/>
              </a:defRPr>
            </a:pPr>
            <a:endParaRPr lang="es-CL"/>
          </a:p>
        </c:txPr>
        <c:crossAx val="19683357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2"/>
              </a:solidFill>
              <a:latin typeface="Raleway" pitchFamily="2" charset="0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 sz="800">
          <a:latin typeface="Raleway" pitchFamily="2" charset="0"/>
        </a:defRPr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60" b="0" i="0" u="none" strike="noStrike" kern="1200" baseline="0">
                <a:solidFill>
                  <a:schemeClr val="tx2"/>
                </a:solidFill>
                <a:latin typeface="Raleway" pitchFamily="2" charset="0"/>
                <a:ea typeface="+mn-ea"/>
                <a:cs typeface="+mn-cs"/>
              </a:defRPr>
            </a:pPr>
            <a:r>
              <a:rPr lang="es-CL" b="0"/>
              <a:t>Distribucion de dotación</a:t>
            </a:r>
            <a:r>
              <a:rPr lang="es-CL" b="0" baseline="0"/>
              <a:t> v3 (%)</a:t>
            </a:r>
            <a:endParaRPr lang="es-CL" b="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60" b="0" i="0" u="none" strike="noStrike" kern="1200" baseline="0">
              <a:solidFill>
                <a:schemeClr val="tx2"/>
              </a:solidFill>
              <a:latin typeface="Raleway" pitchFamily="2" charset="0"/>
              <a:ea typeface="+mn-ea"/>
              <a:cs typeface="+mn-cs"/>
            </a:defRPr>
          </a:pPr>
          <a:endParaRPr lang="es-CL"/>
        </a:p>
      </c:txPr>
    </c:title>
    <c:autoTitleDeleted val="0"/>
    <c:plotArea>
      <c:layout>
        <c:manualLayout>
          <c:layoutTarget val="inner"/>
          <c:xMode val="edge"/>
          <c:yMode val="edge"/>
          <c:x val="0.27681000066738221"/>
          <c:y val="0.13505613881598136"/>
          <c:w val="0.43804297284848565"/>
          <c:h val="0.72976742490522017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A62F-4A14-A8C7-D3C10ACA62D1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62F-4A14-A8C7-D3C10ACA62D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bg1"/>
                    </a:solidFill>
                    <a:latin typeface="Raleway" pitchFamily="2" charset="0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SueldosBrutos!$G$117:$G$118</c:f>
              <c:strCache>
                <c:ptCount val="2"/>
                <c:pt idx="0">
                  <c:v>Ingeniería</c:v>
                </c:pt>
                <c:pt idx="1">
                  <c:v>Geomecánica</c:v>
                </c:pt>
              </c:strCache>
            </c:strRef>
          </c:cat>
          <c:val>
            <c:numRef>
              <c:f>SueldosBrutos!$T$117:$T$118</c:f>
              <c:numCache>
                <c:formatCode>#,##0</c:formatCode>
                <c:ptCount val="2"/>
                <c:pt idx="0">
                  <c:v>52.416666666666664</c:v>
                </c:pt>
                <c:pt idx="1">
                  <c:v>14.666666666666666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9CC-4D84-BAD6-AFE241DEFC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2"/>
              </a:solidFill>
              <a:latin typeface="Raleway" pitchFamily="2" charset="0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 sz="800">
          <a:latin typeface="Raleway" pitchFamily="2" charset="0"/>
        </a:defRPr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60" b="1" i="0" u="none" strike="noStrike" kern="1200" baseline="0">
                <a:solidFill>
                  <a:schemeClr val="tx2"/>
                </a:solidFill>
                <a:latin typeface="Raleway" pitchFamily="2" charset="0"/>
                <a:ea typeface="+mn-ea"/>
                <a:cs typeface="+mn-cs"/>
              </a:defRPr>
            </a:pPr>
            <a:r>
              <a:rPr lang="es-CL"/>
              <a:t>Dotaciones 2026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60" b="1" i="0" u="none" strike="noStrike" kern="1200" baseline="0">
              <a:solidFill>
                <a:schemeClr val="tx2"/>
              </a:solidFill>
              <a:latin typeface="Raleway" pitchFamily="2" charset="0"/>
              <a:ea typeface="+mn-ea"/>
              <a:cs typeface="+mn-cs"/>
            </a:defRPr>
          </a:pPr>
          <a:endParaRPr lang="es-CL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SueldosBrutos!$S$137</c:f>
              <c:strCache>
                <c:ptCount val="1"/>
                <c:pt idx="0">
                  <c:v>G&amp;A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numRef>
              <c:f>SueldosBrutos!$T$136:$AE$136</c:f>
              <c:numCache>
                <c:formatCode>mmm\-yy</c:formatCode>
                <c:ptCount val="12"/>
                <c:pt idx="0">
                  <c:v>46023</c:v>
                </c:pt>
                <c:pt idx="1">
                  <c:v>46054</c:v>
                </c:pt>
                <c:pt idx="2">
                  <c:v>46082</c:v>
                </c:pt>
                <c:pt idx="3">
                  <c:v>46113</c:v>
                </c:pt>
                <c:pt idx="4">
                  <c:v>46143</c:v>
                </c:pt>
                <c:pt idx="5">
                  <c:v>46174</c:v>
                </c:pt>
                <c:pt idx="6">
                  <c:v>46204</c:v>
                </c:pt>
                <c:pt idx="7">
                  <c:v>46235</c:v>
                </c:pt>
                <c:pt idx="8">
                  <c:v>46266</c:v>
                </c:pt>
                <c:pt idx="9">
                  <c:v>46296</c:v>
                </c:pt>
                <c:pt idx="10">
                  <c:v>46327</c:v>
                </c:pt>
                <c:pt idx="11">
                  <c:v>46357</c:v>
                </c:pt>
              </c:numCache>
            </c:numRef>
          </c:cat>
          <c:val>
            <c:numRef>
              <c:f>SueldosBrutos!$T$137:$AE$137</c:f>
              <c:numCache>
                <c:formatCode>General</c:formatCode>
                <c:ptCount val="12"/>
                <c:pt idx="0">
                  <c:v>17</c:v>
                </c:pt>
                <c:pt idx="1">
                  <c:v>18</c:v>
                </c:pt>
                <c:pt idx="2">
                  <c:v>17</c:v>
                </c:pt>
                <c:pt idx="3">
                  <c:v>17</c:v>
                </c:pt>
                <c:pt idx="4">
                  <c:v>17</c:v>
                </c:pt>
                <c:pt idx="5">
                  <c:v>17</c:v>
                </c:pt>
                <c:pt idx="6">
                  <c:v>17</c:v>
                </c:pt>
                <c:pt idx="7">
                  <c:v>17</c:v>
                </c:pt>
                <c:pt idx="8">
                  <c:v>18</c:v>
                </c:pt>
                <c:pt idx="9">
                  <c:v>17</c:v>
                </c:pt>
                <c:pt idx="10">
                  <c:v>17</c:v>
                </c:pt>
                <c:pt idx="11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35-4CB1-B1E0-1357D8954284}"/>
            </c:ext>
          </c:extLst>
        </c:ser>
        <c:ser>
          <c:idx val="1"/>
          <c:order val="1"/>
          <c:tx>
            <c:strRef>
              <c:f>SueldosBrutos!$S$138</c:f>
              <c:strCache>
                <c:ptCount val="1"/>
                <c:pt idx="0">
                  <c:v>Operaciones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numRef>
              <c:f>SueldosBrutos!$T$136:$AE$136</c:f>
              <c:numCache>
                <c:formatCode>mmm\-yy</c:formatCode>
                <c:ptCount val="12"/>
                <c:pt idx="0">
                  <c:v>46023</c:v>
                </c:pt>
                <c:pt idx="1">
                  <c:v>46054</c:v>
                </c:pt>
                <c:pt idx="2">
                  <c:v>46082</c:v>
                </c:pt>
                <c:pt idx="3">
                  <c:v>46113</c:v>
                </c:pt>
                <c:pt idx="4">
                  <c:v>46143</c:v>
                </c:pt>
                <c:pt idx="5">
                  <c:v>46174</c:v>
                </c:pt>
                <c:pt idx="6">
                  <c:v>46204</c:v>
                </c:pt>
                <c:pt idx="7">
                  <c:v>46235</c:v>
                </c:pt>
                <c:pt idx="8">
                  <c:v>46266</c:v>
                </c:pt>
                <c:pt idx="9">
                  <c:v>46296</c:v>
                </c:pt>
                <c:pt idx="10">
                  <c:v>46327</c:v>
                </c:pt>
                <c:pt idx="11">
                  <c:v>46357</c:v>
                </c:pt>
              </c:numCache>
            </c:numRef>
          </c:cat>
          <c:val>
            <c:numRef>
              <c:f>SueldosBrutos!$T$138:$AE$138</c:f>
              <c:numCache>
                <c:formatCode>General</c:formatCode>
                <c:ptCount val="12"/>
                <c:pt idx="0">
                  <c:v>72</c:v>
                </c:pt>
                <c:pt idx="1">
                  <c:v>66</c:v>
                </c:pt>
                <c:pt idx="2">
                  <c:v>58</c:v>
                </c:pt>
                <c:pt idx="3">
                  <c:v>71</c:v>
                </c:pt>
                <c:pt idx="4">
                  <c:v>71</c:v>
                </c:pt>
                <c:pt idx="5">
                  <c:v>71</c:v>
                </c:pt>
                <c:pt idx="6">
                  <c:v>71</c:v>
                </c:pt>
                <c:pt idx="7">
                  <c:v>74</c:v>
                </c:pt>
                <c:pt idx="8">
                  <c:v>74</c:v>
                </c:pt>
                <c:pt idx="9">
                  <c:v>71</c:v>
                </c:pt>
                <c:pt idx="10">
                  <c:v>71</c:v>
                </c:pt>
                <c:pt idx="11">
                  <c:v>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35-4CB1-B1E0-1357D8954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170914015"/>
        <c:axId val="1170924095"/>
      </c:barChart>
      <c:lineChart>
        <c:grouping val="standard"/>
        <c:varyColors val="0"/>
        <c:ser>
          <c:idx val="2"/>
          <c:order val="2"/>
          <c:tx>
            <c:v>Total</c:v>
          </c:tx>
          <c:spPr>
            <a:ln w="12700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circle"/>
            <c:size val="6"/>
            <c:spPr>
              <a:solidFill>
                <a:schemeClr val="bg2">
                  <a:lumMod val="90000"/>
                </a:schemeClr>
              </a:solidFill>
              <a:ln w="12700">
                <a:solidFill>
                  <a:schemeClr val="tx1"/>
                </a:solidFill>
                <a:prstDash val="sysDot"/>
                <a:round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2"/>
                    </a:solidFill>
                    <a:latin typeface="Raleway" pitchFamily="2" charset="0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SueldosBrutos!$T$139:$AE$139</c:f>
              <c:numCache>
                <c:formatCode>General</c:formatCode>
                <c:ptCount val="12"/>
                <c:pt idx="0">
                  <c:v>89</c:v>
                </c:pt>
                <c:pt idx="1">
                  <c:v>84</c:v>
                </c:pt>
                <c:pt idx="2">
                  <c:v>75</c:v>
                </c:pt>
                <c:pt idx="3">
                  <c:v>88</c:v>
                </c:pt>
                <c:pt idx="4">
                  <c:v>88</c:v>
                </c:pt>
                <c:pt idx="5">
                  <c:v>88</c:v>
                </c:pt>
                <c:pt idx="6">
                  <c:v>88</c:v>
                </c:pt>
                <c:pt idx="7">
                  <c:v>91</c:v>
                </c:pt>
                <c:pt idx="8">
                  <c:v>92</c:v>
                </c:pt>
                <c:pt idx="9">
                  <c:v>88</c:v>
                </c:pt>
                <c:pt idx="10">
                  <c:v>88</c:v>
                </c:pt>
                <c:pt idx="11">
                  <c:v>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940-4061-8F49-4F6DA54610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70914015"/>
        <c:axId val="1170924095"/>
      </c:lineChart>
      <c:dateAx>
        <c:axId val="1170914015"/>
        <c:scaling>
          <c:orientation val="minMax"/>
        </c:scaling>
        <c:delete val="0"/>
        <c:axPos val="b"/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2"/>
                </a:solidFill>
                <a:latin typeface="Raleway" pitchFamily="2" charset="0"/>
                <a:ea typeface="+mn-ea"/>
                <a:cs typeface="+mn-cs"/>
              </a:defRPr>
            </a:pPr>
            <a:endParaRPr lang="es-CL"/>
          </a:p>
        </c:txPr>
        <c:crossAx val="1170924095"/>
        <c:crosses val="autoZero"/>
        <c:auto val="1"/>
        <c:lblOffset val="100"/>
        <c:baseTimeUnit val="months"/>
      </c:dateAx>
      <c:valAx>
        <c:axId val="117092409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2"/>
                </a:solidFill>
                <a:latin typeface="Raleway" pitchFamily="2" charset="0"/>
                <a:ea typeface="+mn-ea"/>
                <a:cs typeface="+mn-cs"/>
              </a:defRPr>
            </a:pPr>
            <a:endParaRPr lang="es-CL"/>
          </a:p>
        </c:txPr>
        <c:crossAx val="11709140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2"/>
              </a:solidFill>
              <a:latin typeface="Raleway" pitchFamily="2" charset="0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 sz="800">
          <a:latin typeface="Raleway" pitchFamily="2" charset="0"/>
        </a:defRPr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5398330629855587"/>
          <c:y val="3.7362204724409452E-2"/>
          <c:w val="0.50037367097252961"/>
          <c:h val="0.833261154855643"/>
        </c:manualLayout>
      </c:layout>
      <c:doughnutChart>
        <c:varyColors val="1"/>
        <c:ser>
          <c:idx val="0"/>
          <c:order val="0"/>
          <c:explosion val="1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DC8-462C-995E-202AC3B922C5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DC8-462C-995E-202AC3B922C5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DDC8-462C-995E-202AC3B922C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Graficos!$A$3:$A$5</c:f>
              <c:strCache>
                <c:ptCount val="3"/>
                <c:pt idx="0">
                  <c:v>Comercial</c:v>
                </c:pt>
                <c:pt idx="1">
                  <c:v>Administración</c:v>
                </c:pt>
                <c:pt idx="2">
                  <c:v>Otros</c:v>
                </c:pt>
              </c:strCache>
            </c:strRef>
          </c:cat>
          <c:val>
            <c:numRef>
              <c:f>Graficos!$B$3:$B$5</c:f>
              <c:numCache>
                <c:formatCode>#,##0.0</c:formatCode>
                <c:ptCount val="3"/>
                <c:pt idx="0">
                  <c:v>0.81530800000000003</c:v>
                </c:pt>
                <c:pt idx="1">
                  <c:v>1.256845</c:v>
                </c:pt>
                <c:pt idx="2">
                  <c:v>0.47623900000000002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FB-46BD-90E5-27E3CE790C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0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2588900673353088"/>
          <c:y val="6.8473490813648299E-2"/>
          <c:w val="0.55968385955813582"/>
          <c:h val="0.79686544181977248"/>
        </c:manualLayout>
      </c:layout>
      <c:doughnutChart>
        <c:varyColors val="1"/>
        <c:ser>
          <c:idx val="0"/>
          <c:order val="0"/>
          <c:explosion val="1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9D9-4081-9172-3BC638260EA9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9D9-4081-9172-3BC638260EA9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Graficos!$E$3:$E$4</c:f>
              <c:strCache>
                <c:ptCount val="2"/>
                <c:pt idx="0">
                  <c:v>G&amp;A</c:v>
                </c:pt>
                <c:pt idx="1">
                  <c:v>Operaciones</c:v>
                </c:pt>
              </c:strCache>
            </c:strRef>
          </c:cat>
          <c:val>
            <c:numRef>
              <c:f>Graficos!$F$3:$F$4</c:f>
              <c:numCache>
                <c:formatCode>#,##0.0</c:formatCode>
                <c:ptCount val="2"/>
                <c:pt idx="0">
                  <c:v>2.5483920000000002</c:v>
                </c:pt>
                <c:pt idx="1">
                  <c:v>5.096482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9D9-4081-9172-3BC638260E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0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0022731719035112"/>
          <c:y val="6.4305169136040605E-2"/>
          <c:w val="0.77553519706494456"/>
          <c:h val="0.89292971612049621"/>
        </c:manualLayout>
      </c:layout>
      <c:doughnutChart>
        <c:varyColors val="1"/>
        <c:ser>
          <c:idx val="0"/>
          <c:order val="0"/>
          <c:tx>
            <c:strRef>
              <c:f>Graficos!$E$44</c:f>
              <c:strCache>
                <c:ptCount val="1"/>
                <c:pt idx="0">
                  <c:v>USD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9AAB-4C0B-A67C-EFF86D4D9C8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9AAB-4C0B-A67C-EFF86D4D9C8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9AAB-4C0B-A67C-EFF86D4D9C8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9AAB-4C0B-A67C-EFF86D4D9C8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9AAB-4C0B-A67C-EFF86D4D9C8D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9AAB-4C0B-A67C-EFF86D4D9C8D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9AAB-4C0B-A67C-EFF86D4D9C8D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9AAB-4C0B-A67C-EFF86D4D9C8D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9AAB-4C0B-A67C-EFF86D4D9C8D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9AAB-4C0B-A67C-EFF86D4D9C8D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9AAB-4C0B-A67C-EFF86D4D9C8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Graficos!$D$45:$D$55</c:f>
              <c:strCache>
                <c:ptCount val="11"/>
                <c:pt idx="0">
                  <c:v>Servicio backoffice</c:v>
                </c:pt>
                <c:pt idx="1">
                  <c:v>Sueldo</c:v>
                </c:pt>
                <c:pt idx="2">
                  <c:v>Arriendos y gastos comunes</c:v>
                </c:pt>
                <c:pt idx="3">
                  <c:v>Software</c:v>
                </c:pt>
                <c:pt idx="4">
                  <c:v>Gastos bancarios</c:v>
                </c:pt>
                <c:pt idx="5">
                  <c:v>Gastos generales</c:v>
                </c:pt>
                <c:pt idx="6">
                  <c:v>Asesoría legal</c:v>
                </c:pt>
                <c:pt idx="7">
                  <c:v>Capacitación</c:v>
                </c:pt>
                <c:pt idx="8">
                  <c:v>Aseo y limpieza</c:v>
                </c:pt>
                <c:pt idx="9">
                  <c:v>Seguros</c:v>
                </c:pt>
                <c:pt idx="10">
                  <c:v>Vacunas</c:v>
                </c:pt>
              </c:strCache>
            </c:strRef>
          </c:cat>
          <c:val>
            <c:numRef>
              <c:f>Graficos!$E$45:$E$55</c:f>
              <c:numCache>
                <c:formatCode>#,##0</c:formatCode>
                <c:ptCount val="11"/>
                <c:pt idx="0">
                  <c:v>360000</c:v>
                </c:pt>
                <c:pt idx="1">
                  <c:v>242600</c:v>
                </c:pt>
                <c:pt idx="2">
                  <c:v>218748</c:v>
                </c:pt>
                <c:pt idx="3">
                  <c:v>72000</c:v>
                </c:pt>
                <c:pt idx="4">
                  <c:v>70010</c:v>
                </c:pt>
                <c:pt idx="5">
                  <c:v>38520</c:v>
                </c:pt>
                <c:pt idx="6">
                  <c:v>37040</c:v>
                </c:pt>
                <c:pt idx="7">
                  <c:v>30000</c:v>
                </c:pt>
                <c:pt idx="8">
                  <c:v>21336</c:v>
                </c:pt>
                <c:pt idx="9">
                  <c:v>20400</c:v>
                </c:pt>
                <c:pt idx="10">
                  <c:v>19200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BB4-4708-9FA9-5122641D5E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0"/>
      </c:doughnutChart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9983352451265011E-2"/>
          <c:y val="3.9195760397301396E-2"/>
          <c:w val="0.27849161879316287"/>
          <c:h val="0.9311402300679457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2455480928034774"/>
          <c:y val="0.12478843163305395"/>
          <c:w val="0.72168088055418389"/>
          <c:h val="0.80724823775972965"/>
        </c:manualLayout>
      </c:layout>
      <c:doughnutChart>
        <c:varyColors val="1"/>
        <c:ser>
          <c:idx val="0"/>
          <c:order val="0"/>
          <c:tx>
            <c:strRef>
              <c:f>Graficos!$E$28</c:f>
              <c:strCache>
                <c:ptCount val="1"/>
                <c:pt idx="0">
                  <c:v>USD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03F-4403-97B5-103C0D738BB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03F-4403-97B5-103C0D738BB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Graficos!$D$29:$D$30</c:f>
              <c:strCache>
                <c:ptCount val="2"/>
                <c:pt idx="0">
                  <c:v>Sueldo</c:v>
                </c:pt>
                <c:pt idx="1">
                  <c:v>Ferias</c:v>
                </c:pt>
              </c:strCache>
            </c:strRef>
          </c:cat>
          <c:val>
            <c:numRef>
              <c:f>Graficos!$E$29:$E$30</c:f>
              <c:numCache>
                <c:formatCode>#,##0</c:formatCode>
                <c:ptCount val="2"/>
                <c:pt idx="0">
                  <c:v>577620</c:v>
                </c:pt>
                <c:pt idx="1">
                  <c:v>146297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C7-4917-8021-B2BA02BA23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0"/>
      </c:doughnutChart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2.6587996787303354E-2"/>
          <c:y val="0.38747296572182399"/>
          <c:w val="0.18992142079451058"/>
          <c:h val="0.3440869033420577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7957525543517597"/>
          <c:y val="7.8793004929607016E-2"/>
          <c:w val="0.75709353625085574"/>
          <c:h val="0.84241366274544693"/>
        </c:manualLayout>
      </c:layout>
      <c:doughnutChart>
        <c:varyColors val="1"/>
        <c:ser>
          <c:idx val="0"/>
          <c:order val="0"/>
          <c:tx>
            <c:strRef>
              <c:f>Graficos!$E$81</c:f>
              <c:strCache>
                <c:ptCount val="1"/>
                <c:pt idx="0">
                  <c:v>USD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099-4C78-8B70-1A56529CF33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099-4C78-8B70-1A56529CF33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Graficos!$D$82:$D$83</c:f>
              <c:strCache>
                <c:ptCount val="2"/>
                <c:pt idx="0">
                  <c:v>Sueldo</c:v>
                </c:pt>
                <c:pt idx="1">
                  <c:v>Consultor / servicio externo</c:v>
                </c:pt>
              </c:strCache>
            </c:strRef>
          </c:cat>
          <c:val>
            <c:numRef>
              <c:f>Graficos!$E$82:$E$83</c:f>
              <c:numCache>
                <c:formatCode>#,##0</c:formatCode>
                <c:ptCount val="2"/>
                <c:pt idx="0">
                  <c:v>3292876</c:v>
                </c:pt>
                <c:pt idx="1">
                  <c:v>401250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0F-46DD-B666-24B7C89BDF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0"/>
      </c:doughnutChart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9695387865414297"/>
          <c:y val="8.1929588682121413E-2"/>
          <c:w val="0.83427062024830767"/>
          <c:h val="0.85506240732702288"/>
        </c:manualLayout>
      </c:layout>
      <c:doughnutChart>
        <c:varyColors val="1"/>
        <c:ser>
          <c:idx val="0"/>
          <c:order val="0"/>
          <c:tx>
            <c:strRef>
              <c:f>Graficos!$E$99</c:f>
              <c:strCache>
                <c:ptCount val="1"/>
                <c:pt idx="0">
                  <c:v>USD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C51E-4D7A-8797-5CADFA3837D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51E-4D7A-8797-5CADFA3837D2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C51E-4D7A-8797-5CADFA3837D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Graficos!$D$100:$D$102</c:f>
              <c:strCache>
                <c:ptCount val="3"/>
                <c:pt idx="0">
                  <c:v>Sueldo</c:v>
                </c:pt>
                <c:pt idx="1">
                  <c:v>Consultor / servicio externo</c:v>
                </c:pt>
                <c:pt idx="2">
                  <c:v>Software</c:v>
                </c:pt>
              </c:strCache>
            </c:strRef>
          </c:cat>
          <c:val>
            <c:numRef>
              <c:f>Graficos!$E$100:$E$102</c:f>
              <c:numCache>
                <c:formatCode>#,##0</c:formatCode>
                <c:ptCount val="3"/>
                <c:pt idx="0">
                  <c:v>730724</c:v>
                </c:pt>
                <c:pt idx="1">
                  <c:v>200000</c:v>
                </c:pt>
                <c:pt idx="2">
                  <c:v>78300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20-4013-B093-FA0C739858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0"/>
      </c:doughnutChart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60" b="1" i="0" u="none" strike="noStrike" kern="1200" baseline="0">
                <a:solidFill>
                  <a:schemeClr val="tx2"/>
                </a:solidFill>
                <a:latin typeface="Raleway" pitchFamily="2" charset="0"/>
                <a:ea typeface="+mn-ea"/>
                <a:cs typeface="+mn-cs"/>
              </a:defRPr>
            </a:pPr>
            <a:r>
              <a:rPr lang="es-CL"/>
              <a:t>Escenario 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60" b="1" i="0" u="none" strike="noStrike" kern="1200" baseline="0">
              <a:solidFill>
                <a:schemeClr val="tx2"/>
              </a:solidFill>
              <a:latin typeface="Raleway" pitchFamily="2" charset="0"/>
              <a:ea typeface="+mn-ea"/>
              <a:cs typeface="+mn-cs"/>
            </a:defRPr>
          </a:pPr>
          <a:endParaRPr lang="es-CL"/>
        </a:p>
      </c:txPr>
    </c:title>
    <c:autoTitleDeleted val="0"/>
    <c:plotArea>
      <c:layout>
        <c:manualLayout>
          <c:layoutTarget val="inner"/>
          <c:xMode val="edge"/>
          <c:yMode val="edge"/>
          <c:x val="0.23067913385826772"/>
          <c:y val="0.13690179352580928"/>
          <c:w val="0.48864195100612423"/>
          <c:h val="0.81440325167687377"/>
        </c:manualLayout>
      </c:layout>
      <c:doughnutChart>
        <c:varyColors val="1"/>
        <c:ser>
          <c:idx val="0"/>
          <c:order val="0"/>
          <c:explosion val="1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A327-46CB-ACFD-ABE36B17B347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327-46CB-ACFD-ABE36B17B347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2FE-4ED2-9D92-C9B361DDEBD6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32FE-4ED2-9D92-C9B361DDEBD6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2FE-4ED2-9D92-C9B361DDEBD6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A327-46CB-ACFD-ABE36B17B347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dk2">
                        <a:lumMod val="75000"/>
                      </a:schemeClr>
                    </a:solidFill>
                    <a:latin typeface="Raleway" pitchFamily="2" charset="0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Graficos!$R$2:$R$7</c:f>
              <c:strCache>
                <c:ptCount val="6"/>
                <c:pt idx="0">
                  <c:v>Ingeniería</c:v>
                </c:pt>
                <c:pt idx="1">
                  <c:v>Administración</c:v>
                </c:pt>
                <c:pt idx="2">
                  <c:v>Geomecánica</c:v>
                </c:pt>
                <c:pt idx="3">
                  <c:v>Comercial</c:v>
                </c:pt>
                <c:pt idx="4">
                  <c:v>Otros</c:v>
                </c:pt>
                <c:pt idx="5">
                  <c:v>Gestión</c:v>
                </c:pt>
              </c:strCache>
            </c:strRef>
          </c:cat>
          <c:val>
            <c:numRef>
              <c:f>Graficos!$S$2:$S$7</c:f>
              <c:numCache>
                <c:formatCode>#,##0</c:formatCode>
                <c:ptCount val="6"/>
                <c:pt idx="0">
                  <c:v>3888.5279999999998</c:v>
                </c:pt>
                <c:pt idx="1">
                  <c:v>1256.845</c:v>
                </c:pt>
                <c:pt idx="2">
                  <c:v>1079.0239999999999</c:v>
                </c:pt>
                <c:pt idx="3">
                  <c:v>815.30799999999999</c:v>
                </c:pt>
                <c:pt idx="4">
                  <c:v>476.23899999999998</c:v>
                </c:pt>
                <c:pt idx="5">
                  <c:v>128.93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327-46CB-ACFD-ABE36B17B3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65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2"/>
              </a:solidFill>
              <a:latin typeface="Raleway" pitchFamily="2" charset="0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 sz="800">
          <a:latin typeface="Raleway" pitchFamily="2" charset="0"/>
        </a:defRPr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[Presupuesto 2026_v3.xlsm]Estados de Pago!TablaDinámica5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2"/>
                </a:solidFill>
                <a:latin typeface="Raleway" pitchFamily="2" charset="0"/>
                <a:ea typeface="+mn-ea"/>
                <a:cs typeface="+mn-cs"/>
              </a:defRPr>
            </a:pPr>
            <a:r>
              <a:rPr lang="es-CL" sz="1200"/>
              <a:t>Proyección de EDP 2026 (kUS$)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2"/>
              </a:solidFill>
              <a:latin typeface="Raleway" pitchFamily="2" charset="0"/>
              <a:ea typeface="+mn-ea"/>
              <a:cs typeface="+mn-cs"/>
            </a:defRPr>
          </a:pPr>
          <a:endParaRPr lang="es-CL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2"/>
                  </a:solidFill>
                  <a:latin typeface="Raleway" pitchFamily="2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C0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2"/>
                  </a:solidFill>
                  <a:latin typeface="Raleway" pitchFamily="2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00206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2"/>
                  </a:solidFill>
                  <a:latin typeface="Raleway" pitchFamily="2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2"/>
                  </a:solidFill>
                  <a:latin typeface="Raleway" pitchFamily="2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tx2">
              <a:lumMod val="25000"/>
              <a:lumOff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2"/>
                  </a:solidFill>
                  <a:latin typeface="Raleway" pitchFamily="2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2"/>
                  </a:solidFill>
                  <a:latin typeface="Raleway" pitchFamily="2" charset="0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2"/>
                  </a:solidFill>
                  <a:latin typeface="Raleway" pitchFamily="2" charset="0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2"/>
                  </a:solidFill>
                  <a:latin typeface="Raleway" pitchFamily="2" charset="0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2"/>
                  </a:solidFill>
                  <a:latin typeface="Raleway" pitchFamily="2" charset="0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2"/>
                  </a:solidFill>
                  <a:latin typeface="Raleway" pitchFamily="2" charset="0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2"/>
                  </a:solidFill>
                  <a:latin typeface="Raleway" pitchFamily="2" charset="0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2"/>
                  </a:solidFill>
                  <a:latin typeface="Raleway" pitchFamily="2" charset="0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2"/>
                  </a:solidFill>
                  <a:latin typeface="Raleway" pitchFamily="2" charset="0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2"/>
                  </a:solidFill>
                  <a:latin typeface="Raleway" pitchFamily="2" charset="0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2"/>
                  </a:solidFill>
                  <a:latin typeface="Raleway" pitchFamily="2" charset="0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'Estados de Pago'!$B$1:$B$2</c:f>
              <c:strCache>
                <c:ptCount val="1"/>
                <c:pt idx="0">
                  <c:v>Rusia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strRef>
              <c:f>'Estados de Pago'!$A$3:$A$15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'Estados de Pago'!$B$3:$B$15</c:f>
              <c:numCache>
                <c:formatCode>#,##0</c:formatCode>
                <c:ptCount val="12"/>
                <c:pt idx="0">
                  <c:v>1362031.2875304301</c:v>
                </c:pt>
                <c:pt idx="1">
                  <c:v>229576.52034358567</c:v>
                </c:pt>
                <c:pt idx="2">
                  <c:v>95569.51771653544</c:v>
                </c:pt>
                <c:pt idx="3">
                  <c:v>12993.454724409448</c:v>
                </c:pt>
                <c:pt idx="4">
                  <c:v>13071.259842519685</c:v>
                </c:pt>
                <c:pt idx="5">
                  <c:v>13071.259842519685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C9-40C4-B1A6-5BB283FB4AAE}"/>
            </c:ext>
          </c:extLst>
        </c:ser>
        <c:ser>
          <c:idx val="2"/>
          <c:order val="1"/>
          <c:tx>
            <c:strRef>
              <c:f>'Estados de Pago'!$C$1:$C$2</c:f>
              <c:strCache>
                <c:ptCount val="1"/>
                <c:pt idx="0">
                  <c:v>Perú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strRef>
              <c:f>'Estados de Pago'!$A$3:$A$15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'Estados de Pago'!$C$3:$C$15</c:f>
              <c:numCache>
                <c:formatCode>#,##0</c:formatCode>
                <c:ptCount val="12"/>
                <c:pt idx="0">
                  <c:v>189301.96255547131</c:v>
                </c:pt>
                <c:pt idx="1">
                  <c:v>195467.57081566149</c:v>
                </c:pt>
                <c:pt idx="2">
                  <c:v>132460.53739256575</c:v>
                </c:pt>
                <c:pt idx="3">
                  <c:v>129788.08083743647</c:v>
                </c:pt>
                <c:pt idx="4">
                  <c:v>31657.884069720312</c:v>
                </c:pt>
                <c:pt idx="5">
                  <c:v>18246.453182002384</c:v>
                </c:pt>
                <c:pt idx="6">
                  <c:v>2417.5111471423006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DC9-40C4-B1A6-5BB283FB4AAE}"/>
            </c:ext>
          </c:extLst>
        </c:ser>
        <c:ser>
          <c:idx val="3"/>
          <c:order val="2"/>
          <c:tx>
            <c:strRef>
              <c:f>'Estados de Pago'!$D$1:$D$2</c:f>
              <c:strCache>
                <c:ptCount val="1"/>
                <c:pt idx="0">
                  <c:v>Chile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/>
          </c:spPr>
          <c:invertIfNegative val="0"/>
          <c:cat>
            <c:strRef>
              <c:f>'Estados de Pago'!$A$3:$A$15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'Estados de Pago'!$D$3:$D$15</c:f>
              <c:numCache>
                <c:formatCode>#,##0</c:formatCode>
                <c:ptCount val="12"/>
                <c:pt idx="0">
                  <c:v>46141.768483893153</c:v>
                </c:pt>
                <c:pt idx="1">
                  <c:v>207370.65308704248</c:v>
                </c:pt>
                <c:pt idx="2">
                  <c:v>188088.28069683845</c:v>
                </c:pt>
                <c:pt idx="3">
                  <c:v>72621.937038390737</c:v>
                </c:pt>
                <c:pt idx="4">
                  <c:v>39642.142142142155</c:v>
                </c:pt>
                <c:pt idx="5">
                  <c:v>28238.238238238206</c:v>
                </c:pt>
                <c:pt idx="6">
                  <c:v>45697.072072072013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DC9-40C4-B1A6-5BB283FB4AAE}"/>
            </c:ext>
          </c:extLst>
        </c:ser>
        <c:ser>
          <c:idx val="4"/>
          <c:order val="3"/>
          <c:tx>
            <c:strRef>
              <c:f>'Estados de Pago'!$E$1:$E$2</c:f>
              <c:strCache>
                <c:ptCount val="1"/>
                <c:pt idx="0">
                  <c:v>USA</c:v>
                </c:pt>
              </c:strCache>
            </c:strRef>
          </c:tx>
          <c:spPr>
            <a:solidFill>
              <a:schemeClr val="tx2">
                <a:lumMod val="25000"/>
                <a:lumOff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'Estados de Pago'!$A$3:$A$15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'Estados de Pago'!$E$3:$E$15</c:f>
              <c:numCache>
                <c:formatCode>#,##0</c:formatCode>
                <c:ptCount val="12"/>
                <c:pt idx="0">
                  <c:v>6163.5220125786182</c:v>
                </c:pt>
                <c:pt idx="1">
                  <c:v>129145.28405320522</c:v>
                </c:pt>
                <c:pt idx="2">
                  <c:v>54530.222127296031</c:v>
                </c:pt>
                <c:pt idx="3">
                  <c:v>158251.92866296455</c:v>
                </c:pt>
                <c:pt idx="4">
                  <c:v>178260.05766766344</c:v>
                </c:pt>
                <c:pt idx="5">
                  <c:v>0</c:v>
                </c:pt>
                <c:pt idx="6">
                  <c:v>7998.9854762921459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DC9-40C4-B1A6-5BB283FB4AAE}"/>
            </c:ext>
          </c:extLst>
        </c:ser>
        <c:ser>
          <c:idx val="0"/>
          <c:order val="4"/>
          <c:tx>
            <c:strRef>
              <c:f>'Estados de Pago'!$F$1:$F$2</c:f>
              <c:strCache>
                <c:ptCount val="1"/>
                <c:pt idx="0">
                  <c:v>Brasil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'Estados de Pago'!$A$3:$A$15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'Estados de Pago'!$F$3:$F$15</c:f>
              <c:numCache>
                <c:formatCode>#,##0</c:formatCode>
                <c:ptCount val="12"/>
                <c:pt idx="0">
                  <c:v>45167.686199999996</c:v>
                </c:pt>
                <c:pt idx="1">
                  <c:v>134997.32798257645</c:v>
                </c:pt>
                <c:pt idx="2">
                  <c:v>105002.67201742354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723-406F-9BDB-A435E89971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5"/>
        <c:overlap val="100"/>
        <c:axId val="400398767"/>
        <c:axId val="400399247"/>
      </c:barChart>
      <c:catAx>
        <c:axId val="4003987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2"/>
                </a:solidFill>
                <a:latin typeface="Raleway" pitchFamily="2" charset="0"/>
                <a:ea typeface="+mn-ea"/>
                <a:cs typeface="+mn-cs"/>
              </a:defRPr>
            </a:pPr>
            <a:endParaRPr lang="es-CL"/>
          </a:p>
        </c:txPr>
        <c:crossAx val="400399247"/>
        <c:crosses val="autoZero"/>
        <c:auto val="1"/>
        <c:lblAlgn val="ctr"/>
        <c:lblOffset val="100"/>
        <c:noMultiLvlLbl val="0"/>
      </c:catAx>
      <c:valAx>
        <c:axId val="400399247"/>
        <c:scaling>
          <c:orientation val="minMax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2"/>
                </a:solidFill>
                <a:latin typeface="Raleway" pitchFamily="2" charset="0"/>
                <a:ea typeface="+mn-ea"/>
                <a:cs typeface="+mn-cs"/>
              </a:defRPr>
            </a:pPr>
            <a:endParaRPr lang="es-CL"/>
          </a:p>
        </c:txPr>
        <c:crossAx val="400398767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2"/>
              </a:solidFill>
              <a:latin typeface="Raleway" pitchFamily="2" charset="0"/>
              <a:ea typeface="+mn-ea"/>
              <a:cs typeface="+mn-cs"/>
            </a:defRPr>
          </a:pPr>
          <a:endParaRPr lang="es-CL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 sz="1100">
          <a:latin typeface="Raleway" pitchFamily="2" charset="0"/>
        </a:defRPr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[Presupuesto 2026_v3.xlsm]Estados de Pago!TablaDinámica23</c:name>
    <c:fmtId val="17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1" i="0" u="none" strike="noStrike" kern="1200" baseline="0">
              <a:solidFill>
                <a:schemeClr val="tx2"/>
              </a:solidFill>
              <a:latin typeface="Raleway" pitchFamily="2" charset="0"/>
              <a:ea typeface="+mn-ea"/>
              <a:cs typeface="+mn-cs"/>
            </a:defRPr>
          </a:pPr>
          <a:endParaRPr lang="es-CL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2"/>
                  </a:solidFill>
                  <a:latin typeface="Raleway" pitchFamily="2" charset="0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1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FFC000"/>
          </a:solidFill>
          <a:ln>
            <a:noFill/>
          </a:ln>
          <a:effectLst/>
        </c:spPr>
      </c:pivotFmt>
      <c:pivotFmt>
        <c:idx val="2"/>
        <c:spPr>
          <a:solidFill>
            <a:srgbClr val="C00000"/>
          </a:solidFill>
          <a:ln>
            <a:noFill/>
          </a:ln>
          <a:effectLst/>
        </c:spPr>
      </c:pivotFmt>
      <c:pivotFmt>
        <c:idx val="3"/>
        <c:spPr>
          <a:solidFill>
            <a:srgbClr val="002060"/>
          </a:solidFill>
          <a:ln>
            <a:noFill/>
          </a:ln>
          <a:effectLst/>
        </c:spPr>
      </c:pivotFmt>
      <c:pivotFmt>
        <c:idx val="4"/>
        <c:spPr>
          <a:solidFill>
            <a:schemeClr val="tx2">
              <a:lumMod val="25000"/>
              <a:lumOff val="75000"/>
            </a:schemeClr>
          </a:solidFill>
          <a:ln>
            <a:noFill/>
          </a:ln>
          <a:effectLst/>
        </c:spPr>
      </c:pivotFmt>
      <c:pivotFmt>
        <c:idx val="5"/>
        <c:spPr>
          <a:solidFill>
            <a:srgbClr val="00B050"/>
          </a:solidFill>
          <a:ln>
            <a:noFill/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21057917760279965"/>
          <c:y val="0.12481189851268591"/>
          <c:w val="0.48103127734033246"/>
          <c:h val="0.80171879556722081"/>
        </c:manualLayout>
      </c:layout>
      <c:doughnutChart>
        <c:varyColors val="1"/>
        <c:ser>
          <c:idx val="0"/>
          <c:order val="0"/>
          <c:tx>
            <c:strRef>
              <c:f>'Estados de Pago'!$B$19</c:f>
              <c:strCache>
                <c:ptCount val="1"/>
                <c:pt idx="0">
                  <c:v>Total</c:v>
                </c:pt>
              </c:strCache>
            </c:strRef>
          </c:tx>
          <c:explosion val="1"/>
          <c:dPt>
            <c:idx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D24D-4DA4-9048-772EB1933CF7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24D-4DA4-9048-772EB1933CF7}"/>
              </c:ext>
            </c:extLst>
          </c:dPt>
          <c:dPt>
            <c:idx val="2"/>
            <c:bubble3D val="0"/>
            <c:spPr>
              <a:solidFill>
                <a:srgbClr val="00206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D24D-4DA4-9048-772EB1933CF7}"/>
              </c:ext>
            </c:extLst>
          </c:dPt>
          <c:dPt>
            <c:idx val="3"/>
            <c:bubble3D val="0"/>
            <c:spPr>
              <a:solidFill>
                <a:schemeClr val="tx2">
                  <a:lumMod val="25000"/>
                  <a:lumOff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D24D-4DA4-9048-772EB1933CF7}"/>
              </c:ext>
            </c:extLst>
          </c:dPt>
          <c:dPt>
            <c:idx val="4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D24D-4DA4-9048-772EB1933CF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2"/>
                    </a:solidFill>
                    <a:latin typeface="Raleway" pitchFamily="2" charset="0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'Estados de Pago'!$A$20:$A$25</c:f>
              <c:strCache>
                <c:ptCount val="5"/>
                <c:pt idx="0">
                  <c:v>Rusia</c:v>
                </c:pt>
                <c:pt idx="1">
                  <c:v>Perú</c:v>
                </c:pt>
                <c:pt idx="2">
                  <c:v>Chile</c:v>
                </c:pt>
                <c:pt idx="3">
                  <c:v>USA</c:v>
                </c:pt>
                <c:pt idx="4">
                  <c:v>Brasil</c:v>
                </c:pt>
              </c:strCache>
            </c:strRef>
          </c:cat>
          <c:val>
            <c:numRef>
              <c:f>'Estados de Pago'!$B$20:$B$25</c:f>
              <c:numCache>
                <c:formatCode>#,##0</c:formatCode>
                <c:ptCount val="5"/>
                <c:pt idx="0">
                  <c:v>1726313.2999999998</c:v>
                </c:pt>
                <c:pt idx="1">
                  <c:v>699340</c:v>
                </c:pt>
                <c:pt idx="2">
                  <c:v>627800.09175861708</c:v>
                </c:pt>
                <c:pt idx="3">
                  <c:v>534350</c:v>
                </c:pt>
                <c:pt idx="4">
                  <c:v>285167.6862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4D-4DA4-9048-772EB1933C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5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2"/>
              </a:solidFill>
              <a:latin typeface="Raleway" pitchFamily="2" charset="0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 sz="1100">
          <a:latin typeface="Raleway" pitchFamily="2" charset="0"/>
        </a:defRPr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6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s-CL"/>
              <a:t>HH Potenciales 2026 - Ingeniería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6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'HH Potenciales 2026 (2)'!$F$1</c:f>
              <c:strCache>
                <c:ptCount val="1"/>
                <c:pt idx="0">
                  <c:v>HH Chile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8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58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58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numRef>
              <c:f>'HH Potenciales 2026 (2)'!$A$2:$A$13</c:f>
              <c:numCache>
                <c:formatCode>mmm\-yy</c:formatCode>
                <c:ptCount val="12"/>
                <c:pt idx="0">
                  <c:v>46023</c:v>
                </c:pt>
                <c:pt idx="1">
                  <c:v>46054</c:v>
                </c:pt>
                <c:pt idx="2">
                  <c:v>46082</c:v>
                </c:pt>
                <c:pt idx="3">
                  <c:v>46113</c:v>
                </c:pt>
                <c:pt idx="4">
                  <c:v>46143</c:v>
                </c:pt>
                <c:pt idx="5">
                  <c:v>46174</c:v>
                </c:pt>
                <c:pt idx="6">
                  <c:v>46204</c:v>
                </c:pt>
                <c:pt idx="7">
                  <c:v>46235</c:v>
                </c:pt>
                <c:pt idx="8">
                  <c:v>46266</c:v>
                </c:pt>
                <c:pt idx="9">
                  <c:v>46296</c:v>
                </c:pt>
                <c:pt idx="10">
                  <c:v>46327</c:v>
                </c:pt>
                <c:pt idx="11">
                  <c:v>46357</c:v>
                </c:pt>
              </c:numCache>
            </c:numRef>
          </c:cat>
          <c:val>
            <c:numRef>
              <c:f>'HH Potenciales 2026 (2)'!$F$2:$F$13</c:f>
              <c:numCache>
                <c:formatCode>#,##0</c:formatCode>
                <c:ptCount val="12"/>
                <c:pt idx="0">
                  <c:v>7830</c:v>
                </c:pt>
                <c:pt idx="1">
                  <c:v>6552</c:v>
                </c:pt>
                <c:pt idx="2">
                  <c:v>5580</c:v>
                </c:pt>
                <c:pt idx="3">
                  <c:v>4959</c:v>
                </c:pt>
                <c:pt idx="4">
                  <c:v>4611</c:v>
                </c:pt>
                <c:pt idx="5">
                  <c:v>5394</c:v>
                </c:pt>
                <c:pt idx="6">
                  <c:v>5307</c:v>
                </c:pt>
                <c:pt idx="7">
                  <c:v>5133</c:v>
                </c:pt>
                <c:pt idx="8">
                  <c:v>4959</c:v>
                </c:pt>
                <c:pt idx="9">
                  <c:v>5046</c:v>
                </c:pt>
                <c:pt idx="10">
                  <c:v>5133</c:v>
                </c:pt>
                <c:pt idx="11">
                  <c:v>5220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DB-42E0-AE71-1EB35E66B45B}"/>
            </c:ext>
          </c:extLst>
        </c:ser>
        <c:ser>
          <c:idx val="1"/>
          <c:order val="1"/>
          <c:tx>
            <c:strRef>
              <c:f>'HH Potenciales 2026 (2)'!$G$1</c:f>
              <c:strCache>
                <c:ptCount val="1"/>
                <c:pt idx="0">
                  <c:v>HH Perú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86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86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86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numRef>
              <c:f>'HH Potenciales 2026 (2)'!$A$2:$A$13</c:f>
              <c:numCache>
                <c:formatCode>mmm\-yy</c:formatCode>
                <c:ptCount val="12"/>
                <c:pt idx="0">
                  <c:v>46023</c:v>
                </c:pt>
                <c:pt idx="1">
                  <c:v>46054</c:v>
                </c:pt>
                <c:pt idx="2">
                  <c:v>46082</c:v>
                </c:pt>
                <c:pt idx="3">
                  <c:v>46113</c:v>
                </c:pt>
                <c:pt idx="4">
                  <c:v>46143</c:v>
                </c:pt>
                <c:pt idx="5">
                  <c:v>46174</c:v>
                </c:pt>
                <c:pt idx="6">
                  <c:v>46204</c:v>
                </c:pt>
                <c:pt idx="7">
                  <c:v>46235</c:v>
                </c:pt>
                <c:pt idx="8">
                  <c:v>46266</c:v>
                </c:pt>
                <c:pt idx="9">
                  <c:v>46296</c:v>
                </c:pt>
                <c:pt idx="10">
                  <c:v>46327</c:v>
                </c:pt>
                <c:pt idx="11">
                  <c:v>46357</c:v>
                </c:pt>
              </c:numCache>
            </c:numRef>
          </c:cat>
          <c:val>
            <c:numRef>
              <c:f>'HH Potenciales 2026 (2)'!$G$2:$G$13</c:f>
              <c:numCache>
                <c:formatCode>#,##0</c:formatCode>
                <c:ptCount val="12"/>
                <c:pt idx="0">
                  <c:v>3132</c:v>
                </c:pt>
                <c:pt idx="1">
                  <c:v>3024</c:v>
                </c:pt>
                <c:pt idx="2">
                  <c:v>3162</c:v>
                </c:pt>
                <c:pt idx="3">
                  <c:v>2565</c:v>
                </c:pt>
                <c:pt idx="4">
                  <c:v>2430</c:v>
                </c:pt>
                <c:pt idx="5">
                  <c:v>2655</c:v>
                </c:pt>
                <c:pt idx="6">
                  <c:v>2610</c:v>
                </c:pt>
                <c:pt idx="7">
                  <c:v>2655</c:v>
                </c:pt>
                <c:pt idx="8">
                  <c:v>2790</c:v>
                </c:pt>
                <c:pt idx="9">
                  <c:v>2610</c:v>
                </c:pt>
                <c:pt idx="10">
                  <c:v>2655</c:v>
                </c:pt>
                <c:pt idx="11">
                  <c:v>2700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DB-42E0-AE71-1EB35E66B4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533712496"/>
        <c:axId val="533708176"/>
      </c:barChart>
      <c:lineChart>
        <c:grouping val="standard"/>
        <c:varyColors val="0"/>
        <c:ser>
          <c:idx val="2"/>
          <c:order val="2"/>
          <c:tx>
            <c:strRef>
              <c:f>'HH Potenciales 2026 (2)'!$H$1</c:f>
              <c:strCache>
                <c:ptCount val="1"/>
                <c:pt idx="0">
                  <c:v>Total HH</c:v>
                </c:pt>
              </c:strCache>
            </c:strRef>
          </c:tx>
          <c:spPr>
            <a:ln w="12700" cap="rnd">
              <a:solidFill>
                <a:sysClr val="windowText" lastClr="000000"/>
              </a:solidFill>
              <a:prstDash val="sysDot"/>
              <a:round/>
            </a:ln>
            <a:effectLst/>
          </c:spPr>
          <c:marker>
            <c:symbol val="circle"/>
            <c:size val="4"/>
            <c:spPr>
              <a:solidFill>
                <a:schemeClr val="tx1"/>
              </a:solidFill>
              <a:ln w="12700">
                <a:solidFill>
                  <a:sysClr val="windowText" lastClr="000000"/>
                </a:solidFill>
                <a:prstDash val="sysDot"/>
                <a:round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'HH Potenciales 2026 (2)'!$H$2:$H$13</c:f>
              <c:numCache>
                <c:formatCode>#,##0</c:formatCode>
                <c:ptCount val="12"/>
                <c:pt idx="0">
                  <c:v>10962</c:v>
                </c:pt>
                <c:pt idx="1">
                  <c:v>9576</c:v>
                </c:pt>
                <c:pt idx="2">
                  <c:v>8742</c:v>
                </c:pt>
                <c:pt idx="3">
                  <c:v>7524</c:v>
                </c:pt>
                <c:pt idx="4">
                  <c:v>7041</c:v>
                </c:pt>
                <c:pt idx="5">
                  <c:v>8049</c:v>
                </c:pt>
                <c:pt idx="6">
                  <c:v>7917</c:v>
                </c:pt>
                <c:pt idx="7">
                  <c:v>7788</c:v>
                </c:pt>
                <c:pt idx="8">
                  <c:v>7749</c:v>
                </c:pt>
                <c:pt idx="9">
                  <c:v>7656</c:v>
                </c:pt>
                <c:pt idx="10">
                  <c:v>7788</c:v>
                </c:pt>
                <c:pt idx="11">
                  <c:v>7920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FDB-42E0-AE71-1EB35E66B4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3712496"/>
        <c:axId val="533708176"/>
      </c:lineChart>
      <c:lineChart>
        <c:grouping val="standard"/>
        <c:varyColors val="0"/>
        <c:ser>
          <c:idx val="3"/>
          <c:order val="3"/>
          <c:tx>
            <c:strRef>
              <c:f>'HH Potenciales 2026 (2)'!$I$1</c:f>
              <c:strCache>
                <c:ptCount val="1"/>
                <c:pt idx="0">
                  <c:v>Total Dot</c:v>
                </c:pt>
              </c:strCache>
            </c:strRef>
          </c:tx>
          <c:spPr>
            <a:ln w="12700" cap="rnd">
              <a:solidFill>
                <a:schemeClr val="accent2"/>
              </a:solidFill>
              <a:prstDash val="sysDot"/>
              <a:round/>
            </a:ln>
            <a:effectLst/>
          </c:spPr>
          <c:marker>
            <c:symbol val="circle"/>
            <c:size val="4"/>
            <c:spPr>
              <a:solidFill>
                <a:schemeClr val="accent2"/>
              </a:solidFill>
              <a:ln w="12700">
                <a:solidFill>
                  <a:schemeClr val="accent2"/>
                </a:solidFill>
                <a:prstDash val="sysDot"/>
                <a:round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'HH Potenciales 2026 (2)'!$I$2:$I$13</c:f>
              <c:numCache>
                <c:formatCode>#,##0</c:formatCode>
                <c:ptCount val="12"/>
                <c:pt idx="0">
                  <c:v>63</c:v>
                </c:pt>
                <c:pt idx="1">
                  <c:v>57</c:v>
                </c:pt>
                <c:pt idx="2">
                  <c:v>47</c:v>
                </c:pt>
                <c:pt idx="3">
                  <c:v>44</c:v>
                </c:pt>
                <c:pt idx="4">
                  <c:v>44</c:v>
                </c:pt>
                <c:pt idx="5">
                  <c:v>44</c:v>
                </c:pt>
                <c:pt idx="6">
                  <c:v>44</c:v>
                </c:pt>
                <c:pt idx="7">
                  <c:v>44</c:v>
                </c:pt>
                <c:pt idx="8">
                  <c:v>44</c:v>
                </c:pt>
                <c:pt idx="9">
                  <c:v>44</c:v>
                </c:pt>
                <c:pt idx="10">
                  <c:v>44</c:v>
                </c:pt>
                <c:pt idx="11">
                  <c:v>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FDB-42E0-AE71-1EB35E66B4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7272784"/>
        <c:axId val="277271344"/>
      </c:lineChart>
      <c:dateAx>
        <c:axId val="533712496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533708176"/>
        <c:crosses val="autoZero"/>
        <c:auto val="1"/>
        <c:lblOffset val="100"/>
        <c:baseTimeUnit val="months"/>
      </c:dateAx>
      <c:valAx>
        <c:axId val="53370817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L"/>
                  <a:t>HH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533712496"/>
        <c:crosses val="autoZero"/>
        <c:crossBetween val="between"/>
      </c:valAx>
      <c:valAx>
        <c:axId val="277271344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L"/>
                  <a:t>N° dotación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</c:title>
        <c:numFmt formatCode="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277272784"/>
        <c:crosses val="max"/>
        <c:crossBetween val="between"/>
      </c:valAx>
      <c:catAx>
        <c:axId val="277272784"/>
        <c:scaling>
          <c:orientation val="minMax"/>
        </c:scaling>
        <c:delete val="1"/>
        <c:axPos val="b"/>
        <c:majorTickMark val="out"/>
        <c:minorTickMark val="none"/>
        <c:tickLblPos val="nextTo"/>
        <c:crossAx val="27727134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60" b="0" i="0" u="none" strike="noStrike" kern="1200" baseline="0">
                <a:solidFill>
                  <a:schemeClr val="tx2"/>
                </a:solidFill>
                <a:latin typeface="Raleway" pitchFamily="2" charset="0"/>
                <a:ea typeface="+mn-ea"/>
                <a:cs typeface="+mn-cs"/>
              </a:defRPr>
            </a:pPr>
            <a:r>
              <a:rPr lang="es-CL" b="0"/>
              <a:t>Margen (EDP´s vs Gasto) - kUSD </a:t>
            </a:r>
          </a:p>
        </c:rich>
      </c:tx>
      <c:layout>
        <c:manualLayout>
          <c:xMode val="edge"/>
          <c:yMode val="edge"/>
          <c:x val="2.1346896314577583E-2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60" b="0" i="0" u="none" strike="noStrike" kern="1200" baseline="0">
              <a:solidFill>
                <a:schemeClr val="tx2"/>
              </a:solidFill>
              <a:latin typeface="Raleway" pitchFamily="2" charset="0"/>
              <a:ea typeface="+mn-ea"/>
              <a:cs typeface="+mn-cs"/>
            </a:defRPr>
          </a:pPr>
          <a:endParaRPr lang="es-CL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Margenes!$A$11</c:f>
              <c:strCache>
                <c:ptCount val="1"/>
                <c:pt idx="0">
                  <c:v>Escenario A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tx2"/>
                    </a:solidFill>
                    <a:latin typeface="Raleway" pitchFamily="2" charset="0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Margenes!$B$10:$M$10</c:f>
              <c:numCache>
                <c:formatCode>mmm\-yy</c:formatCode>
                <c:ptCount val="12"/>
                <c:pt idx="0">
                  <c:v>46023</c:v>
                </c:pt>
                <c:pt idx="1">
                  <c:v>46054</c:v>
                </c:pt>
                <c:pt idx="2">
                  <c:v>46082</c:v>
                </c:pt>
                <c:pt idx="3">
                  <c:v>46113</c:v>
                </c:pt>
                <c:pt idx="4">
                  <c:v>46143</c:v>
                </c:pt>
                <c:pt idx="5">
                  <c:v>46174</c:v>
                </c:pt>
                <c:pt idx="6">
                  <c:v>46204</c:v>
                </c:pt>
                <c:pt idx="7">
                  <c:v>46235</c:v>
                </c:pt>
                <c:pt idx="8">
                  <c:v>46266</c:v>
                </c:pt>
                <c:pt idx="9">
                  <c:v>46296</c:v>
                </c:pt>
                <c:pt idx="10">
                  <c:v>46327</c:v>
                </c:pt>
                <c:pt idx="11">
                  <c:v>46357</c:v>
                </c:pt>
              </c:numCache>
            </c:numRef>
          </c:cat>
          <c:val>
            <c:numRef>
              <c:f>Margenes!$B$11:$M$11</c:f>
              <c:numCache>
                <c:formatCode>#,##0</c:formatCode>
                <c:ptCount val="12"/>
                <c:pt idx="0">
                  <c:v>896.21722678237313</c:v>
                </c:pt>
                <c:pt idx="1">
                  <c:v>141.99835628207131</c:v>
                </c:pt>
                <c:pt idx="2">
                  <c:v>741.82095342832008</c:v>
                </c:pt>
                <c:pt idx="3">
                  <c:v>534.27418728552811</c:v>
                </c:pt>
                <c:pt idx="4">
                  <c:v>419.92212974437251</c:v>
                </c:pt>
                <c:pt idx="5">
                  <c:v>250.7913513711909</c:v>
                </c:pt>
                <c:pt idx="6">
                  <c:v>265.25509704760987</c:v>
                </c:pt>
                <c:pt idx="7">
                  <c:v>217.50491584317024</c:v>
                </c:pt>
                <c:pt idx="8">
                  <c:v>198.51791584317027</c:v>
                </c:pt>
                <c:pt idx="9">
                  <c:v>259.39023921240062</c:v>
                </c:pt>
                <c:pt idx="10">
                  <c:v>182.30646423026701</c:v>
                </c:pt>
                <c:pt idx="11">
                  <c:v>191.33346423026705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D9-4DC7-801F-FE56F960B562}"/>
            </c:ext>
          </c:extLst>
        </c:ser>
        <c:ser>
          <c:idx val="1"/>
          <c:order val="1"/>
          <c:tx>
            <c:strRef>
              <c:f>Margenes!$A$12</c:f>
              <c:strCache>
                <c:ptCount val="1"/>
                <c:pt idx="0">
                  <c:v>Escenario B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tx2"/>
                    </a:solidFill>
                    <a:latin typeface="Raleway" pitchFamily="2" charset="0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Margenes!$B$10:$M$10</c:f>
              <c:numCache>
                <c:formatCode>mmm\-yy</c:formatCode>
                <c:ptCount val="12"/>
                <c:pt idx="0">
                  <c:v>46023</c:v>
                </c:pt>
                <c:pt idx="1">
                  <c:v>46054</c:v>
                </c:pt>
                <c:pt idx="2">
                  <c:v>46082</c:v>
                </c:pt>
                <c:pt idx="3">
                  <c:v>46113</c:v>
                </c:pt>
                <c:pt idx="4">
                  <c:v>46143</c:v>
                </c:pt>
                <c:pt idx="5">
                  <c:v>46174</c:v>
                </c:pt>
                <c:pt idx="6">
                  <c:v>46204</c:v>
                </c:pt>
                <c:pt idx="7">
                  <c:v>46235</c:v>
                </c:pt>
                <c:pt idx="8">
                  <c:v>46266</c:v>
                </c:pt>
                <c:pt idx="9">
                  <c:v>46296</c:v>
                </c:pt>
                <c:pt idx="10">
                  <c:v>46327</c:v>
                </c:pt>
                <c:pt idx="11">
                  <c:v>46357</c:v>
                </c:pt>
              </c:numCache>
            </c:numRef>
          </c:cat>
          <c:val>
            <c:numRef>
              <c:f>Margenes!$B$12:$M$12</c:f>
              <c:numCache>
                <c:formatCode>#,##0</c:formatCode>
                <c:ptCount val="12"/>
                <c:pt idx="0">
                  <c:v>744.88122678237323</c:v>
                </c:pt>
                <c:pt idx="1">
                  <c:v>135.6623562820713</c:v>
                </c:pt>
                <c:pt idx="2">
                  <c:v>803.96250339258722</c:v>
                </c:pt>
                <c:pt idx="3">
                  <c:v>795.23716212473062</c:v>
                </c:pt>
                <c:pt idx="4">
                  <c:v>642.39632960144161</c:v>
                </c:pt>
                <c:pt idx="5">
                  <c:v>377.04361377292571</c:v>
                </c:pt>
                <c:pt idx="6">
                  <c:v>410.75174694041175</c:v>
                </c:pt>
                <c:pt idx="7">
                  <c:v>377.74595322703863</c:v>
                </c:pt>
                <c:pt idx="8">
                  <c:v>358.75895322703866</c:v>
                </c:pt>
                <c:pt idx="9">
                  <c:v>385.64250161413543</c:v>
                </c:pt>
                <c:pt idx="10">
                  <c:v>308.55872663200205</c:v>
                </c:pt>
                <c:pt idx="11">
                  <c:v>217.58572663200198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D9-4DC7-801F-FE56F960B5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-1"/>
        <c:axId val="272211327"/>
        <c:axId val="272212287"/>
      </c:barChart>
      <c:dateAx>
        <c:axId val="272211327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2"/>
                </a:solidFill>
                <a:latin typeface="Raleway" pitchFamily="2" charset="0"/>
                <a:ea typeface="+mn-ea"/>
                <a:cs typeface="+mn-cs"/>
              </a:defRPr>
            </a:pPr>
            <a:endParaRPr lang="es-CL"/>
          </a:p>
        </c:txPr>
        <c:crossAx val="272212287"/>
        <c:crosses val="autoZero"/>
        <c:auto val="1"/>
        <c:lblOffset val="100"/>
        <c:baseTimeUnit val="months"/>
      </c:dateAx>
      <c:valAx>
        <c:axId val="272212287"/>
        <c:scaling>
          <c:orientation val="minMax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2"/>
                </a:solidFill>
                <a:latin typeface="Raleway" pitchFamily="2" charset="0"/>
                <a:ea typeface="+mn-ea"/>
                <a:cs typeface="+mn-cs"/>
              </a:defRPr>
            </a:pPr>
            <a:endParaRPr lang="es-CL"/>
          </a:p>
        </c:txPr>
        <c:crossAx val="2722113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2"/>
              </a:solidFill>
              <a:latin typeface="Raleway" pitchFamily="2" charset="0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 sz="800">
          <a:latin typeface="Raleway" pitchFamily="2" charset="0"/>
        </a:defRPr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0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0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30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30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7" Type="http://schemas.openxmlformats.org/officeDocument/2006/relationships/chart" Target="../charts/chart10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chart" Target="../charts/chart13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112</xdr:row>
      <xdr:rowOff>0</xdr:rowOff>
    </xdr:from>
    <xdr:to>
      <xdr:col>5</xdr:col>
      <xdr:colOff>3037458</xdr:colOff>
      <xdr:row>115</xdr:row>
      <xdr:rowOff>2902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6176DF81-5092-AA1A-7BD4-F6653B482B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452813" y="19073813"/>
          <a:ext cx="4740051" cy="502964"/>
        </a:xfrm>
        <a:prstGeom prst="rect">
          <a:avLst/>
        </a:prstGeom>
      </xdr:spPr>
    </xdr:pic>
    <xdr:clientData/>
  </xdr:twoCellAnchor>
  <xdr:twoCellAnchor editAs="oneCell">
    <xdr:from>
      <xdr:col>6</xdr:col>
      <xdr:colOff>59531</xdr:colOff>
      <xdr:row>107</xdr:row>
      <xdr:rowOff>154782</xdr:rowOff>
    </xdr:from>
    <xdr:to>
      <xdr:col>13</xdr:col>
      <xdr:colOff>610598</xdr:colOff>
      <xdr:row>120</xdr:row>
      <xdr:rowOff>53043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91D0A804-F50B-D0F4-0109-9BA458A66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382000" y="18395157"/>
          <a:ext cx="6027942" cy="206519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48049</xdr:colOff>
      <xdr:row>133</xdr:row>
      <xdr:rowOff>164677</xdr:rowOff>
    </xdr:from>
    <xdr:to>
      <xdr:col>10</xdr:col>
      <xdr:colOff>558800</xdr:colOff>
      <xdr:row>147</xdr:row>
      <xdr:rowOff>175895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7F76339-9C38-3E58-9A2D-92017FEC64E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731943</xdr:colOff>
      <xdr:row>133</xdr:row>
      <xdr:rowOff>156209</xdr:rowOff>
    </xdr:from>
    <xdr:to>
      <xdr:col>16</xdr:col>
      <xdr:colOff>730038</xdr:colOff>
      <xdr:row>147</xdr:row>
      <xdr:rowOff>169332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250D0F42-49E9-624E-6D36-002B4B486FB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557390</xdr:colOff>
      <xdr:row>141</xdr:row>
      <xdr:rowOff>67735</xdr:rowOff>
    </xdr:from>
    <xdr:to>
      <xdr:col>25</xdr:col>
      <xdr:colOff>666750</xdr:colOff>
      <xdr:row>156</xdr:row>
      <xdr:rowOff>59268</xdr:rowOff>
    </xdr:to>
    <xdr:graphicFrame macro="">
      <xdr:nvGraphicFramePr>
        <xdr:cNvPr id="47" name="Gráfico 3">
          <a:extLst>
            <a:ext uri="{FF2B5EF4-FFF2-40B4-BE49-F238E27FC236}">
              <a16:creationId xmlns:a16="http://schemas.microsoft.com/office/drawing/2014/main" id="{DF19BFC9-05EB-3D73-D04B-09BCFEF38AA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547370</xdr:colOff>
      <xdr:row>7</xdr:row>
      <xdr:rowOff>71120</xdr:rowOff>
    </xdr:from>
    <xdr:to>
      <xdr:col>13</xdr:col>
      <xdr:colOff>466090</xdr:colOff>
      <xdr:row>22</xdr:row>
      <xdr:rowOff>71120</xdr:rowOff>
    </xdr:to>
    <xdr:graphicFrame macro="">
      <xdr:nvGraphicFramePr>
        <xdr:cNvPr id="6" name="Gráfico 1">
          <a:extLst>
            <a:ext uri="{FF2B5EF4-FFF2-40B4-BE49-F238E27FC236}">
              <a16:creationId xmlns:a16="http://schemas.microsoft.com/office/drawing/2014/main" id="{C5540B5B-6B0B-BCAC-D624-14C9FA20CBA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1086960</xdr:colOff>
      <xdr:row>7</xdr:row>
      <xdr:rowOff>72549</xdr:rowOff>
    </xdr:from>
    <xdr:to>
      <xdr:col>7</xdr:col>
      <xdr:colOff>440531</xdr:colOff>
      <xdr:row>22</xdr:row>
      <xdr:rowOff>59530</xdr:rowOff>
    </xdr:to>
    <xdr:graphicFrame macro="">
      <xdr:nvGraphicFramePr>
        <xdr:cNvPr id="3" name="Gráfico 3">
          <a:extLst>
            <a:ext uri="{FF2B5EF4-FFF2-40B4-BE49-F238E27FC236}">
              <a16:creationId xmlns:a16="http://schemas.microsoft.com/office/drawing/2014/main" id="{2A4C491F-62D8-4D43-81DF-62459EE1FA7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457836</xdr:colOff>
      <xdr:row>44</xdr:row>
      <xdr:rowOff>317</xdr:rowOff>
    </xdr:from>
    <xdr:to>
      <xdr:col>12</xdr:col>
      <xdr:colOff>411480</xdr:colOff>
      <xdr:row>57</xdr:row>
      <xdr:rowOff>188595</xdr:rowOff>
    </xdr:to>
    <xdr:graphicFrame macro="">
      <xdr:nvGraphicFramePr>
        <xdr:cNvPr id="152" name="Gráfico 6">
          <a:extLst>
            <a:ext uri="{FF2B5EF4-FFF2-40B4-BE49-F238E27FC236}">
              <a16:creationId xmlns:a16="http://schemas.microsoft.com/office/drawing/2014/main" id="{333895CB-BF0F-E502-260D-C9FA16FE3EA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485456</xdr:colOff>
      <xdr:row>25</xdr:row>
      <xdr:rowOff>115887</xdr:rowOff>
    </xdr:from>
    <xdr:to>
      <xdr:col>11</xdr:col>
      <xdr:colOff>571500</xdr:colOff>
      <xdr:row>39</xdr:row>
      <xdr:rowOff>0</xdr:rowOff>
    </xdr:to>
    <xdr:graphicFrame macro="">
      <xdr:nvGraphicFramePr>
        <xdr:cNvPr id="166" name="Gráfico 10">
          <a:extLst>
            <a:ext uri="{FF2B5EF4-FFF2-40B4-BE49-F238E27FC236}">
              <a16:creationId xmlns:a16="http://schemas.microsoft.com/office/drawing/2014/main" id="{6DEB5F51-C6C1-EE8F-2C75-09640B6626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636587</xdr:colOff>
      <xdr:row>79</xdr:row>
      <xdr:rowOff>194628</xdr:rowOff>
    </xdr:from>
    <xdr:to>
      <xdr:col>12</xdr:col>
      <xdr:colOff>590549</xdr:colOff>
      <xdr:row>92</xdr:row>
      <xdr:rowOff>186691</xdr:rowOff>
    </xdr:to>
    <xdr:graphicFrame macro="">
      <xdr:nvGraphicFramePr>
        <xdr:cNvPr id="188" name="Gráfico 11">
          <a:extLst>
            <a:ext uri="{FF2B5EF4-FFF2-40B4-BE49-F238E27FC236}">
              <a16:creationId xmlns:a16="http://schemas.microsoft.com/office/drawing/2014/main" id="{67C4CA41-982B-3581-6A32-989A55A269B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754062</xdr:colOff>
      <xdr:row>95</xdr:row>
      <xdr:rowOff>103188</xdr:rowOff>
    </xdr:from>
    <xdr:to>
      <xdr:col>13</xdr:col>
      <xdr:colOff>152400</xdr:colOff>
      <xdr:row>109</xdr:row>
      <xdr:rowOff>102871</xdr:rowOff>
    </xdr:to>
    <xdr:graphicFrame macro="">
      <xdr:nvGraphicFramePr>
        <xdr:cNvPr id="203" name="Gráfico 12">
          <a:extLst>
            <a:ext uri="{FF2B5EF4-FFF2-40B4-BE49-F238E27FC236}">
              <a16:creationId xmlns:a16="http://schemas.microsoft.com/office/drawing/2014/main" id="{7C391BD2-815A-8599-59BE-05A01813391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15</xdr:col>
      <xdr:colOff>494110</xdr:colOff>
      <xdr:row>8</xdr:row>
      <xdr:rowOff>134540</xdr:rowOff>
    </xdr:from>
    <xdr:to>
      <xdr:col>21</xdr:col>
      <xdr:colOff>279797</xdr:colOff>
      <xdr:row>23</xdr:row>
      <xdr:rowOff>20240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FC23C07F-C335-971D-8E5D-2A8BB668742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83343</xdr:colOff>
      <xdr:row>1</xdr:row>
      <xdr:rowOff>15477</xdr:rowOff>
    </xdr:from>
    <xdr:to>
      <xdr:col>15</xdr:col>
      <xdr:colOff>678657</xdr:colOff>
      <xdr:row>15</xdr:row>
      <xdr:rowOff>91677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87BEE0DB-6593-2D0F-69D1-B9304F11BA7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89297</xdr:colOff>
      <xdr:row>16</xdr:row>
      <xdr:rowOff>86916</xdr:rowOff>
    </xdr:from>
    <xdr:to>
      <xdr:col>13</xdr:col>
      <xdr:colOff>315516</xdr:colOff>
      <xdr:row>30</xdr:row>
      <xdr:rowOff>163116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B4A48CCA-3AF7-0D77-0C8F-FD783E1119E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773907</xdr:colOff>
      <xdr:row>17</xdr:row>
      <xdr:rowOff>11906</xdr:rowOff>
    </xdr:from>
    <xdr:to>
      <xdr:col>19</xdr:col>
      <xdr:colOff>683949</xdr:colOff>
      <xdr:row>33</xdr:row>
      <xdr:rowOff>98068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87E02800-82AB-E708-369D-B350CBBD50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013407" y="3250406"/>
          <a:ext cx="3791479" cy="3134162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228599</xdr:colOff>
      <xdr:row>14</xdr:row>
      <xdr:rowOff>147637</xdr:rowOff>
    </xdr:from>
    <xdr:to>
      <xdr:col>8</xdr:col>
      <xdr:colOff>323850</xdr:colOff>
      <xdr:row>29</xdr:row>
      <xdr:rowOff>33337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ED288688-9B7B-4AB8-BB99-40203E19ED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715191</xdr:colOff>
      <xdr:row>5</xdr:row>
      <xdr:rowOff>154850</xdr:rowOff>
    </xdr:from>
    <xdr:to>
      <xdr:col>23</xdr:col>
      <xdr:colOff>138248</xdr:colOff>
      <xdr:row>11</xdr:row>
      <xdr:rowOff>121648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263CC29F-2895-1B5B-DB4A-8838543124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573191" y="1134564"/>
          <a:ext cx="10178143" cy="114245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179070</xdr:colOff>
      <xdr:row>13</xdr:row>
      <xdr:rowOff>123825</xdr:rowOff>
    </xdr:from>
    <xdr:to>
      <xdr:col>11</xdr:col>
      <xdr:colOff>213360</xdr:colOff>
      <xdr:row>28</xdr:row>
      <xdr:rowOff>9525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EE512A83-E2AA-BA1A-64CC-45B91F97DD2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redcoglobalcl-my.sharepoint.com/personal/mfuentes_redcoglobal_com/Documents/Archivos%20de%20chat%20de%20Microsoft%20Teams/Status_Modelo-Operativo-2025%203.xlsx" TargetMode="External"/><Relationship Id="rId1" Type="http://schemas.openxmlformats.org/officeDocument/2006/relationships/externalLinkPath" Target="https://redcoglobalcl-my.sharepoint.com/personal/mfuentes_redcoglobal_com/Documents/Archivos%20de%20chat%20de%20Microsoft%20Teams/Status_Modelo-Operativo-2025%20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Inputs"/>
      <sheetName val="Proyectos"/>
      <sheetName val="Estado Modelo"/>
      <sheetName val="Utilización Proyectada"/>
      <sheetName val="Hoja1"/>
      <sheetName val="Tipo de Estudio"/>
      <sheetName val="Análisis Rentabilidad - Proyecc"/>
      <sheetName val="Tipo de Estudio Optimista"/>
      <sheetName val="EC___Tipo de Estudio"/>
      <sheetName val="EC___Tipo de Estudio Optimista"/>
      <sheetName val="EC___Grafico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135">
          <cell r="E135">
            <v>1648.8062267823732</v>
          </cell>
          <cell r="F135">
            <v>896.55735628207128</v>
          </cell>
          <cell r="G135">
            <v>1317.8499534283201</v>
          </cell>
          <cell r="H135">
            <v>1019.6321872855281</v>
          </cell>
          <cell r="I135">
            <v>908.60812974437249</v>
          </cell>
          <cell r="J135">
            <v>773.07235137119085</v>
          </cell>
          <cell r="K135">
            <v>750.75409704760989</v>
          </cell>
          <cell r="L135">
            <v>713.88491584317023</v>
          </cell>
          <cell r="M135">
            <v>713.88491584317023</v>
          </cell>
          <cell r="N135">
            <v>742.56723921240064</v>
          </cell>
          <cell r="O135">
            <v>704.07846423026706</v>
          </cell>
          <cell r="P135">
            <v>704.07846423026706</v>
          </cell>
        </row>
      </sheetData>
      <sheetData sheetId="9" refreshError="1"/>
      <sheetData sheetId="10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duardo Cuevas" refreshedDate="46045.460734722219" backgroundQuery="1" createdVersion="8" refreshedVersion="8" minRefreshableVersion="3" recordCount="1116" xr:uid="{F02B418E-D16E-4A30-BD23-76378F87BF4E}">
  <cacheSource type="external" connectionId="8"/>
  <cacheFields count="11">
    <cacheField name="#" numFmtId="0">
      <sharedItems containsSemiMixedTypes="0" containsString="0" containsNumber="1" containsInteger="1" minValue="1" maxValue="93"/>
    </cacheField>
    <cacheField name="País" numFmtId="0">
      <sharedItems count="5">
        <s v="USA"/>
        <s v="Chile"/>
        <s v="Perú"/>
        <s v="Rusia"/>
        <s v="Brasil"/>
      </sharedItems>
    </cacheField>
    <cacheField name="Proceso" numFmtId="0">
      <sharedItems count="5">
        <s v="Ingeniería"/>
        <s v="Comercial"/>
        <s v="Geomecánica"/>
        <s v="Administración"/>
        <s v="Gestión"/>
      </sharedItems>
    </cacheField>
    <cacheField name="Categoría Gasto" numFmtId="0">
      <sharedItems count="1">
        <s v="Remuneración"/>
      </sharedItems>
    </cacheField>
    <cacheField name="Concepto" numFmtId="0">
      <sharedItems count="1">
        <s v="Sueldo"/>
      </sharedItems>
    </cacheField>
    <cacheField name="Detalle del Gasto" numFmtId="0">
      <sharedItems count="93">
        <s v="Patricio Vergara"/>
        <s v="Alan Fraser"/>
        <s v="Juan Francisco San Martín"/>
        <s v="Felipe Hidalgo"/>
        <s v="Renán Argandoña"/>
        <s v="Claudio Hernández"/>
        <s v="Eugenio Santander"/>
        <s v="Matías Fuentes B."/>
        <s v="Carolina Arcos"/>
        <s v="Alex Figueroa"/>
        <s v="Eduardo Morales"/>
        <s v="Emilio Sánchez"/>
        <s v="Gonzalo Díaz"/>
        <s v="Rodrigo Báez"/>
        <s v="Pablo Quiero"/>
        <s v="Gerson Alfaro"/>
        <s v="Jorman Barrera"/>
        <s v="Sarah Bull"/>
        <s v="Germán Soto"/>
        <s v="Álvaro Soto Galaz"/>
        <s v="Olesya Dashavskaya"/>
        <s v="Nicélio José dos Santos"/>
        <s v="Felipe Lira A."/>
        <s v="Nicolás Ayarza D."/>
        <s v="Juan Luis Pizarro"/>
        <s v="Ignacio Navarrete"/>
        <s v="Erick Sanhueza Correa"/>
        <s v="Diego Muñoz"/>
        <s v="Isabel Marchant"/>
        <s v="Daniela Oyarzo E."/>
        <s v="Gabriel Ojeda"/>
        <s v="Eduardo Cuevas"/>
        <s v="Anaís Ramírez"/>
        <s v="Fabián Parra"/>
        <s v="Eduardo Lama"/>
        <s v="Carlos Catalán"/>
        <s v="Rodrigo Andrae"/>
        <s v="Director de Proyecto"/>
        <s v="Kevin Rios"/>
        <s v="Cristián Alarcón"/>
        <s v="Antonio Schettino"/>
        <s v="Enzo Ruíz Romo"/>
        <s v="Edward Torres"/>
        <s v="Nicolás Díaz "/>
        <s v="Martin Robles"/>
        <s v="Luis Flores"/>
        <s v="Nicolás Sanzana"/>
        <s v="Victor Arias"/>
        <s v="Branco Ignacio Campos"/>
        <s v="Eduardo Cepeda"/>
        <s v="Alex Pacheco C."/>
        <s v="Víctor Mohana Tapia"/>
        <s v="Walter Lupinta"/>
        <s v="José Pizarro"/>
        <s v="Cristóbal Poblete"/>
        <s v="Gersson Rivera"/>
        <s v="Isidora Figueroa"/>
        <s v="Matías Gallardo Zapata"/>
        <s v="María Célia P. Fonseca"/>
        <s v="Álvaro Cuevas Pradenas"/>
        <s v="Magaly Esquivel"/>
        <s v="Martín Figueroa"/>
        <s v="Alejandra Montalván Aratia"/>
        <s v="Vicente Alberto Jiménez"/>
        <s v="Gino Espinoza"/>
        <s v="Valentina Ramos Olivera"/>
        <s v="Benjamín Baeza"/>
        <s v="Javier Salazar"/>
        <s v="Ignacia Álvarez"/>
        <s v="Matías Nicolás Guerrero"/>
        <s v="Arnold Tadeo"/>
        <s v="Ignacio Aguayo"/>
        <s v="Cinthia Moreno"/>
        <s v="Joseph Livia"/>
        <s v="Jhonatan Huaynate"/>
        <s v="Cristóbal Ventura"/>
        <s v="Angelo Alejandro Patri Carbajal"/>
        <s v="Alex Remolcoy Guenteo"/>
        <s v="Luiz Chumpitaz"/>
        <s v="Gladys Myriam Muñoz"/>
        <s v="Mateo Villanueva"/>
        <s v="Pedro Aguiluz"/>
        <s v="Maria Huaman"/>
        <s v="Karina Barrera (servicio contable)"/>
        <s v="Francisco Hizo"/>
        <s v="Miguel Cuadros"/>
        <s v="Nicolas Diaz Ramos"/>
        <s v="Sandra Salazar (Reemplazo Gladys)"/>
        <s v="Felipe Matamoros"/>
        <s v="Practicante 1"/>
        <s v="Gonzalo Parada"/>
        <s v="Control de gestión/Project"/>
        <s v="Victor Pacheco"/>
      </sharedItems>
    </cacheField>
    <cacheField name="Gasto USD" numFmtId="0">
      <sharedItems containsSemiMixedTypes="0" containsString="0" containsNumber="1" containsInteger="1" minValue="0" maxValue="384000"/>
    </cacheField>
    <cacheField name="Atributo" numFmtId="0">
      <sharedItems containsSemiMixedTypes="0" containsNonDate="0" containsDate="1" containsString="0" minDate="2026-01-01T00:00:00" maxDate="2026-12-02T00:00:00" count="12">
        <d v="2026-01-01T00:00:00"/>
        <d v="2026-02-01T00:00:00"/>
        <d v="2026-03-01T00:00:00"/>
        <d v="2026-04-01T00:00:00"/>
        <d v="2026-05-01T00:00:00"/>
        <d v="2026-06-01T00:00:00"/>
        <d v="2026-07-01T00:00:00"/>
        <d v="2026-08-01T00:00:00"/>
        <d v="2026-09-01T00:00:00"/>
        <d v="2026-10-01T00:00:00"/>
        <d v="2026-11-01T00:00:00"/>
        <d v="2026-12-01T00:00:00"/>
      </sharedItems>
      <fieldGroup par="10"/>
    </cacheField>
    <cacheField name="Valor" numFmtId="0">
      <sharedItems containsSemiMixedTypes="0" containsString="0" containsNumber="1" containsInteger="1" minValue="0" maxValue="32000"/>
    </cacheField>
    <cacheField name="Días (Atributo)" numFmtId="0" databaseField="0">
      <fieldGroup base="7">
        <rangePr groupBy="days" startDate="2026-01-01T00:00:00" endDate="2026-12-02T00:00:00"/>
        <groupItems count="368">
          <s v="&lt;01-01-2026"/>
          <s v="01-ene"/>
          <s v="02-ene"/>
          <s v="03-ene"/>
          <s v="04-ene"/>
          <s v="05-ene"/>
          <s v="06-ene"/>
          <s v="07-ene"/>
          <s v="08-ene"/>
          <s v="09-ene"/>
          <s v="10-ene"/>
          <s v="11-ene"/>
          <s v="12-ene"/>
          <s v="13-ene"/>
          <s v="14-ene"/>
          <s v="15-ene"/>
          <s v="16-ene"/>
          <s v="17-ene"/>
          <s v="18-ene"/>
          <s v="19-ene"/>
          <s v="20-ene"/>
          <s v="21-ene"/>
          <s v="22-ene"/>
          <s v="23-ene"/>
          <s v="24-ene"/>
          <s v="25-ene"/>
          <s v="26-ene"/>
          <s v="27-ene"/>
          <s v="28-ene"/>
          <s v="29-ene"/>
          <s v="30-ene"/>
          <s v="31-ene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br"/>
          <s v="02-abr"/>
          <s v="03-abr"/>
          <s v="04-abr"/>
          <s v="05-abr"/>
          <s v="06-abr"/>
          <s v="07-abr"/>
          <s v="08-abr"/>
          <s v="09-abr"/>
          <s v="10-abr"/>
          <s v="11-abr"/>
          <s v="12-abr"/>
          <s v="13-abr"/>
          <s v="14-abr"/>
          <s v="15-abr"/>
          <s v="16-abr"/>
          <s v="17-abr"/>
          <s v="18-abr"/>
          <s v="19-abr"/>
          <s v="20-abr"/>
          <s v="21-abr"/>
          <s v="22-abr"/>
          <s v="23-abr"/>
          <s v="24-abr"/>
          <s v="25-abr"/>
          <s v="26-abr"/>
          <s v="27-abr"/>
          <s v="28-abr"/>
          <s v="29-abr"/>
          <s v="30-ab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go"/>
          <s v="02-ago"/>
          <s v="03-ago"/>
          <s v="04-ago"/>
          <s v="05-ago"/>
          <s v="06-ago"/>
          <s v="07-ago"/>
          <s v="08-ago"/>
          <s v="09-ago"/>
          <s v="10-ago"/>
          <s v="11-ago"/>
          <s v="12-ago"/>
          <s v="13-ago"/>
          <s v="14-ago"/>
          <s v="15-ago"/>
          <s v="16-ago"/>
          <s v="17-ago"/>
          <s v="18-ago"/>
          <s v="19-ago"/>
          <s v="20-ago"/>
          <s v="21-ago"/>
          <s v="22-ago"/>
          <s v="23-ago"/>
          <s v="24-ago"/>
          <s v="25-ago"/>
          <s v="26-ago"/>
          <s v="27-ago"/>
          <s v="28-ago"/>
          <s v="29-ago"/>
          <s v="30-ago"/>
          <s v="31-ago"/>
          <s v="01-sept"/>
          <s v="02-sept"/>
          <s v="03-sept"/>
          <s v="04-sept"/>
          <s v="05-sept"/>
          <s v="06-sept"/>
          <s v="07-sept"/>
          <s v="08-sept"/>
          <s v="09-sept"/>
          <s v="10-sept"/>
          <s v="11-sept"/>
          <s v="12-sept"/>
          <s v="13-sept"/>
          <s v="14-sept"/>
          <s v="15-sept"/>
          <s v="16-sept"/>
          <s v="17-sept"/>
          <s v="18-sept"/>
          <s v="19-sept"/>
          <s v="20-sept"/>
          <s v="21-sept"/>
          <s v="22-sept"/>
          <s v="23-sept"/>
          <s v="24-sept"/>
          <s v="25-sept"/>
          <s v="26-sept"/>
          <s v="27-sept"/>
          <s v="28-sept"/>
          <s v="29-sept"/>
          <s v="30-sept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ic"/>
          <s v="02-dic"/>
          <s v="03-dic"/>
          <s v="04-dic"/>
          <s v="05-dic"/>
          <s v="06-dic"/>
          <s v="07-dic"/>
          <s v="08-dic"/>
          <s v="09-dic"/>
          <s v="10-dic"/>
          <s v="11-dic"/>
          <s v="12-dic"/>
          <s v="13-dic"/>
          <s v="14-dic"/>
          <s v="15-dic"/>
          <s v="16-dic"/>
          <s v="17-dic"/>
          <s v="18-dic"/>
          <s v="19-dic"/>
          <s v="20-dic"/>
          <s v="21-dic"/>
          <s v="22-dic"/>
          <s v="23-dic"/>
          <s v="24-dic"/>
          <s v="25-dic"/>
          <s v="26-dic"/>
          <s v="27-dic"/>
          <s v="28-dic"/>
          <s v="29-dic"/>
          <s v="30-dic"/>
          <s v="31-dic"/>
          <s v="&gt;02-12-2026"/>
        </groupItems>
      </fieldGroup>
    </cacheField>
    <cacheField name="Meses (Atributo)" numFmtId="0" databaseField="0">
      <fieldGroup base="7">
        <rangePr groupBy="months" startDate="2026-01-01T00:00:00" endDate="2026-12-02T00:00:00"/>
        <groupItems count="14">
          <s v="&lt;01-01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02-12-2026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duardo Cuevas" refreshedDate="46049.690732523151" createdVersion="8" refreshedVersion="8" minRefreshableVersion="3" recordCount="70" xr:uid="{03725E5E-F800-41DF-B490-CB0F39FDCFC0}">
  <cacheSource type="worksheet">
    <worksheetSource ref="A1:F71" sheet="Personas_Cargos"/>
  </cacheSource>
  <cacheFields count="6">
    <cacheField name="País" numFmtId="0">
      <sharedItems/>
    </cacheField>
    <cacheField name="Proceso" numFmtId="0">
      <sharedItems/>
    </cacheField>
    <cacheField name="Nombre de profesional" numFmtId="0">
      <sharedItems count="70">
        <s v="Patricio Vergara"/>
        <s v="Juan Francisco San Martín"/>
        <s v="Felipe Hidalgo"/>
        <s v="Renán Argandoña"/>
        <s v="Claudio Hernández"/>
        <s v="Eugenio Santander"/>
        <s v="Matías Fuentes B."/>
        <s v="Carolina Arcos"/>
        <s v="Alex Figueroa"/>
        <s v="Eduardo Morales"/>
        <s v="Emilio Sánchez"/>
        <s v="Gonzalo Díaz"/>
        <s v="Rodrigo Báez"/>
        <s v="Pablo Quiero"/>
        <s v="Gerson Alfaro"/>
        <s v="Jorman Barrera"/>
        <s v="Sarah Bull"/>
        <s v="Germán Soto"/>
        <s v="Felipe Lira A."/>
        <s v="Nicolás Ayarza D."/>
        <s v="Juan Luis Pizarro"/>
        <s v="Ignacio Navarrete"/>
        <s v="Erick Sanhueza Correa"/>
        <s v="Diego Muñoz"/>
        <s v="Daniela Oyarzo E."/>
        <s v="Gabriel Ojeda"/>
        <s v="Anaís Ramírez"/>
        <s v="Fabián Parra"/>
        <s v="Carlos Catalán"/>
        <s v="Rodrigo Andrae"/>
        <s v="Director de Proyecto"/>
        <s v="Kevin Rios"/>
        <s v="Cristián Alarcón"/>
        <s v="Enzo Ruíz Romo"/>
        <s v="Edward Torres"/>
        <s v="Nicolás Díaz "/>
        <s v="Martin Robles"/>
        <s v="Luis Flores"/>
        <s v="Nicolás Sanzana"/>
        <s v="Branco Ignacio Campos"/>
        <s v="Eduardo Cepeda"/>
        <s v="Víctor Mohana Tapia"/>
        <s v="Walter Lupinta"/>
        <s v="José Pizarro"/>
        <s v="Cristóbal Poblete"/>
        <s v="Gersson Rivera"/>
        <s v="Isidora Figueroa"/>
        <s v="Álvaro Cuevas Pradenas"/>
        <s v="Martín Figueroa"/>
        <s v="Gino Espinoza"/>
        <s v="Valentina Ramos Olivera"/>
        <s v="Benjamín Baeza"/>
        <s v="Javier Salazar"/>
        <s v="Ignacia Álvarez"/>
        <s v="Matías Nicolás Guerrero"/>
        <s v="Arnold Tadeo"/>
        <s v="Ignacio Aguayo"/>
        <s v="Joseph Livia"/>
        <s v="Jhonatan Huaynate"/>
        <s v="Cristóbal Ventura"/>
        <s v="Angelo Alejandro Patri Carbajal"/>
        <s v="Alex Remolcoy Guenteo"/>
        <s v="Luiz Chumpitaz"/>
        <s v="Mateo Villanueva"/>
        <s v="Maria Huaman"/>
        <s v="Miguel Cuadros"/>
        <s v="Nicolas Diaz Ramos"/>
        <s v="Felipe Matamoros"/>
        <s v="Gonzalo Parada"/>
        <s v="Victor Pacheco"/>
      </sharedItems>
    </cacheField>
    <cacheField name="Cargo" numFmtId="0">
      <sharedItems containsBlank="1" count="7">
        <s v="Country Manager"/>
        <s v="Gerente técnico"/>
        <s v="Director"/>
        <s v="Ingeniero Senior"/>
        <m/>
        <s v="Ing Proyecto"/>
        <s v="Ing Principal"/>
      </sharedItems>
    </cacheField>
    <cacheField name="Rol" numFmtId="0">
      <sharedItems containsBlank="1" count="6">
        <s v="Country Manager"/>
        <s v="Gerente/Jefe"/>
        <s v="Jefe"/>
        <s v="Jefe/Ingeniero"/>
        <m/>
        <s v="Ingeniero"/>
      </sharedItems>
    </cacheField>
    <cacheField name="Rol II" numFmtId="0">
      <sharedItems containsBlank="1" count="5">
        <s v="Country Manager"/>
        <s v="Gerente"/>
        <s v="Ingeniero"/>
        <s v="Jefe de Proyecto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duardo Cuevas" refreshedDate="46050.465812615737" backgroundQuery="1" createdVersion="8" refreshedVersion="8" minRefreshableVersion="3" recordCount="276" xr:uid="{8E257FC2-E8B2-4507-BF76-08A8801C2CE7}">
  <cacheSource type="external" connectionId="1"/>
  <cacheFields count="10">
    <cacheField name="#" numFmtId="0">
      <sharedItems containsSemiMixedTypes="0" containsString="0" containsNumber="1" containsInteger="1" minValue="1" maxValue="23" count="23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</sharedItems>
    </cacheField>
    <cacheField name="País" numFmtId="0">
      <sharedItems count="5">
        <s v="Rusia"/>
        <s v="Perú"/>
        <s v="Chile"/>
        <s v="Brasil"/>
        <s v="USA"/>
      </sharedItems>
    </cacheField>
    <cacheField name="Proceso" numFmtId="0">
      <sharedItems count="1">
        <s v="Ingresos"/>
      </sharedItems>
    </cacheField>
    <cacheField name="Categoría" numFmtId="0">
      <sharedItems count="1">
        <s v="Ingreso_Operacional"/>
      </sharedItems>
    </cacheField>
    <cacheField name="Concepto" numFmtId="0">
      <sharedItems count="1">
        <s v="Ingreso_Operacional"/>
      </sharedItems>
    </cacheField>
    <cacheField name="Nombre Proyecto" numFmtId="0">
      <sharedItems count="23">
        <s v="Seligdar_Kyuchus"/>
        <s v="Emincar_Los Castellanos_UG"/>
        <s v="Codelco_Auditoria Recursos y Reservas"/>
        <s v="ElBrocal_Estudio Geomecanico Estabilidad"/>
        <s v="Polyus_Olimpiada Cutback 5&amp;6"/>
        <s v="AuraMinerals_Proyecto Paiol PFS UG"/>
        <s v="Polyus_Evaluacion talud mina Blagodatny"/>
        <s v="ERG_Parámetros estabilidad taludes"/>
        <s v="EroCopper_Scoping Proyecto Furnas"/>
        <s v="Miskimayo_Evaluación Transporte en Mina"/>
        <s v="Hochschild_FS Metodos de Minado Tesoro"/>
        <s v="ERG_Structural Model Update"/>
        <s v="Alpayana_Estudio de Sismicidad"/>
        <s v="Los Calatos_Resource Development Plan"/>
        <s v="EQUINOX_Actualización Ing. Básica UG"/>
        <s v="Collahuasi_Valor Incorporación Chx.03"/>
        <s v="Resolution_General Review"/>
        <s v="Codelco_Formulación caso de negocio TBM"/>
        <s v="AMSA_RIINO BC - Centinela"/>
        <s v="AtlasMining_Ley de corte optima Malomyr"/>
        <s v="SPM_FS Labores Subterraneas 2da MEIA"/>
        <s v="Grasberg"/>
        <s v="Mine compliance Collahuasi 2026"/>
      </sharedItems>
    </cacheField>
    <cacheField name="Atributo" numFmtId="0">
      <sharedItems containsSemiMixedTypes="0" containsNonDate="0" containsDate="1" containsString="0" minDate="2026-01-01T00:00:00" maxDate="2026-12-02T00:00:00" count="12">
        <d v="2026-01-01T00:00:00"/>
        <d v="2026-02-01T00:00:00"/>
        <d v="2026-03-01T00:00:00"/>
        <d v="2026-04-01T00:00:00"/>
        <d v="2026-05-01T00:00:00"/>
        <d v="2026-06-01T00:00:00"/>
        <d v="2026-07-01T00:00:00"/>
        <d v="2026-08-01T00:00:00"/>
        <d v="2026-09-01T00:00:00"/>
        <d v="2026-10-01T00:00:00"/>
        <d v="2026-11-01T00:00:00"/>
        <d v="2026-12-01T00:00:00"/>
      </sharedItems>
      <fieldGroup par="9"/>
    </cacheField>
    <cacheField name="Valor" numFmtId="0">
      <sharedItems containsSemiMixedTypes="0" containsString="0" containsNumber="1" minValue="0" maxValue="1217640" count="66">
        <n v="1217640"/>
        <n v="126239.3"/>
        <n v="0"/>
        <n v="45169.569202566447"/>
        <n v="52111.212954476025"/>
        <n v="62719.217842957529"/>
        <n v="132678.81739893439"/>
        <n v="120051.20877249414"/>
        <n v="12317.794892582089"/>
        <n v="54480.340494527809"/>
        <n v="46709.768950141937"/>
        <n v="47170.247263883168"/>
        <n v="31657.884069720312"/>
        <n v="18246.453182002384"/>
        <n v="2417.5111471423006"/>
        <n v="33597"/>
        <n v="64484"/>
        <n v="80605"/>
        <n v="75316.205533596862"/>
        <n v="54683.794466403138"/>
        <n v="87873"/>
        <n v="11774.507874015748"/>
        <n v="14964.517716535434"/>
        <n v="12993.454724409448"/>
        <n v="13071.259842519685"/>
        <n v="8417.167167167172"/>
        <n v="22509.13413413415"/>
        <n v="26120.370370370405"/>
        <n v="46375.8758758759"/>
        <n v="39642.142142142155"/>
        <n v="28238.238238238206"/>
        <n v="45697.072072072013"/>
        <n v="59681.1224489796"/>
        <n v="50318.8775510204"/>
        <n v="46000"/>
        <n v="34000"/>
        <n v="10000"/>
        <n v="25868.200449774486"/>
        <n v="40593.628331681968"/>
        <n v="23639.555487947771"/>
        <n v="19898.615730595775"/>
        <n v="25383.333333333332"/>
        <n v="40000"/>
        <n v="16306"/>
        <n v="60081.967213114745"/>
        <n v="4918.0327868852546"/>
        <n v="45167.686199999996"/>
        <n v="3009.0000000000005"/>
        <n v="22302"/>
        <n v="12036"/>
        <n v="6163.5220125786182"/>
        <n v="28836.477987421382"/>
        <n v="17056"/>
        <n v="11964"/>
        <n v="22921.287530430076"/>
        <n v="27078.712469569924"/>
        <n v="5034"/>
        <n v="100308.80606578384"/>
        <n v="54530.222127296031"/>
        <n v="158251.92866296455"/>
        <n v="178260.05766766344"/>
        <n v="7998.9854762921459"/>
        <n v="5695.6013167259789"/>
        <n v="4497.3682206405683"/>
        <n v="4497.3682206405701"/>
        <n v="862.72782918149642"/>
      </sharedItems>
    </cacheField>
    <cacheField name="Días (Atributo)" numFmtId="0" databaseField="0">
      <fieldGroup base="6">
        <rangePr groupBy="days" startDate="2026-01-01T00:00:00" endDate="2026-12-02T00:00:00"/>
        <groupItems count="368">
          <s v="&lt;01-01-2026"/>
          <s v="01-ene"/>
          <s v="02-ene"/>
          <s v="03-ene"/>
          <s v="04-ene"/>
          <s v="05-ene"/>
          <s v="06-ene"/>
          <s v="07-ene"/>
          <s v="08-ene"/>
          <s v="09-ene"/>
          <s v="10-ene"/>
          <s v="11-ene"/>
          <s v="12-ene"/>
          <s v="13-ene"/>
          <s v="14-ene"/>
          <s v="15-ene"/>
          <s v="16-ene"/>
          <s v="17-ene"/>
          <s v="18-ene"/>
          <s v="19-ene"/>
          <s v="20-ene"/>
          <s v="21-ene"/>
          <s v="22-ene"/>
          <s v="23-ene"/>
          <s v="24-ene"/>
          <s v="25-ene"/>
          <s v="26-ene"/>
          <s v="27-ene"/>
          <s v="28-ene"/>
          <s v="29-ene"/>
          <s v="30-ene"/>
          <s v="31-ene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br"/>
          <s v="02-abr"/>
          <s v="03-abr"/>
          <s v="04-abr"/>
          <s v="05-abr"/>
          <s v="06-abr"/>
          <s v="07-abr"/>
          <s v="08-abr"/>
          <s v="09-abr"/>
          <s v="10-abr"/>
          <s v="11-abr"/>
          <s v="12-abr"/>
          <s v="13-abr"/>
          <s v="14-abr"/>
          <s v="15-abr"/>
          <s v="16-abr"/>
          <s v="17-abr"/>
          <s v="18-abr"/>
          <s v="19-abr"/>
          <s v="20-abr"/>
          <s v="21-abr"/>
          <s v="22-abr"/>
          <s v="23-abr"/>
          <s v="24-abr"/>
          <s v="25-abr"/>
          <s v="26-abr"/>
          <s v="27-abr"/>
          <s v="28-abr"/>
          <s v="29-abr"/>
          <s v="30-ab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go"/>
          <s v="02-ago"/>
          <s v="03-ago"/>
          <s v="04-ago"/>
          <s v="05-ago"/>
          <s v="06-ago"/>
          <s v="07-ago"/>
          <s v="08-ago"/>
          <s v="09-ago"/>
          <s v="10-ago"/>
          <s v="11-ago"/>
          <s v="12-ago"/>
          <s v="13-ago"/>
          <s v="14-ago"/>
          <s v="15-ago"/>
          <s v="16-ago"/>
          <s v="17-ago"/>
          <s v="18-ago"/>
          <s v="19-ago"/>
          <s v="20-ago"/>
          <s v="21-ago"/>
          <s v="22-ago"/>
          <s v="23-ago"/>
          <s v="24-ago"/>
          <s v="25-ago"/>
          <s v="26-ago"/>
          <s v="27-ago"/>
          <s v="28-ago"/>
          <s v="29-ago"/>
          <s v="30-ago"/>
          <s v="31-ago"/>
          <s v="01-sept"/>
          <s v="02-sept"/>
          <s v="03-sept"/>
          <s v="04-sept"/>
          <s v="05-sept"/>
          <s v="06-sept"/>
          <s v="07-sept"/>
          <s v="08-sept"/>
          <s v="09-sept"/>
          <s v="10-sept"/>
          <s v="11-sept"/>
          <s v="12-sept"/>
          <s v="13-sept"/>
          <s v="14-sept"/>
          <s v="15-sept"/>
          <s v="16-sept"/>
          <s v="17-sept"/>
          <s v="18-sept"/>
          <s v="19-sept"/>
          <s v="20-sept"/>
          <s v="21-sept"/>
          <s v="22-sept"/>
          <s v="23-sept"/>
          <s v="24-sept"/>
          <s v="25-sept"/>
          <s v="26-sept"/>
          <s v="27-sept"/>
          <s v="28-sept"/>
          <s v="29-sept"/>
          <s v="30-sept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ic"/>
          <s v="02-dic"/>
          <s v="03-dic"/>
          <s v="04-dic"/>
          <s v="05-dic"/>
          <s v="06-dic"/>
          <s v="07-dic"/>
          <s v="08-dic"/>
          <s v="09-dic"/>
          <s v="10-dic"/>
          <s v="11-dic"/>
          <s v="12-dic"/>
          <s v="13-dic"/>
          <s v="14-dic"/>
          <s v="15-dic"/>
          <s v="16-dic"/>
          <s v="17-dic"/>
          <s v="18-dic"/>
          <s v="19-dic"/>
          <s v="20-dic"/>
          <s v="21-dic"/>
          <s v="22-dic"/>
          <s v="23-dic"/>
          <s v="24-dic"/>
          <s v="25-dic"/>
          <s v="26-dic"/>
          <s v="27-dic"/>
          <s v="28-dic"/>
          <s v="29-dic"/>
          <s v="30-dic"/>
          <s v="31-dic"/>
          <s v="&gt;02-12-2026"/>
        </groupItems>
      </fieldGroup>
    </cacheField>
    <cacheField name="Meses (Atributo)" numFmtId="0" databaseField="0">
      <fieldGroup base="6">
        <rangePr groupBy="months" startDate="2026-01-01T00:00:00" endDate="2026-12-02T00:00:00"/>
        <groupItems count="14">
          <s v="&lt;01-01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02-12-2026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duardo Cuevas" refreshedDate="46050.534164004632" backgroundQuery="1" createdVersion="8" refreshedVersion="8" minRefreshableVersion="3" recordCount="3144" xr:uid="{F6506061-6E16-4195-8F7B-A04F0EFAB1C5}">
  <cacheSource type="external" connectionId="10"/>
  <cacheFields count="9">
    <cacheField name="País" numFmtId="0">
      <sharedItems count="5">
        <s v="USA"/>
        <s v="Chile"/>
        <s v="Brasil"/>
        <s v="Perú"/>
        <s v="Rusia"/>
      </sharedItems>
    </cacheField>
    <cacheField name="Proceso" numFmtId="0">
      <sharedItems count="8">
        <s v="Comercial"/>
        <s v="Administración"/>
        <s v="Ingeniería"/>
        <s v="Otros"/>
        <s v="Gestión"/>
        <s v="Geomecánica"/>
        <s v="SSTT/Gestión" u="1"/>
        <s v="Otro" u="1"/>
      </sharedItems>
    </cacheField>
    <cacheField name="Categoría Gasto" numFmtId="0">
      <sharedItems containsBlank="1" count="15">
        <s v="Comercial"/>
        <s v="Viajes"/>
        <s v="Administración"/>
        <s v="ServiciosBásicos"/>
        <s v="Tecnología"/>
        <s v="Personal"/>
        <s v="OtrosGastos"/>
        <s v="GastosProyecto"/>
        <s v="Remuneración"/>
        <s v="Beneficios"/>
        <s v="Comisiones"/>
        <s v="Equipos_Tecnología" u="1"/>
        <m u="1"/>
        <s v="Viajes_Movilización" u="1"/>
        <s v="Alojamiento_Alimentación" u="1"/>
      </sharedItems>
    </cacheField>
    <cacheField name="Concepto" numFmtId="0">
      <sharedItems containsBlank="1" count="69">
        <s v="Ferias"/>
        <s v="Marketing y comunicaciones"/>
        <s v="Pasajes internacionales"/>
        <s v="Reuniones con clientes"/>
        <s v="Pasajes nacionales"/>
        <s v="Adyacencia"/>
        <s v="Asesoría legal"/>
        <s v="Asesoría tributaria"/>
        <s v="Arriendos y gastos comunes"/>
        <s v="Utiles y arts. oficina"/>
        <s v="Electricidad"/>
        <s v="Internet y telefonía"/>
        <s v="Gastos camionetas"/>
        <s v="Gastos notariales"/>
        <s v="Gastos generales"/>
        <s v="Gastos bancarios"/>
        <s v="Petente comercial"/>
        <s v="Aseo y limpieza"/>
        <s v="Mantención y reperación"/>
        <s v="Servicio backoffice"/>
        <s v="Software"/>
        <s v="Contribuciones"/>
        <s v="Viáticos"/>
        <s v="Plataforma proveedores"/>
        <s v="Asesoría contable"/>
        <s v="Seguros"/>
        <s v="Servicio de transporte"/>
        <s v="Asesoría informática"/>
        <s v="Mantenimiento TI"/>
        <s v="Capacitación"/>
        <s v="Celebraciones"/>
        <s v="Donaciones"/>
        <s v="Examenes Preocupacionales"/>
        <s v="Vacunas"/>
        <s v="Consultor / servicio externo"/>
        <s v="Notebooks"/>
        <s v="Sueldo"/>
        <s v="Bonos"/>
        <s v="Aguinaldo"/>
        <s v="Comisiones"/>
        <s v="Traducción técnica" u="1"/>
        <s v="Otros" u="1"/>
        <s v="Vehículo" u="1"/>
        <s v="Otro" u="1"/>
        <s v="Asesoría Tributaría" u="1"/>
        <s v="Consultoria Contable y administartiva" u="1"/>
        <s v="Arriendo y gastos comunes" u="1"/>
        <s v="Consumo electricidad" u="1"/>
        <s v="Telefonia-Internet" u="1"/>
        <s v="Gastos Bancarios y seguro" u="1"/>
        <s v="Servicio y artículos de aseo " u="1"/>
        <s v="Mantención y rep. oficinas" u="1"/>
        <s v="Intereses bancarios" u="1"/>
        <s v="Interesees hipotecarios" u="1"/>
        <s v="Licencia  y software" u="1"/>
        <s v="Contribuciones bs.rs." u="1"/>
        <s v="Gastos viajes director-gcia." u="1"/>
        <s v="Permiso circulación camionetas" u="1"/>
        <s v="Plataforma Proveedores  (Cltes)" u="1"/>
        <s v="Transporte" u="1"/>
        <s v="Servicios contables" u="1"/>
        <s v="Informática" u="1"/>
        <s v="Gtos. arriendo casa A.Figueroa" u="1"/>
        <s v="Pasajes  A. Figueroa" u="1"/>
        <s v="Compra de Licencia" u="1"/>
        <s v="Seguros generales" u="1"/>
        <m u="1"/>
        <s v="Pasajes aéreos internacionales" u="1"/>
        <s v="Arriendo de vehículo" u="1"/>
      </sharedItems>
    </cacheField>
    <cacheField name="Detalle del Gasto" numFmtId="0">
      <sharedItems count="318">
        <s v="SME MINEXCHANGE"/>
        <s v="PDAC"/>
        <s v="CESCO Dinner"/>
        <s v="CIM Connect"/>
        <s v="Expo San Juan Minera"/>
        <s v="World Mining Congress"/>
        <s v="CAVING"/>
        <s v="Exposibram"/>
        <s v="FEXMIN"/>
        <s v="Slope Stability"/>
        <s v="Congreso Anual IIMCh"/>
        <s v="MRMR"/>
        <s v="Minexcellence"/>
        <s v="Resourcing Tomorrow"/>
        <s v="SME MINEXCHANGE 2027"/>
        <s v="CESCO Dinner 2027"/>
        <s v="Exposibram 2027"/>
        <s v="Perumin 2027"/>
        <s v="Realización video comercial"/>
        <s v="Artículo Revista Minería Chilena (x2)"/>
        <s v="Artículo Diario Financiero (x1)"/>
        <s v="Cámara Chileno Peruana"/>
        <s v="Cámara Chileno Británica"/>
        <s v="Cámara Chileno Canadiense"/>
        <s v="Papelería para Ferias"/>
        <s v="Renovación Softwares de Edición (CANVA, Adobe, Hubspot)"/>
        <s v="Viajes Alan Fraser (Latam x10)"/>
        <s v="Reuniones Alan Fraser"/>
        <s v="Viajes Alan Fraser (Antofagasta, Copiapó, La Serena)"/>
        <s v="Viajes Alan Fraser (UK x1)"/>
        <s v="Gasto(s) a ejecutar una sola vez"/>
        <s v="3 viajes a Rusia de equipo técnico "/>
        <s v="Legal prisma Limitada"/>
        <s v="Salcedo &amp; Cía Limitada"/>
        <s v="Arriendo of.1502, mas gtos.comunes of.1502 -1302-1304"/>
        <s v="Resmas, toners, archivadores, carpetas, etc"/>
        <s v="ENEL conusmo oficinas 1304-1302-1502"/>
        <s v="Serv, PCS, red fija, internet"/>
        <s v="Peajes, seguros, combustible"/>
        <s v="Legalziación documentos, poderes"/>
        <s v="Gtos. viajes unidades negocio Redco"/>
        <s v="Comisión, seguro, comercio exterior"/>
        <s v="Patente 1er y  2do semestre"/>
        <s v="Arts. limpieza  y aseo ofs. 1303-1304-1502"/>
        <s v="Rep. electricas, baños, cocina"/>
        <s v="Redcross Servicio Backoffice"/>
        <s v="Gastos financieros"/>
        <s v="Interses hipotecario of.1302,1304"/>
        <s v="Uso licencia Defontana-Geovictoria- ATX "/>
        <s v="Oficinas 1302 y 1304"/>
        <s v="Gtos. restaurant, taxi,  otros"/>
        <s v="Patentes camionetas "/>
        <s v="Seguros camioneta"/>
        <s v="Sap Ariba-Regis.C.Comercio-Chile Proveedores"/>
        <s v="Servicio telefónia"/>
        <s v="Arriendo of. administración"/>
        <s v="Servicio asesoría legal"/>
        <s v="Servicio Contable"/>
        <s v="Seguros"/>
        <s v="Estadia viajes desde Chile"/>
        <s v="Transporte"/>
        <s v="Sofware (Defontana)"/>
        <s v="Servicios contable"/>
        <s v="Tarifas Bancarias"/>
        <s v="Serv, Informática"/>
        <s v="Tasas Municipal"/>
        <s v="Abogados-cuotas procesos"/>
        <s v="Otros"/>
        <s v="Gtos. arriendo casa A.Figueroa"/>
        <s v="Abogado BFA A. Figueroa"/>
        <s v="Pasajes Alex Figueroa"/>
        <s v="Gastos bancarios"/>
        <s v="Otros gastos"/>
        <s v="IBRAM mensualidades"/>
        <s v="Termino implementacion DEFONTANA"/>
        <s v="Of Centro de monitoreo"/>
        <s v="Arriendo of. extra caso $12.5M"/>
        <s v="Gastos comunes caso $12.5M"/>
        <s v="Arts. limpieza  y aseo caso $12,5M"/>
        <s v="Arts. oficina caso $12,5M"/>
        <s v="ENEL conusmo oficina caso $12,5M"/>
        <s v="Capacitación"/>
        <s v="Box de Ingresos"/>
        <s v="Merchandizing (cuadernos, lapices, lanyerds)"/>
        <s v="Merchandizing (tarjetas, pines, galvanos, calendarios)"/>
        <s v="Vestimenta (camisas, poleras, polar)"/>
        <s v="Mochilas"/>
        <s v="Actividad fin de año"/>
        <s v="Gift Card navidad"/>
        <s v="Fundación Choshuenco"/>
        <s v="Cumpleaños"/>
        <s v="Articulos de oficina , aseo  y kitchen"/>
        <s v="Examenes Preocupacionales "/>
        <s v="Vacunas Influenza"/>
        <s v="Vacunas (extraordinarias por seguridad de salud)"/>
        <s v="ERP Aurora"/>
        <s v="Power BI (6)"/>
        <s v="Project (3)"/>
        <s v="Servicios especialistas externos: Geofisica, Geoquimica, Geoestructural"/>
        <s v="Servicios especialistas externos: Metalurgia y Procesos"/>
        <s v="Servicios especialistas externos: Internacionales (USA)"/>
        <s v="Servicios especialistas externos: Planos"/>
        <s v="Servicios especialistas externos: Traductores (Rusia)"/>
        <s v="Servicios especialistas externos: Traductores (Brasil)"/>
        <s v="Servicios especialistas externos: Hidrogeologo"/>
        <s v="Servicios especialistas externos: IMS"/>
        <s v="Servicios especialistas externos: Ingenieria Civil estructural"/>
        <s v="Servicios especialistas externos: Automatización Seligdar"/>
        <s v="Instituto de diseño (SPB-Hyproshacht )"/>
        <s v="Visita comercial a cliente / Geomecánica"/>
        <s v="Servidores (2x)  / Geomecánica"/>
        <s v="Renovación equipos (x3) / Geomecánica"/>
        <s v="Software FLAC 3D (1x) / Geomecánica"/>
        <s v="Software RS3 (x2) / Geomecánica"/>
        <s v="Software Rocscience 2026 (x6) / Geomecánica"/>
        <s v="LeapFrog(x1) / Geomecánica"/>
        <s v="Software SBLock (x1) / Geomecánica"/>
        <s v="Desarrollo Gestión de Peligro Sísmico (C.Cáceres/Memorista)"/>
        <s v="Talleres de alineamiento equipo geomecánico"/>
        <s v="Capacitaciones externas / Geomecánica"/>
        <s v="Desarrollo Gestión de Pasivos / Geomecánica"/>
        <s v="PCBC - Dassault Systems"/>
        <s v="DBS"/>
        <s v="PCBC - Dassault Systems (alternativo)"/>
        <s v="Simulación UG - OP Alternativos"/>
        <s v="IA (Plataforma REDCO + ChatGPT + Repplit)"/>
        <s v="Capacitaciones externas técnicas (software minero)"/>
        <s v="Capacitaciones externas técnicas (simuladores)"/>
        <s v="Teams Pro + Plataformas de diseño PPT"/>
        <s v="Herramientas de simulación metalurgica"/>
        <s v="Ventsim"/>
        <s v="Energía Eléctrica (alternativo)"/>
        <s v="Pumpsim"/>
        <s v="Reemplazo de Notebooks"/>
        <s v="Patricio Vergara"/>
        <s v="Alan Fraser"/>
        <s v="Juan Francisco San Martín"/>
        <s v="Felipe Hidalgo"/>
        <s v="Renán Argandoña"/>
        <s v="Claudio Hernández"/>
        <s v="Eugenio Santander"/>
        <s v="Matías Fuentes B."/>
        <s v="Carolina Arcos"/>
        <s v="Alex Figueroa"/>
        <s v="Eduardo Morales"/>
        <s v="Emilio Sánchez"/>
        <s v="Gonzalo Díaz"/>
        <s v="Rodrigo Báez"/>
        <s v="Pablo Quiero"/>
        <s v="Gerson Alfaro"/>
        <s v="Jorman Barrera"/>
        <s v="Sarah Bull"/>
        <s v="Germán Soto"/>
        <s v="Álvaro Soto Galaz"/>
        <s v="Olesya Dashavskaya"/>
        <s v="Nicélio José dos Santos"/>
        <s v="Felipe Lira A."/>
        <s v="Nicolás Ayarza D."/>
        <s v="Juan Luis Pizarro"/>
        <s v="Ignacio Navarrete"/>
        <s v="Erick Sanhueza Correa"/>
        <s v="Diego Muñoz"/>
        <s v="Isabel Marchant"/>
        <s v="Daniela Oyarzo E."/>
        <s v="Gabriel Ojeda"/>
        <s v="Eduardo Cuevas"/>
        <s v="Anaís Ramírez"/>
        <s v="Fabián Parra"/>
        <s v="Eduardo Lama"/>
        <s v="Carlos Catalán"/>
        <s v="Rodrigo Andrae"/>
        <s v="Director de Proyecto"/>
        <s v="Kevin Rios"/>
        <s v="Cristián Alarcón"/>
        <s v="Antonio Schettino"/>
        <s v="Enzo Ruíz Romo"/>
        <s v="Edward Torres"/>
        <s v="Nicolás Díaz "/>
        <s v="Martin Robles"/>
        <s v="Luis Flores"/>
        <s v="Nicolás Sanzana"/>
        <s v="Victor Arias"/>
        <s v="Branco Ignacio Campos"/>
        <s v="Eduardo Cepeda"/>
        <s v="Alex Pacheco C."/>
        <s v="Víctor Mohana Tapia"/>
        <s v="Walter Lupinta"/>
        <s v="José Pizarro"/>
        <s v="Cristóbal Poblete"/>
        <s v="Gersson Rivera"/>
        <s v="Isidora Figueroa"/>
        <s v="Matías Gallardo Zapata"/>
        <s v="María Célia P. Fonseca"/>
        <s v="Álvaro Cuevas Pradenas"/>
        <s v="Magaly Esquivel"/>
        <s v="Martín Figueroa"/>
        <s v="Alejandra Montalván Aratia"/>
        <s v="Vicente Alberto Jiménez"/>
        <s v="Gino Espinoza"/>
        <s v="Valentina Ramos Olivera"/>
        <s v="Benjamín Baeza"/>
        <s v="Javier Salazar"/>
        <s v="Ignacia Álvarez"/>
        <s v="Matías Nicolás Guerrero"/>
        <s v="Arnold Tadeo"/>
        <s v="Ignacio Aguayo"/>
        <s v="Cinthia Moreno"/>
        <s v="Joseph Livia"/>
        <s v="Jhonatan Huaynate"/>
        <s v="Cristóbal Ventura"/>
        <s v="Angelo Alejandro Patri Carbajal"/>
        <s v="Alex Remolcoy Guenteo"/>
        <s v="Luiz Chumpitaz"/>
        <s v="Gladys Myriam Muñoz"/>
        <s v="Mateo Villanueva"/>
        <s v="Pedro Aguiluz"/>
        <s v="Maria Huaman"/>
        <s v="Karina Barrera (servicio contable)"/>
        <s v="Francisco Hizo"/>
        <s v="Miguel Cuadros"/>
        <s v="Nicolas Diaz Ramos"/>
        <s v="Sandra Salazar (Reemplazo Gladys)"/>
        <s v="Felipe Matamoros"/>
        <s v="Practicante 1"/>
        <s v="Gonzalo Parada"/>
        <s v="Control de gestión/Project"/>
        <s v="Victor Pacheco"/>
        <s v="Jefe de Proyecto 1"/>
        <s v="Jefe de Proyecto 2"/>
        <s v="Jefe de Proyecto 3"/>
        <s v="Ingeniero 1"/>
        <s v="Ingeniero 2"/>
        <s v="Ingeniero 3"/>
        <s v="Ingeniero 4"/>
        <s v="Ingeniero 5"/>
        <s v="Ingeniero 6"/>
        <s v="Ingeniero 7"/>
        <s v="Ingeniero 8"/>
        <s v="Ingeniero 9"/>
        <s v="Ingeniero 10"/>
        <s v="Ingeniero 11"/>
        <s v="Ingeniero 12"/>
        <s v="Ingeniero 13"/>
        <s v="Ingeniero 14"/>
        <s v="Ingeniero 15"/>
        <s v="Ingeniero 16"/>
        <s v="Ingeniero 17"/>
        <s v="Bonos desempeño año anterior"/>
        <s v="Aguinaldo"/>
        <s v="Comisiones"/>
        <s v="Ingeniero Metalurgista" u="1"/>
        <s v="Victor Poblete" u="1"/>
        <s v="Viajes Alan Fraser (UK x2)" u="1"/>
        <s v="Gtos. administración y dirección" u="1"/>
        <s v="Intereses créditos, boleta garantía" u="1"/>
        <s v="Gastos viajes director-gcia." u="1"/>
        <s v="Karina Barrera" u="1"/>
        <s v="Reemplazo aseo" u="1"/>
        <s v="Asistencia SME 2026 (x4)" u="1"/>
        <s v="Stand SME 2026" u="1"/>
        <s v="Renovación SME 2027" u="1"/>
        <s v="Asistencia PDAC 2026 (x3)" u="1"/>
        <s v="Asistencia CIM Connect 2026 (x3)" u="1"/>
        <s v="Asistencia MRMR 2026 (x2)" u="1"/>
        <s v="AsistenciaExpo San Juan Minera 2026 (x2)" u="1"/>
        <s v="Asistencia CAVING 2026 (x2)" u="1"/>
        <s v="Asistencia Resourcing Tomorrow 2026 (x2)" u="1"/>
        <s v="Reserva CESCO Dinner 2027 (x10)" u="1"/>
        <s v="Asistencia FEXMIN 2026 (X3)" u="1"/>
        <s v="Asistencia Congreso Anual IIMCh (x3)" u="1"/>
        <s v="Asistencia Minexcellence 2026 (x1)" u="1"/>
        <s v="Reserva Expomin 2027" u="1"/>
        <s v="Asistencia Exposibram 2026 (x3)" u="1"/>
        <s v="Reserva Exposibram 2027" u="1"/>
        <s v="Asistencia Slope Stability 2026 (x2)" u="1"/>
        <s v="Reserva Perumin 2027" u="1"/>
        <s v="Budget provisorio Ferias no contempladas" u="1"/>
        <s v="Simulación OP" u="1"/>
        <s v="Simulación UG - Dassault" u="1"/>
        <s v="Viajes Alan Fraser (UKx2, Latam x10)" u="1"/>
        <s v="Empresa de automatización " u="1"/>
        <s v="Instituto de diseño SPB-Hyproshacht " u="1"/>
        <s v="Traduccion reuniones + informes " u="1"/>
        <s v="Servicios especialistas externos" u="1"/>
        <s v="Hidrogeologia (Geomecanica)" u="1"/>
        <s v="Sismicidad (Geomecanica)" u="1"/>
        <s v="Marcelo Mendoza" u="1"/>
        <s v="Manuel Palomina" u="1"/>
        <s v="Nueva contratación 1" u="1"/>
        <s v="Nueva contratación 2" u="1"/>
        <s v="Nueva contratación 3" u="1"/>
        <s v="Ingeniero de proyecto" u="1"/>
        <s v="Control Document" u="1"/>
        <s v="Director Ejecutivo" u="1"/>
        <s v="Visita comercial a cliente" u="1"/>
        <s v="Servidores (2x)" u="1"/>
        <s v="Software FLAC 3D (1x)" u="1"/>
        <s v="Software RS3 (x1)" u="1"/>
        <s v="Software Rocscience 2026 (x6)" u="1"/>
        <s v="Software SBLock (x1)" u="1"/>
        <s v="Desarrollo Gestión de Peligro Sísmico (G Cáceres/Memorista)" u="1"/>
        <s v="Capacitaciones externas" u="1"/>
        <s v="Desarrollo Gestión de Pasivos " u="1"/>
        <s v="MiningMath" u="1"/>
        <s v="Rockscience" u="1"/>
        <s v="M365 Business Standard" u="1"/>
        <s v="Gasto a ejecutar una sola vez" u="1"/>
        <s v="Practicante" u="1"/>
        <s v="Ricardo Miranda D." u="1"/>
        <s v="Director de Metalurgia" u="1"/>
        <s v="Magaly Esquivel R." u="1"/>
        <s v="Sandra Salazar reemplazo Gladys" u="1"/>
        <s v="Pasajes,hotel, arriendos autos, alimentación" u="1"/>
        <s v="Arriendo casa" u="1"/>
        <s v="Sofware (Geovictoria)" u="1"/>
        <s v="Seguros de Salud" u="1"/>
        <s v="Falp" u="1"/>
        <s v="Marco Lozada" u="1"/>
      </sharedItems>
    </cacheField>
    <cacheField name="Fecha" numFmtId="0">
      <sharedItems containsSemiMixedTypes="0" containsNonDate="0" containsDate="1" containsString="0" minDate="2026-01-01T00:00:00" maxDate="2026-12-02T00:00:00" count="12">
        <d v="2026-01-01T00:00:00"/>
        <d v="2026-02-01T00:00:00"/>
        <d v="2026-03-01T00:00:00"/>
        <d v="2026-04-01T00:00:00"/>
        <d v="2026-05-01T00:00:00"/>
        <d v="2026-06-01T00:00:00"/>
        <d v="2026-07-01T00:00:00"/>
        <d v="2026-08-01T00:00:00"/>
        <d v="2026-09-01T00:00:00"/>
        <d v="2026-10-01T00:00:00"/>
        <d v="2026-11-01T00:00:00"/>
        <d v="2026-12-01T00:00:00"/>
      </sharedItems>
      <fieldGroup par="8"/>
    </cacheField>
    <cacheField name="Valor" numFmtId="0">
      <sharedItems containsSemiMixedTypes="0" containsString="0" containsNumber="1" containsInteger="1" minValue="0" maxValue="295000"/>
    </cacheField>
    <cacheField name="Días (Fecha)" numFmtId="0" databaseField="0">
      <fieldGroup base="5">
        <rangePr groupBy="days" startDate="2026-01-01T00:00:00" endDate="2026-12-02T00:00:00"/>
        <groupItems count="368">
          <s v="&lt;01-01-2026"/>
          <s v="01-ene"/>
          <s v="02-ene"/>
          <s v="03-ene"/>
          <s v="04-ene"/>
          <s v="05-ene"/>
          <s v="06-ene"/>
          <s v="07-ene"/>
          <s v="08-ene"/>
          <s v="09-ene"/>
          <s v="10-ene"/>
          <s v="11-ene"/>
          <s v="12-ene"/>
          <s v="13-ene"/>
          <s v="14-ene"/>
          <s v="15-ene"/>
          <s v="16-ene"/>
          <s v="17-ene"/>
          <s v="18-ene"/>
          <s v="19-ene"/>
          <s v="20-ene"/>
          <s v="21-ene"/>
          <s v="22-ene"/>
          <s v="23-ene"/>
          <s v="24-ene"/>
          <s v="25-ene"/>
          <s v="26-ene"/>
          <s v="27-ene"/>
          <s v="28-ene"/>
          <s v="29-ene"/>
          <s v="30-ene"/>
          <s v="31-ene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br"/>
          <s v="02-abr"/>
          <s v="03-abr"/>
          <s v="04-abr"/>
          <s v="05-abr"/>
          <s v="06-abr"/>
          <s v="07-abr"/>
          <s v="08-abr"/>
          <s v="09-abr"/>
          <s v="10-abr"/>
          <s v="11-abr"/>
          <s v="12-abr"/>
          <s v="13-abr"/>
          <s v="14-abr"/>
          <s v="15-abr"/>
          <s v="16-abr"/>
          <s v="17-abr"/>
          <s v="18-abr"/>
          <s v="19-abr"/>
          <s v="20-abr"/>
          <s v="21-abr"/>
          <s v="22-abr"/>
          <s v="23-abr"/>
          <s v="24-abr"/>
          <s v="25-abr"/>
          <s v="26-abr"/>
          <s v="27-abr"/>
          <s v="28-abr"/>
          <s v="29-abr"/>
          <s v="30-ab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go"/>
          <s v="02-ago"/>
          <s v="03-ago"/>
          <s v="04-ago"/>
          <s v="05-ago"/>
          <s v="06-ago"/>
          <s v="07-ago"/>
          <s v="08-ago"/>
          <s v="09-ago"/>
          <s v="10-ago"/>
          <s v="11-ago"/>
          <s v="12-ago"/>
          <s v="13-ago"/>
          <s v="14-ago"/>
          <s v="15-ago"/>
          <s v="16-ago"/>
          <s v="17-ago"/>
          <s v="18-ago"/>
          <s v="19-ago"/>
          <s v="20-ago"/>
          <s v="21-ago"/>
          <s v="22-ago"/>
          <s v="23-ago"/>
          <s v="24-ago"/>
          <s v="25-ago"/>
          <s v="26-ago"/>
          <s v="27-ago"/>
          <s v="28-ago"/>
          <s v="29-ago"/>
          <s v="30-ago"/>
          <s v="31-ago"/>
          <s v="01-sept"/>
          <s v="02-sept"/>
          <s v="03-sept"/>
          <s v="04-sept"/>
          <s v="05-sept"/>
          <s v="06-sept"/>
          <s v="07-sept"/>
          <s v="08-sept"/>
          <s v="09-sept"/>
          <s v="10-sept"/>
          <s v="11-sept"/>
          <s v="12-sept"/>
          <s v="13-sept"/>
          <s v="14-sept"/>
          <s v="15-sept"/>
          <s v="16-sept"/>
          <s v="17-sept"/>
          <s v="18-sept"/>
          <s v="19-sept"/>
          <s v="20-sept"/>
          <s v="21-sept"/>
          <s v="22-sept"/>
          <s v="23-sept"/>
          <s v="24-sept"/>
          <s v="25-sept"/>
          <s v="26-sept"/>
          <s v="27-sept"/>
          <s v="28-sept"/>
          <s v="29-sept"/>
          <s v="30-sept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ic"/>
          <s v="02-dic"/>
          <s v="03-dic"/>
          <s v="04-dic"/>
          <s v="05-dic"/>
          <s v="06-dic"/>
          <s v="07-dic"/>
          <s v="08-dic"/>
          <s v="09-dic"/>
          <s v="10-dic"/>
          <s v="11-dic"/>
          <s v="12-dic"/>
          <s v="13-dic"/>
          <s v="14-dic"/>
          <s v="15-dic"/>
          <s v="16-dic"/>
          <s v="17-dic"/>
          <s v="18-dic"/>
          <s v="19-dic"/>
          <s v="20-dic"/>
          <s v="21-dic"/>
          <s v="22-dic"/>
          <s v="23-dic"/>
          <s v="24-dic"/>
          <s v="25-dic"/>
          <s v="26-dic"/>
          <s v="27-dic"/>
          <s v="28-dic"/>
          <s v="29-dic"/>
          <s v="30-dic"/>
          <s v="31-dic"/>
          <s v="&gt;02-12-2026"/>
        </groupItems>
      </fieldGroup>
    </cacheField>
    <cacheField name="Meses (Fecha)" numFmtId="0" databaseField="0">
      <fieldGroup base="5">
        <rangePr groupBy="months" startDate="2026-01-01T00:00:00" endDate="2026-12-02T00:00:00"/>
        <groupItems count="14">
          <s v="&lt;01-01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02-12-2026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16">
  <r>
    <n v="1"/>
    <x v="0"/>
    <x v="0"/>
    <x v="0"/>
    <x v="0"/>
    <x v="0"/>
    <n v="384000"/>
    <x v="0"/>
    <n v="32000"/>
  </r>
  <r>
    <n v="1"/>
    <x v="0"/>
    <x v="0"/>
    <x v="0"/>
    <x v="0"/>
    <x v="0"/>
    <n v="384000"/>
    <x v="1"/>
    <n v="32000"/>
  </r>
  <r>
    <n v="1"/>
    <x v="0"/>
    <x v="0"/>
    <x v="0"/>
    <x v="0"/>
    <x v="0"/>
    <n v="384000"/>
    <x v="2"/>
    <n v="32000"/>
  </r>
  <r>
    <n v="1"/>
    <x v="0"/>
    <x v="0"/>
    <x v="0"/>
    <x v="0"/>
    <x v="0"/>
    <n v="384000"/>
    <x v="3"/>
    <n v="32000"/>
  </r>
  <r>
    <n v="1"/>
    <x v="0"/>
    <x v="0"/>
    <x v="0"/>
    <x v="0"/>
    <x v="0"/>
    <n v="384000"/>
    <x v="4"/>
    <n v="32000"/>
  </r>
  <r>
    <n v="1"/>
    <x v="0"/>
    <x v="0"/>
    <x v="0"/>
    <x v="0"/>
    <x v="0"/>
    <n v="384000"/>
    <x v="5"/>
    <n v="32000"/>
  </r>
  <r>
    <n v="1"/>
    <x v="0"/>
    <x v="0"/>
    <x v="0"/>
    <x v="0"/>
    <x v="0"/>
    <n v="384000"/>
    <x v="6"/>
    <n v="32000"/>
  </r>
  <r>
    <n v="1"/>
    <x v="0"/>
    <x v="0"/>
    <x v="0"/>
    <x v="0"/>
    <x v="0"/>
    <n v="384000"/>
    <x v="7"/>
    <n v="32000"/>
  </r>
  <r>
    <n v="1"/>
    <x v="0"/>
    <x v="0"/>
    <x v="0"/>
    <x v="0"/>
    <x v="0"/>
    <n v="384000"/>
    <x v="8"/>
    <n v="32000"/>
  </r>
  <r>
    <n v="1"/>
    <x v="0"/>
    <x v="0"/>
    <x v="0"/>
    <x v="0"/>
    <x v="0"/>
    <n v="384000"/>
    <x v="9"/>
    <n v="32000"/>
  </r>
  <r>
    <n v="1"/>
    <x v="0"/>
    <x v="0"/>
    <x v="0"/>
    <x v="0"/>
    <x v="0"/>
    <n v="384000"/>
    <x v="10"/>
    <n v="32000"/>
  </r>
  <r>
    <n v="1"/>
    <x v="0"/>
    <x v="0"/>
    <x v="0"/>
    <x v="0"/>
    <x v="0"/>
    <n v="384000"/>
    <x v="11"/>
    <n v="32000"/>
  </r>
  <r>
    <n v="2"/>
    <x v="1"/>
    <x v="1"/>
    <x v="0"/>
    <x v="0"/>
    <x v="1"/>
    <n v="194400"/>
    <x v="0"/>
    <n v="16200"/>
  </r>
  <r>
    <n v="2"/>
    <x v="1"/>
    <x v="1"/>
    <x v="0"/>
    <x v="0"/>
    <x v="1"/>
    <n v="194400"/>
    <x v="1"/>
    <n v="16200"/>
  </r>
  <r>
    <n v="2"/>
    <x v="1"/>
    <x v="1"/>
    <x v="0"/>
    <x v="0"/>
    <x v="1"/>
    <n v="194400"/>
    <x v="2"/>
    <n v="16200"/>
  </r>
  <r>
    <n v="2"/>
    <x v="1"/>
    <x v="1"/>
    <x v="0"/>
    <x v="0"/>
    <x v="1"/>
    <n v="194400"/>
    <x v="3"/>
    <n v="16200"/>
  </r>
  <r>
    <n v="2"/>
    <x v="1"/>
    <x v="1"/>
    <x v="0"/>
    <x v="0"/>
    <x v="1"/>
    <n v="194400"/>
    <x v="4"/>
    <n v="16200"/>
  </r>
  <r>
    <n v="2"/>
    <x v="1"/>
    <x v="1"/>
    <x v="0"/>
    <x v="0"/>
    <x v="1"/>
    <n v="194400"/>
    <x v="5"/>
    <n v="16200"/>
  </r>
  <r>
    <n v="2"/>
    <x v="1"/>
    <x v="1"/>
    <x v="0"/>
    <x v="0"/>
    <x v="1"/>
    <n v="194400"/>
    <x v="6"/>
    <n v="16200"/>
  </r>
  <r>
    <n v="2"/>
    <x v="1"/>
    <x v="1"/>
    <x v="0"/>
    <x v="0"/>
    <x v="1"/>
    <n v="194400"/>
    <x v="7"/>
    <n v="16200"/>
  </r>
  <r>
    <n v="2"/>
    <x v="1"/>
    <x v="1"/>
    <x v="0"/>
    <x v="0"/>
    <x v="1"/>
    <n v="194400"/>
    <x v="8"/>
    <n v="16200"/>
  </r>
  <r>
    <n v="2"/>
    <x v="1"/>
    <x v="1"/>
    <x v="0"/>
    <x v="0"/>
    <x v="1"/>
    <n v="194400"/>
    <x v="9"/>
    <n v="16200"/>
  </r>
  <r>
    <n v="2"/>
    <x v="1"/>
    <x v="1"/>
    <x v="0"/>
    <x v="0"/>
    <x v="1"/>
    <n v="194400"/>
    <x v="10"/>
    <n v="16200"/>
  </r>
  <r>
    <n v="2"/>
    <x v="1"/>
    <x v="1"/>
    <x v="0"/>
    <x v="0"/>
    <x v="1"/>
    <n v="194400"/>
    <x v="11"/>
    <n v="16200"/>
  </r>
  <r>
    <n v="3"/>
    <x v="1"/>
    <x v="0"/>
    <x v="0"/>
    <x v="0"/>
    <x v="2"/>
    <n v="194400"/>
    <x v="0"/>
    <n v="16200"/>
  </r>
  <r>
    <n v="3"/>
    <x v="1"/>
    <x v="0"/>
    <x v="0"/>
    <x v="0"/>
    <x v="2"/>
    <n v="194400"/>
    <x v="1"/>
    <n v="16200"/>
  </r>
  <r>
    <n v="3"/>
    <x v="1"/>
    <x v="0"/>
    <x v="0"/>
    <x v="0"/>
    <x v="2"/>
    <n v="194400"/>
    <x v="2"/>
    <n v="16200"/>
  </r>
  <r>
    <n v="3"/>
    <x v="1"/>
    <x v="0"/>
    <x v="0"/>
    <x v="0"/>
    <x v="2"/>
    <n v="194400"/>
    <x v="3"/>
    <n v="16200"/>
  </r>
  <r>
    <n v="3"/>
    <x v="1"/>
    <x v="0"/>
    <x v="0"/>
    <x v="0"/>
    <x v="2"/>
    <n v="194400"/>
    <x v="4"/>
    <n v="16200"/>
  </r>
  <r>
    <n v="3"/>
    <x v="1"/>
    <x v="0"/>
    <x v="0"/>
    <x v="0"/>
    <x v="2"/>
    <n v="194400"/>
    <x v="5"/>
    <n v="16200"/>
  </r>
  <r>
    <n v="3"/>
    <x v="1"/>
    <x v="0"/>
    <x v="0"/>
    <x v="0"/>
    <x v="2"/>
    <n v="194400"/>
    <x v="6"/>
    <n v="16200"/>
  </r>
  <r>
    <n v="3"/>
    <x v="1"/>
    <x v="0"/>
    <x v="0"/>
    <x v="0"/>
    <x v="2"/>
    <n v="194400"/>
    <x v="7"/>
    <n v="16200"/>
  </r>
  <r>
    <n v="3"/>
    <x v="1"/>
    <x v="0"/>
    <x v="0"/>
    <x v="0"/>
    <x v="2"/>
    <n v="194400"/>
    <x v="8"/>
    <n v="16200"/>
  </r>
  <r>
    <n v="3"/>
    <x v="1"/>
    <x v="0"/>
    <x v="0"/>
    <x v="0"/>
    <x v="2"/>
    <n v="194400"/>
    <x v="9"/>
    <n v="16200"/>
  </r>
  <r>
    <n v="3"/>
    <x v="1"/>
    <x v="0"/>
    <x v="0"/>
    <x v="0"/>
    <x v="2"/>
    <n v="194400"/>
    <x v="10"/>
    <n v="16200"/>
  </r>
  <r>
    <n v="3"/>
    <x v="1"/>
    <x v="0"/>
    <x v="0"/>
    <x v="0"/>
    <x v="2"/>
    <n v="194400"/>
    <x v="11"/>
    <n v="16200"/>
  </r>
  <r>
    <n v="4"/>
    <x v="1"/>
    <x v="0"/>
    <x v="0"/>
    <x v="0"/>
    <x v="3"/>
    <n v="162000"/>
    <x v="0"/>
    <n v="13500"/>
  </r>
  <r>
    <n v="4"/>
    <x v="1"/>
    <x v="0"/>
    <x v="0"/>
    <x v="0"/>
    <x v="3"/>
    <n v="162000"/>
    <x v="1"/>
    <n v="13500"/>
  </r>
  <r>
    <n v="4"/>
    <x v="1"/>
    <x v="0"/>
    <x v="0"/>
    <x v="0"/>
    <x v="3"/>
    <n v="162000"/>
    <x v="2"/>
    <n v="13500"/>
  </r>
  <r>
    <n v="4"/>
    <x v="1"/>
    <x v="0"/>
    <x v="0"/>
    <x v="0"/>
    <x v="3"/>
    <n v="162000"/>
    <x v="3"/>
    <n v="13500"/>
  </r>
  <r>
    <n v="4"/>
    <x v="1"/>
    <x v="0"/>
    <x v="0"/>
    <x v="0"/>
    <x v="3"/>
    <n v="162000"/>
    <x v="4"/>
    <n v="13500"/>
  </r>
  <r>
    <n v="4"/>
    <x v="1"/>
    <x v="0"/>
    <x v="0"/>
    <x v="0"/>
    <x v="3"/>
    <n v="162000"/>
    <x v="5"/>
    <n v="13500"/>
  </r>
  <r>
    <n v="4"/>
    <x v="1"/>
    <x v="0"/>
    <x v="0"/>
    <x v="0"/>
    <x v="3"/>
    <n v="162000"/>
    <x v="6"/>
    <n v="13500"/>
  </r>
  <r>
    <n v="4"/>
    <x v="1"/>
    <x v="0"/>
    <x v="0"/>
    <x v="0"/>
    <x v="3"/>
    <n v="162000"/>
    <x v="7"/>
    <n v="13500"/>
  </r>
  <r>
    <n v="4"/>
    <x v="1"/>
    <x v="0"/>
    <x v="0"/>
    <x v="0"/>
    <x v="3"/>
    <n v="162000"/>
    <x v="8"/>
    <n v="13500"/>
  </r>
  <r>
    <n v="4"/>
    <x v="1"/>
    <x v="0"/>
    <x v="0"/>
    <x v="0"/>
    <x v="3"/>
    <n v="162000"/>
    <x v="9"/>
    <n v="13500"/>
  </r>
  <r>
    <n v="4"/>
    <x v="1"/>
    <x v="0"/>
    <x v="0"/>
    <x v="0"/>
    <x v="3"/>
    <n v="162000"/>
    <x v="10"/>
    <n v="13500"/>
  </r>
  <r>
    <n v="4"/>
    <x v="1"/>
    <x v="0"/>
    <x v="0"/>
    <x v="0"/>
    <x v="3"/>
    <n v="162000"/>
    <x v="11"/>
    <n v="13500"/>
  </r>
  <r>
    <n v="5"/>
    <x v="1"/>
    <x v="0"/>
    <x v="0"/>
    <x v="0"/>
    <x v="4"/>
    <n v="155922"/>
    <x v="0"/>
    <n v="12993"/>
  </r>
  <r>
    <n v="5"/>
    <x v="1"/>
    <x v="0"/>
    <x v="0"/>
    <x v="0"/>
    <x v="4"/>
    <n v="155922"/>
    <x v="1"/>
    <n v="12993"/>
  </r>
  <r>
    <n v="5"/>
    <x v="1"/>
    <x v="0"/>
    <x v="0"/>
    <x v="0"/>
    <x v="4"/>
    <n v="155922"/>
    <x v="2"/>
    <n v="12993"/>
  </r>
  <r>
    <n v="5"/>
    <x v="1"/>
    <x v="0"/>
    <x v="0"/>
    <x v="0"/>
    <x v="4"/>
    <n v="155922"/>
    <x v="3"/>
    <n v="12993"/>
  </r>
  <r>
    <n v="5"/>
    <x v="1"/>
    <x v="0"/>
    <x v="0"/>
    <x v="0"/>
    <x v="4"/>
    <n v="155922"/>
    <x v="4"/>
    <n v="12993"/>
  </r>
  <r>
    <n v="5"/>
    <x v="1"/>
    <x v="0"/>
    <x v="0"/>
    <x v="0"/>
    <x v="4"/>
    <n v="155922"/>
    <x v="5"/>
    <n v="12993"/>
  </r>
  <r>
    <n v="5"/>
    <x v="1"/>
    <x v="0"/>
    <x v="0"/>
    <x v="0"/>
    <x v="4"/>
    <n v="155922"/>
    <x v="6"/>
    <n v="12993"/>
  </r>
  <r>
    <n v="5"/>
    <x v="1"/>
    <x v="0"/>
    <x v="0"/>
    <x v="0"/>
    <x v="4"/>
    <n v="155922"/>
    <x v="7"/>
    <n v="12993"/>
  </r>
  <r>
    <n v="5"/>
    <x v="1"/>
    <x v="0"/>
    <x v="0"/>
    <x v="0"/>
    <x v="4"/>
    <n v="155922"/>
    <x v="8"/>
    <n v="12993"/>
  </r>
  <r>
    <n v="5"/>
    <x v="1"/>
    <x v="0"/>
    <x v="0"/>
    <x v="0"/>
    <x v="4"/>
    <n v="155922"/>
    <x v="9"/>
    <n v="12993"/>
  </r>
  <r>
    <n v="5"/>
    <x v="1"/>
    <x v="0"/>
    <x v="0"/>
    <x v="0"/>
    <x v="4"/>
    <n v="155922"/>
    <x v="10"/>
    <n v="12993"/>
  </r>
  <r>
    <n v="5"/>
    <x v="1"/>
    <x v="0"/>
    <x v="0"/>
    <x v="0"/>
    <x v="4"/>
    <n v="155922"/>
    <x v="11"/>
    <n v="12993"/>
  </r>
  <r>
    <n v="6"/>
    <x v="1"/>
    <x v="2"/>
    <x v="0"/>
    <x v="0"/>
    <x v="5"/>
    <n v="138811"/>
    <x v="0"/>
    <n v="11568"/>
  </r>
  <r>
    <n v="6"/>
    <x v="1"/>
    <x v="2"/>
    <x v="0"/>
    <x v="0"/>
    <x v="5"/>
    <n v="138811"/>
    <x v="1"/>
    <n v="11568"/>
  </r>
  <r>
    <n v="6"/>
    <x v="1"/>
    <x v="2"/>
    <x v="0"/>
    <x v="0"/>
    <x v="5"/>
    <n v="138811"/>
    <x v="2"/>
    <n v="11568"/>
  </r>
  <r>
    <n v="6"/>
    <x v="1"/>
    <x v="2"/>
    <x v="0"/>
    <x v="0"/>
    <x v="5"/>
    <n v="138811"/>
    <x v="3"/>
    <n v="11568"/>
  </r>
  <r>
    <n v="6"/>
    <x v="1"/>
    <x v="2"/>
    <x v="0"/>
    <x v="0"/>
    <x v="5"/>
    <n v="138811"/>
    <x v="4"/>
    <n v="11568"/>
  </r>
  <r>
    <n v="6"/>
    <x v="1"/>
    <x v="2"/>
    <x v="0"/>
    <x v="0"/>
    <x v="5"/>
    <n v="138811"/>
    <x v="5"/>
    <n v="11568"/>
  </r>
  <r>
    <n v="6"/>
    <x v="1"/>
    <x v="2"/>
    <x v="0"/>
    <x v="0"/>
    <x v="5"/>
    <n v="138811"/>
    <x v="6"/>
    <n v="11568"/>
  </r>
  <r>
    <n v="6"/>
    <x v="1"/>
    <x v="2"/>
    <x v="0"/>
    <x v="0"/>
    <x v="5"/>
    <n v="138811"/>
    <x v="7"/>
    <n v="11568"/>
  </r>
  <r>
    <n v="6"/>
    <x v="1"/>
    <x v="2"/>
    <x v="0"/>
    <x v="0"/>
    <x v="5"/>
    <n v="138811"/>
    <x v="8"/>
    <n v="11568"/>
  </r>
  <r>
    <n v="6"/>
    <x v="1"/>
    <x v="2"/>
    <x v="0"/>
    <x v="0"/>
    <x v="5"/>
    <n v="138811"/>
    <x v="9"/>
    <n v="11568"/>
  </r>
  <r>
    <n v="6"/>
    <x v="1"/>
    <x v="2"/>
    <x v="0"/>
    <x v="0"/>
    <x v="5"/>
    <n v="138811"/>
    <x v="10"/>
    <n v="11568"/>
  </r>
  <r>
    <n v="6"/>
    <x v="1"/>
    <x v="2"/>
    <x v="0"/>
    <x v="0"/>
    <x v="5"/>
    <n v="138811"/>
    <x v="11"/>
    <n v="11568"/>
  </r>
  <r>
    <n v="7"/>
    <x v="1"/>
    <x v="2"/>
    <x v="0"/>
    <x v="0"/>
    <x v="6"/>
    <n v="121500"/>
    <x v="0"/>
    <n v="10125"/>
  </r>
  <r>
    <n v="7"/>
    <x v="1"/>
    <x v="2"/>
    <x v="0"/>
    <x v="0"/>
    <x v="6"/>
    <n v="121500"/>
    <x v="1"/>
    <n v="10125"/>
  </r>
  <r>
    <n v="7"/>
    <x v="1"/>
    <x v="2"/>
    <x v="0"/>
    <x v="0"/>
    <x v="6"/>
    <n v="121500"/>
    <x v="2"/>
    <n v="10125"/>
  </r>
  <r>
    <n v="7"/>
    <x v="1"/>
    <x v="2"/>
    <x v="0"/>
    <x v="0"/>
    <x v="6"/>
    <n v="121500"/>
    <x v="3"/>
    <n v="10125"/>
  </r>
  <r>
    <n v="7"/>
    <x v="1"/>
    <x v="2"/>
    <x v="0"/>
    <x v="0"/>
    <x v="6"/>
    <n v="121500"/>
    <x v="4"/>
    <n v="10125"/>
  </r>
  <r>
    <n v="7"/>
    <x v="1"/>
    <x v="2"/>
    <x v="0"/>
    <x v="0"/>
    <x v="6"/>
    <n v="121500"/>
    <x v="5"/>
    <n v="10125"/>
  </r>
  <r>
    <n v="7"/>
    <x v="1"/>
    <x v="2"/>
    <x v="0"/>
    <x v="0"/>
    <x v="6"/>
    <n v="121500"/>
    <x v="6"/>
    <n v="10125"/>
  </r>
  <r>
    <n v="7"/>
    <x v="1"/>
    <x v="2"/>
    <x v="0"/>
    <x v="0"/>
    <x v="6"/>
    <n v="121500"/>
    <x v="7"/>
    <n v="10125"/>
  </r>
  <r>
    <n v="7"/>
    <x v="1"/>
    <x v="2"/>
    <x v="0"/>
    <x v="0"/>
    <x v="6"/>
    <n v="121500"/>
    <x v="8"/>
    <n v="10125"/>
  </r>
  <r>
    <n v="7"/>
    <x v="1"/>
    <x v="2"/>
    <x v="0"/>
    <x v="0"/>
    <x v="6"/>
    <n v="121500"/>
    <x v="9"/>
    <n v="10125"/>
  </r>
  <r>
    <n v="7"/>
    <x v="1"/>
    <x v="2"/>
    <x v="0"/>
    <x v="0"/>
    <x v="6"/>
    <n v="121500"/>
    <x v="10"/>
    <n v="10125"/>
  </r>
  <r>
    <n v="7"/>
    <x v="1"/>
    <x v="2"/>
    <x v="0"/>
    <x v="0"/>
    <x v="6"/>
    <n v="121500"/>
    <x v="11"/>
    <n v="10125"/>
  </r>
  <r>
    <n v="8"/>
    <x v="1"/>
    <x v="0"/>
    <x v="0"/>
    <x v="0"/>
    <x v="7"/>
    <n v="121500"/>
    <x v="0"/>
    <n v="10125"/>
  </r>
  <r>
    <n v="8"/>
    <x v="1"/>
    <x v="0"/>
    <x v="0"/>
    <x v="0"/>
    <x v="7"/>
    <n v="121500"/>
    <x v="1"/>
    <n v="10125"/>
  </r>
  <r>
    <n v="8"/>
    <x v="1"/>
    <x v="0"/>
    <x v="0"/>
    <x v="0"/>
    <x v="7"/>
    <n v="121500"/>
    <x v="2"/>
    <n v="10125"/>
  </r>
  <r>
    <n v="8"/>
    <x v="1"/>
    <x v="0"/>
    <x v="0"/>
    <x v="0"/>
    <x v="7"/>
    <n v="121500"/>
    <x v="3"/>
    <n v="10125"/>
  </r>
  <r>
    <n v="8"/>
    <x v="1"/>
    <x v="0"/>
    <x v="0"/>
    <x v="0"/>
    <x v="7"/>
    <n v="121500"/>
    <x v="4"/>
    <n v="10125"/>
  </r>
  <r>
    <n v="8"/>
    <x v="1"/>
    <x v="0"/>
    <x v="0"/>
    <x v="0"/>
    <x v="7"/>
    <n v="121500"/>
    <x v="5"/>
    <n v="10125"/>
  </r>
  <r>
    <n v="8"/>
    <x v="1"/>
    <x v="0"/>
    <x v="0"/>
    <x v="0"/>
    <x v="7"/>
    <n v="121500"/>
    <x v="6"/>
    <n v="10125"/>
  </r>
  <r>
    <n v="8"/>
    <x v="1"/>
    <x v="0"/>
    <x v="0"/>
    <x v="0"/>
    <x v="7"/>
    <n v="121500"/>
    <x v="7"/>
    <n v="10125"/>
  </r>
  <r>
    <n v="8"/>
    <x v="1"/>
    <x v="0"/>
    <x v="0"/>
    <x v="0"/>
    <x v="7"/>
    <n v="121500"/>
    <x v="8"/>
    <n v="10125"/>
  </r>
  <r>
    <n v="8"/>
    <x v="1"/>
    <x v="0"/>
    <x v="0"/>
    <x v="0"/>
    <x v="7"/>
    <n v="121500"/>
    <x v="9"/>
    <n v="10125"/>
  </r>
  <r>
    <n v="8"/>
    <x v="1"/>
    <x v="0"/>
    <x v="0"/>
    <x v="0"/>
    <x v="7"/>
    <n v="121500"/>
    <x v="10"/>
    <n v="10125"/>
  </r>
  <r>
    <n v="8"/>
    <x v="1"/>
    <x v="0"/>
    <x v="0"/>
    <x v="0"/>
    <x v="7"/>
    <n v="121500"/>
    <x v="11"/>
    <n v="10125"/>
  </r>
  <r>
    <n v="9"/>
    <x v="1"/>
    <x v="0"/>
    <x v="0"/>
    <x v="0"/>
    <x v="8"/>
    <n v="19085"/>
    <x v="0"/>
    <n v="9542"/>
  </r>
  <r>
    <n v="9"/>
    <x v="1"/>
    <x v="0"/>
    <x v="0"/>
    <x v="0"/>
    <x v="8"/>
    <n v="19085"/>
    <x v="1"/>
    <n v="9542"/>
  </r>
  <r>
    <n v="9"/>
    <x v="1"/>
    <x v="0"/>
    <x v="0"/>
    <x v="0"/>
    <x v="8"/>
    <n v="19085"/>
    <x v="2"/>
    <n v="0"/>
  </r>
  <r>
    <n v="9"/>
    <x v="1"/>
    <x v="0"/>
    <x v="0"/>
    <x v="0"/>
    <x v="8"/>
    <n v="19085"/>
    <x v="3"/>
    <n v="0"/>
  </r>
  <r>
    <n v="9"/>
    <x v="1"/>
    <x v="0"/>
    <x v="0"/>
    <x v="0"/>
    <x v="8"/>
    <n v="19085"/>
    <x v="4"/>
    <n v="0"/>
  </r>
  <r>
    <n v="9"/>
    <x v="1"/>
    <x v="0"/>
    <x v="0"/>
    <x v="0"/>
    <x v="8"/>
    <n v="19085"/>
    <x v="5"/>
    <n v="0"/>
  </r>
  <r>
    <n v="9"/>
    <x v="1"/>
    <x v="0"/>
    <x v="0"/>
    <x v="0"/>
    <x v="8"/>
    <n v="19085"/>
    <x v="6"/>
    <n v="0"/>
  </r>
  <r>
    <n v="9"/>
    <x v="1"/>
    <x v="0"/>
    <x v="0"/>
    <x v="0"/>
    <x v="8"/>
    <n v="19085"/>
    <x v="7"/>
    <n v="0"/>
  </r>
  <r>
    <n v="9"/>
    <x v="1"/>
    <x v="0"/>
    <x v="0"/>
    <x v="0"/>
    <x v="8"/>
    <n v="19085"/>
    <x v="8"/>
    <n v="0"/>
  </r>
  <r>
    <n v="9"/>
    <x v="1"/>
    <x v="0"/>
    <x v="0"/>
    <x v="0"/>
    <x v="8"/>
    <n v="19085"/>
    <x v="9"/>
    <n v="0"/>
  </r>
  <r>
    <n v="9"/>
    <x v="1"/>
    <x v="0"/>
    <x v="0"/>
    <x v="0"/>
    <x v="8"/>
    <n v="19085"/>
    <x v="10"/>
    <n v="0"/>
  </r>
  <r>
    <n v="9"/>
    <x v="1"/>
    <x v="0"/>
    <x v="0"/>
    <x v="0"/>
    <x v="8"/>
    <n v="19085"/>
    <x v="11"/>
    <n v="0"/>
  </r>
  <r>
    <n v="10"/>
    <x v="1"/>
    <x v="0"/>
    <x v="0"/>
    <x v="0"/>
    <x v="9"/>
    <n v="111967"/>
    <x v="0"/>
    <n v="9331"/>
  </r>
  <r>
    <n v="10"/>
    <x v="1"/>
    <x v="0"/>
    <x v="0"/>
    <x v="0"/>
    <x v="9"/>
    <n v="111967"/>
    <x v="1"/>
    <n v="9331"/>
  </r>
  <r>
    <n v="10"/>
    <x v="1"/>
    <x v="0"/>
    <x v="0"/>
    <x v="0"/>
    <x v="9"/>
    <n v="111967"/>
    <x v="2"/>
    <n v="9331"/>
  </r>
  <r>
    <n v="10"/>
    <x v="1"/>
    <x v="0"/>
    <x v="0"/>
    <x v="0"/>
    <x v="9"/>
    <n v="111967"/>
    <x v="3"/>
    <n v="9331"/>
  </r>
  <r>
    <n v="10"/>
    <x v="1"/>
    <x v="0"/>
    <x v="0"/>
    <x v="0"/>
    <x v="9"/>
    <n v="111967"/>
    <x v="4"/>
    <n v="9331"/>
  </r>
  <r>
    <n v="10"/>
    <x v="1"/>
    <x v="0"/>
    <x v="0"/>
    <x v="0"/>
    <x v="9"/>
    <n v="111967"/>
    <x v="5"/>
    <n v="9331"/>
  </r>
  <r>
    <n v="10"/>
    <x v="1"/>
    <x v="0"/>
    <x v="0"/>
    <x v="0"/>
    <x v="9"/>
    <n v="111967"/>
    <x v="6"/>
    <n v="9331"/>
  </r>
  <r>
    <n v="10"/>
    <x v="1"/>
    <x v="0"/>
    <x v="0"/>
    <x v="0"/>
    <x v="9"/>
    <n v="111967"/>
    <x v="7"/>
    <n v="9331"/>
  </r>
  <r>
    <n v="10"/>
    <x v="1"/>
    <x v="0"/>
    <x v="0"/>
    <x v="0"/>
    <x v="9"/>
    <n v="111967"/>
    <x v="8"/>
    <n v="9331"/>
  </r>
  <r>
    <n v="10"/>
    <x v="1"/>
    <x v="0"/>
    <x v="0"/>
    <x v="0"/>
    <x v="9"/>
    <n v="111967"/>
    <x v="9"/>
    <n v="9331"/>
  </r>
  <r>
    <n v="10"/>
    <x v="1"/>
    <x v="0"/>
    <x v="0"/>
    <x v="0"/>
    <x v="9"/>
    <n v="111967"/>
    <x v="10"/>
    <n v="9331"/>
  </r>
  <r>
    <n v="10"/>
    <x v="1"/>
    <x v="0"/>
    <x v="0"/>
    <x v="0"/>
    <x v="9"/>
    <n v="111967"/>
    <x v="11"/>
    <n v="9331"/>
  </r>
  <r>
    <n v="11"/>
    <x v="1"/>
    <x v="2"/>
    <x v="0"/>
    <x v="0"/>
    <x v="10"/>
    <n v="26030"/>
    <x v="0"/>
    <n v="8677"/>
  </r>
  <r>
    <n v="11"/>
    <x v="1"/>
    <x v="2"/>
    <x v="0"/>
    <x v="0"/>
    <x v="10"/>
    <n v="26030"/>
    <x v="1"/>
    <n v="8677"/>
  </r>
  <r>
    <n v="11"/>
    <x v="1"/>
    <x v="2"/>
    <x v="0"/>
    <x v="0"/>
    <x v="10"/>
    <n v="26030"/>
    <x v="2"/>
    <n v="8677"/>
  </r>
  <r>
    <n v="11"/>
    <x v="1"/>
    <x v="2"/>
    <x v="0"/>
    <x v="0"/>
    <x v="10"/>
    <n v="26030"/>
    <x v="3"/>
    <n v="0"/>
  </r>
  <r>
    <n v="11"/>
    <x v="1"/>
    <x v="2"/>
    <x v="0"/>
    <x v="0"/>
    <x v="10"/>
    <n v="26030"/>
    <x v="4"/>
    <n v="0"/>
  </r>
  <r>
    <n v="11"/>
    <x v="1"/>
    <x v="2"/>
    <x v="0"/>
    <x v="0"/>
    <x v="10"/>
    <n v="26030"/>
    <x v="5"/>
    <n v="0"/>
  </r>
  <r>
    <n v="11"/>
    <x v="1"/>
    <x v="2"/>
    <x v="0"/>
    <x v="0"/>
    <x v="10"/>
    <n v="26030"/>
    <x v="6"/>
    <n v="0"/>
  </r>
  <r>
    <n v="11"/>
    <x v="1"/>
    <x v="2"/>
    <x v="0"/>
    <x v="0"/>
    <x v="10"/>
    <n v="26030"/>
    <x v="7"/>
    <n v="0"/>
  </r>
  <r>
    <n v="11"/>
    <x v="1"/>
    <x v="2"/>
    <x v="0"/>
    <x v="0"/>
    <x v="10"/>
    <n v="26030"/>
    <x v="8"/>
    <n v="0"/>
  </r>
  <r>
    <n v="11"/>
    <x v="1"/>
    <x v="2"/>
    <x v="0"/>
    <x v="0"/>
    <x v="10"/>
    <n v="26030"/>
    <x v="9"/>
    <n v="0"/>
  </r>
  <r>
    <n v="11"/>
    <x v="1"/>
    <x v="2"/>
    <x v="0"/>
    <x v="0"/>
    <x v="10"/>
    <n v="26030"/>
    <x v="10"/>
    <n v="0"/>
  </r>
  <r>
    <n v="11"/>
    <x v="1"/>
    <x v="2"/>
    <x v="0"/>
    <x v="0"/>
    <x v="10"/>
    <n v="26030"/>
    <x v="11"/>
    <n v="0"/>
  </r>
  <r>
    <n v="12"/>
    <x v="1"/>
    <x v="0"/>
    <x v="0"/>
    <x v="0"/>
    <x v="11"/>
    <n v="102954"/>
    <x v="0"/>
    <n v="8579"/>
  </r>
  <r>
    <n v="12"/>
    <x v="1"/>
    <x v="0"/>
    <x v="0"/>
    <x v="0"/>
    <x v="11"/>
    <n v="102954"/>
    <x v="1"/>
    <n v="8579"/>
  </r>
  <r>
    <n v="12"/>
    <x v="1"/>
    <x v="0"/>
    <x v="0"/>
    <x v="0"/>
    <x v="11"/>
    <n v="102954"/>
    <x v="2"/>
    <n v="8579"/>
  </r>
  <r>
    <n v="12"/>
    <x v="1"/>
    <x v="0"/>
    <x v="0"/>
    <x v="0"/>
    <x v="11"/>
    <n v="102954"/>
    <x v="3"/>
    <n v="8579"/>
  </r>
  <r>
    <n v="12"/>
    <x v="1"/>
    <x v="0"/>
    <x v="0"/>
    <x v="0"/>
    <x v="11"/>
    <n v="102954"/>
    <x v="4"/>
    <n v="8579"/>
  </r>
  <r>
    <n v="12"/>
    <x v="1"/>
    <x v="0"/>
    <x v="0"/>
    <x v="0"/>
    <x v="11"/>
    <n v="102954"/>
    <x v="5"/>
    <n v="8579"/>
  </r>
  <r>
    <n v="12"/>
    <x v="1"/>
    <x v="0"/>
    <x v="0"/>
    <x v="0"/>
    <x v="11"/>
    <n v="102954"/>
    <x v="6"/>
    <n v="8579"/>
  </r>
  <r>
    <n v="12"/>
    <x v="1"/>
    <x v="0"/>
    <x v="0"/>
    <x v="0"/>
    <x v="11"/>
    <n v="102954"/>
    <x v="7"/>
    <n v="8579"/>
  </r>
  <r>
    <n v="12"/>
    <x v="1"/>
    <x v="0"/>
    <x v="0"/>
    <x v="0"/>
    <x v="11"/>
    <n v="102954"/>
    <x v="8"/>
    <n v="8579"/>
  </r>
  <r>
    <n v="12"/>
    <x v="1"/>
    <x v="0"/>
    <x v="0"/>
    <x v="0"/>
    <x v="11"/>
    <n v="102954"/>
    <x v="9"/>
    <n v="8579"/>
  </r>
  <r>
    <n v="12"/>
    <x v="1"/>
    <x v="0"/>
    <x v="0"/>
    <x v="0"/>
    <x v="11"/>
    <n v="102954"/>
    <x v="10"/>
    <n v="8579"/>
  </r>
  <r>
    <n v="12"/>
    <x v="1"/>
    <x v="0"/>
    <x v="0"/>
    <x v="0"/>
    <x v="11"/>
    <n v="102954"/>
    <x v="11"/>
    <n v="8579"/>
  </r>
  <r>
    <n v="13"/>
    <x v="1"/>
    <x v="0"/>
    <x v="0"/>
    <x v="0"/>
    <x v="12"/>
    <n v="92094"/>
    <x v="0"/>
    <n v="7674"/>
  </r>
  <r>
    <n v="13"/>
    <x v="1"/>
    <x v="0"/>
    <x v="0"/>
    <x v="0"/>
    <x v="12"/>
    <n v="92094"/>
    <x v="1"/>
    <n v="7674"/>
  </r>
  <r>
    <n v="13"/>
    <x v="1"/>
    <x v="0"/>
    <x v="0"/>
    <x v="0"/>
    <x v="12"/>
    <n v="92094"/>
    <x v="2"/>
    <n v="7674"/>
  </r>
  <r>
    <n v="13"/>
    <x v="1"/>
    <x v="0"/>
    <x v="0"/>
    <x v="0"/>
    <x v="12"/>
    <n v="92094"/>
    <x v="3"/>
    <n v="7674"/>
  </r>
  <r>
    <n v="13"/>
    <x v="1"/>
    <x v="0"/>
    <x v="0"/>
    <x v="0"/>
    <x v="12"/>
    <n v="92094"/>
    <x v="4"/>
    <n v="7674"/>
  </r>
  <r>
    <n v="13"/>
    <x v="1"/>
    <x v="0"/>
    <x v="0"/>
    <x v="0"/>
    <x v="12"/>
    <n v="92094"/>
    <x v="5"/>
    <n v="7674"/>
  </r>
  <r>
    <n v="13"/>
    <x v="1"/>
    <x v="0"/>
    <x v="0"/>
    <x v="0"/>
    <x v="12"/>
    <n v="92094"/>
    <x v="6"/>
    <n v="7674"/>
  </r>
  <r>
    <n v="13"/>
    <x v="1"/>
    <x v="0"/>
    <x v="0"/>
    <x v="0"/>
    <x v="12"/>
    <n v="92094"/>
    <x v="7"/>
    <n v="7674"/>
  </r>
  <r>
    <n v="13"/>
    <x v="1"/>
    <x v="0"/>
    <x v="0"/>
    <x v="0"/>
    <x v="12"/>
    <n v="92094"/>
    <x v="8"/>
    <n v="7674"/>
  </r>
  <r>
    <n v="13"/>
    <x v="1"/>
    <x v="0"/>
    <x v="0"/>
    <x v="0"/>
    <x v="12"/>
    <n v="92094"/>
    <x v="9"/>
    <n v="7674"/>
  </r>
  <r>
    <n v="13"/>
    <x v="1"/>
    <x v="0"/>
    <x v="0"/>
    <x v="0"/>
    <x v="12"/>
    <n v="92094"/>
    <x v="10"/>
    <n v="7674"/>
  </r>
  <r>
    <n v="13"/>
    <x v="1"/>
    <x v="0"/>
    <x v="0"/>
    <x v="0"/>
    <x v="12"/>
    <n v="92094"/>
    <x v="11"/>
    <n v="7674"/>
  </r>
  <r>
    <n v="14"/>
    <x v="1"/>
    <x v="0"/>
    <x v="0"/>
    <x v="0"/>
    <x v="13"/>
    <n v="87364"/>
    <x v="0"/>
    <n v="7280"/>
  </r>
  <r>
    <n v="14"/>
    <x v="1"/>
    <x v="0"/>
    <x v="0"/>
    <x v="0"/>
    <x v="13"/>
    <n v="87364"/>
    <x v="1"/>
    <n v="7280"/>
  </r>
  <r>
    <n v="14"/>
    <x v="1"/>
    <x v="0"/>
    <x v="0"/>
    <x v="0"/>
    <x v="13"/>
    <n v="87364"/>
    <x v="2"/>
    <n v="7280"/>
  </r>
  <r>
    <n v="14"/>
    <x v="1"/>
    <x v="0"/>
    <x v="0"/>
    <x v="0"/>
    <x v="13"/>
    <n v="87364"/>
    <x v="3"/>
    <n v="7280"/>
  </r>
  <r>
    <n v="14"/>
    <x v="1"/>
    <x v="0"/>
    <x v="0"/>
    <x v="0"/>
    <x v="13"/>
    <n v="87364"/>
    <x v="4"/>
    <n v="7280"/>
  </r>
  <r>
    <n v="14"/>
    <x v="1"/>
    <x v="0"/>
    <x v="0"/>
    <x v="0"/>
    <x v="13"/>
    <n v="87364"/>
    <x v="5"/>
    <n v="7280"/>
  </r>
  <r>
    <n v="14"/>
    <x v="1"/>
    <x v="0"/>
    <x v="0"/>
    <x v="0"/>
    <x v="13"/>
    <n v="87364"/>
    <x v="6"/>
    <n v="7280"/>
  </r>
  <r>
    <n v="14"/>
    <x v="1"/>
    <x v="0"/>
    <x v="0"/>
    <x v="0"/>
    <x v="13"/>
    <n v="87364"/>
    <x v="7"/>
    <n v="7280"/>
  </r>
  <r>
    <n v="14"/>
    <x v="1"/>
    <x v="0"/>
    <x v="0"/>
    <x v="0"/>
    <x v="13"/>
    <n v="87364"/>
    <x v="8"/>
    <n v="7280"/>
  </r>
  <r>
    <n v="14"/>
    <x v="1"/>
    <x v="0"/>
    <x v="0"/>
    <x v="0"/>
    <x v="13"/>
    <n v="87364"/>
    <x v="9"/>
    <n v="7280"/>
  </r>
  <r>
    <n v="14"/>
    <x v="1"/>
    <x v="0"/>
    <x v="0"/>
    <x v="0"/>
    <x v="13"/>
    <n v="87364"/>
    <x v="10"/>
    <n v="7280"/>
  </r>
  <r>
    <n v="14"/>
    <x v="1"/>
    <x v="0"/>
    <x v="0"/>
    <x v="0"/>
    <x v="13"/>
    <n v="87364"/>
    <x v="11"/>
    <n v="7280"/>
  </r>
  <r>
    <n v="15"/>
    <x v="1"/>
    <x v="0"/>
    <x v="0"/>
    <x v="0"/>
    <x v="14"/>
    <n v="13681"/>
    <x v="0"/>
    <n v="6841"/>
  </r>
  <r>
    <n v="15"/>
    <x v="1"/>
    <x v="0"/>
    <x v="0"/>
    <x v="0"/>
    <x v="14"/>
    <n v="13681"/>
    <x v="1"/>
    <n v="6841"/>
  </r>
  <r>
    <n v="15"/>
    <x v="1"/>
    <x v="0"/>
    <x v="0"/>
    <x v="0"/>
    <x v="14"/>
    <n v="13681"/>
    <x v="2"/>
    <n v="0"/>
  </r>
  <r>
    <n v="15"/>
    <x v="1"/>
    <x v="0"/>
    <x v="0"/>
    <x v="0"/>
    <x v="14"/>
    <n v="13681"/>
    <x v="3"/>
    <n v="0"/>
  </r>
  <r>
    <n v="15"/>
    <x v="1"/>
    <x v="0"/>
    <x v="0"/>
    <x v="0"/>
    <x v="14"/>
    <n v="13681"/>
    <x v="4"/>
    <n v="0"/>
  </r>
  <r>
    <n v="15"/>
    <x v="1"/>
    <x v="0"/>
    <x v="0"/>
    <x v="0"/>
    <x v="14"/>
    <n v="13681"/>
    <x v="5"/>
    <n v="0"/>
  </r>
  <r>
    <n v="15"/>
    <x v="1"/>
    <x v="0"/>
    <x v="0"/>
    <x v="0"/>
    <x v="14"/>
    <n v="13681"/>
    <x v="6"/>
    <n v="0"/>
  </r>
  <r>
    <n v="15"/>
    <x v="1"/>
    <x v="0"/>
    <x v="0"/>
    <x v="0"/>
    <x v="14"/>
    <n v="13681"/>
    <x v="7"/>
    <n v="0"/>
  </r>
  <r>
    <n v="15"/>
    <x v="1"/>
    <x v="0"/>
    <x v="0"/>
    <x v="0"/>
    <x v="14"/>
    <n v="13681"/>
    <x v="8"/>
    <n v="0"/>
  </r>
  <r>
    <n v="15"/>
    <x v="1"/>
    <x v="0"/>
    <x v="0"/>
    <x v="0"/>
    <x v="14"/>
    <n v="13681"/>
    <x v="9"/>
    <n v="0"/>
  </r>
  <r>
    <n v="15"/>
    <x v="1"/>
    <x v="0"/>
    <x v="0"/>
    <x v="0"/>
    <x v="14"/>
    <n v="13681"/>
    <x v="10"/>
    <n v="0"/>
  </r>
  <r>
    <n v="15"/>
    <x v="1"/>
    <x v="0"/>
    <x v="0"/>
    <x v="0"/>
    <x v="14"/>
    <n v="13681"/>
    <x v="11"/>
    <n v="0"/>
  </r>
  <r>
    <n v="16"/>
    <x v="1"/>
    <x v="0"/>
    <x v="0"/>
    <x v="0"/>
    <x v="15"/>
    <n v="6514"/>
    <x v="0"/>
    <n v="6514"/>
  </r>
  <r>
    <n v="16"/>
    <x v="1"/>
    <x v="0"/>
    <x v="0"/>
    <x v="0"/>
    <x v="15"/>
    <n v="6514"/>
    <x v="1"/>
    <n v="0"/>
  </r>
  <r>
    <n v="16"/>
    <x v="1"/>
    <x v="0"/>
    <x v="0"/>
    <x v="0"/>
    <x v="15"/>
    <n v="6514"/>
    <x v="2"/>
    <n v="0"/>
  </r>
  <r>
    <n v="16"/>
    <x v="1"/>
    <x v="0"/>
    <x v="0"/>
    <x v="0"/>
    <x v="15"/>
    <n v="6514"/>
    <x v="3"/>
    <n v="0"/>
  </r>
  <r>
    <n v="16"/>
    <x v="1"/>
    <x v="0"/>
    <x v="0"/>
    <x v="0"/>
    <x v="15"/>
    <n v="6514"/>
    <x v="4"/>
    <n v="0"/>
  </r>
  <r>
    <n v="16"/>
    <x v="1"/>
    <x v="0"/>
    <x v="0"/>
    <x v="0"/>
    <x v="15"/>
    <n v="6514"/>
    <x v="5"/>
    <n v="0"/>
  </r>
  <r>
    <n v="16"/>
    <x v="1"/>
    <x v="0"/>
    <x v="0"/>
    <x v="0"/>
    <x v="15"/>
    <n v="6514"/>
    <x v="6"/>
    <n v="0"/>
  </r>
  <r>
    <n v="16"/>
    <x v="1"/>
    <x v="0"/>
    <x v="0"/>
    <x v="0"/>
    <x v="15"/>
    <n v="6514"/>
    <x v="7"/>
    <n v="0"/>
  </r>
  <r>
    <n v="16"/>
    <x v="1"/>
    <x v="0"/>
    <x v="0"/>
    <x v="0"/>
    <x v="15"/>
    <n v="6514"/>
    <x v="8"/>
    <n v="0"/>
  </r>
  <r>
    <n v="16"/>
    <x v="1"/>
    <x v="0"/>
    <x v="0"/>
    <x v="0"/>
    <x v="15"/>
    <n v="6514"/>
    <x v="9"/>
    <n v="0"/>
  </r>
  <r>
    <n v="16"/>
    <x v="1"/>
    <x v="0"/>
    <x v="0"/>
    <x v="0"/>
    <x v="15"/>
    <n v="6514"/>
    <x v="10"/>
    <n v="0"/>
  </r>
  <r>
    <n v="16"/>
    <x v="1"/>
    <x v="0"/>
    <x v="0"/>
    <x v="0"/>
    <x v="15"/>
    <n v="6514"/>
    <x v="11"/>
    <n v="0"/>
  </r>
  <r>
    <n v="17"/>
    <x v="2"/>
    <x v="0"/>
    <x v="0"/>
    <x v="0"/>
    <x v="16"/>
    <n v="68843"/>
    <x v="0"/>
    <n v="5737"/>
  </r>
  <r>
    <n v="17"/>
    <x v="2"/>
    <x v="0"/>
    <x v="0"/>
    <x v="0"/>
    <x v="16"/>
    <n v="68843"/>
    <x v="1"/>
    <n v="5737"/>
  </r>
  <r>
    <n v="17"/>
    <x v="2"/>
    <x v="0"/>
    <x v="0"/>
    <x v="0"/>
    <x v="16"/>
    <n v="68843"/>
    <x v="2"/>
    <n v="5737"/>
  </r>
  <r>
    <n v="17"/>
    <x v="2"/>
    <x v="0"/>
    <x v="0"/>
    <x v="0"/>
    <x v="16"/>
    <n v="68843"/>
    <x v="3"/>
    <n v="5737"/>
  </r>
  <r>
    <n v="17"/>
    <x v="2"/>
    <x v="0"/>
    <x v="0"/>
    <x v="0"/>
    <x v="16"/>
    <n v="68843"/>
    <x v="4"/>
    <n v="5737"/>
  </r>
  <r>
    <n v="17"/>
    <x v="2"/>
    <x v="0"/>
    <x v="0"/>
    <x v="0"/>
    <x v="16"/>
    <n v="68843"/>
    <x v="5"/>
    <n v="5737"/>
  </r>
  <r>
    <n v="17"/>
    <x v="2"/>
    <x v="0"/>
    <x v="0"/>
    <x v="0"/>
    <x v="16"/>
    <n v="68843"/>
    <x v="6"/>
    <n v="5737"/>
  </r>
  <r>
    <n v="17"/>
    <x v="2"/>
    <x v="0"/>
    <x v="0"/>
    <x v="0"/>
    <x v="16"/>
    <n v="68843"/>
    <x v="7"/>
    <n v="5737"/>
  </r>
  <r>
    <n v="17"/>
    <x v="2"/>
    <x v="0"/>
    <x v="0"/>
    <x v="0"/>
    <x v="16"/>
    <n v="68843"/>
    <x v="8"/>
    <n v="5737"/>
  </r>
  <r>
    <n v="17"/>
    <x v="2"/>
    <x v="0"/>
    <x v="0"/>
    <x v="0"/>
    <x v="16"/>
    <n v="68843"/>
    <x v="9"/>
    <n v="5737"/>
  </r>
  <r>
    <n v="17"/>
    <x v="2"/>
    <x v="0"/>
    <x v="0"/>
    <x v="0"/>
    <x v="16"/>
    <n v="68843"/>
    <x v="10"/>
    <n v="5737"/>
  </r>
  <r>
    <n v="17"/>
    <x v="2"/>
    <x v="0"/>
    <x v="0"/>
    <x v="0"/>
    <x v="16"/>
    <n v="68843"/>
    <x v="11"/>
    <n v="5737"/>
  </r>
  <r>
    <n v="18"/>
    <x v="0"/>
    <x v="0"/>
    <x v="0"/>
    <x v="0"/>
    <x v="17"/>
    <n v="68218"/>
    <x v="0"/>
    <n v="5685"/>
  </r>
  <r>
    <n v="18"/>
    <x v="0"/>
    <x v="0"/>
    <x v="0"/>
    <x v="0"/>
    <x v="17"/>
    <n v="68218"/>
    <x v="1"/>
    <n v="5685"/>
  </r>
  <r>
    <n v="18"/>
    <x v="0"/>
    <x v="0"/>
    <x v="0"/>
    <x v="0"/>
    <x v="17"/>
    <n v="68218"/>
    <x v="2"/>
    <n v="5685"/>
  </r>
  <r>
    <n v="18"/>
    <x v="0"/>
    <x v="0"/>
    <x v="0"/>
    <x v="0"/>
    <x v="17"/>
    <n v="68218"/>
    <x v="3"/>
    <n v="5685"/>
  </r>
  <r>
    <n v="18"/>
    <x v="0"/>
    <x v="0"/>
    <x v="0"/>
    <x v="0"/>
    <x v="17"/>
    <n v="68218"/>
    <x v="4"/>
    <n v="5685"/>
  </r>
  <r>
    <n v="18"/>
    <x v="0"/>
    <x v="0"/>
    <x v="0"/>
    <x v="0"/>
    <x v="17"/>
    <n v="68218"/>
    <x v="5"/>
    <n v="5685"/>
  </r>
  <r>
    <n v="18"/>
    <x v="0"/>
    <x v="0"/>
    <x v="0"/>
    <x v="0"/>
    <x v="17"/>
    <n v="68218"/>
    <x v="6"/>
    <n v="5685"/>
  </r>
  <r>
    <n v="18"/>
    <x v="0"/>
    <x v="0"/>
    <x v="0"/>
    <x v="0"/>
    <x v="17"/>
    <n v="68218"/>
    <x v="7"/>
    <n v="5685"/>
  </r>
  <r>
    <n v="18"/>
    <x v="0"/>
    <x v="0"/>
    <x v="0"/>
    <x v="0"/>
    <x v="17"/>
    <n v="68218"/>
    <x v="8"/>
    <n v="5685"/>
  </r>
  <r>
    <n v="18"/>
    <x v="0"/>
    <x v="0"/>
    <x v="0"/>
    <x v="0"/>
    <x v="17"/>
    <n v="68218"/>
    <x v="9"/>
    <n v="5685"/>
  </r>
  <r>
    <n v="18"/>
    <x v="0"/>
    <x v="0"/>
    <x v="0"/>
    <x v="0"/>
    <x v="17"/>
    <n v="68218"/>
    <x v="10"/>
    <n v="5685"/>
  </r>
  <r>
    <n v="18"/>
    <x v="0"/>
    <x v="0"/>
    <x v="0"/>
    <x v="0"/>
    <x v="17"/>
    <n v="68218"/>
    <x v="11"/>
    <n v="5685"/>
  </r>
  <r>
    <n v="19"/>
    <x v="1"/>
    <x v="0"/>
    <x v="0"/>
    <x v="0"/>
    <x v="18"/>
    <n v="5382"/>
    <x v="0"/>
    <n v="5382"/>
  </r>
  <r>
    <n v="19"/>
    <x v="1"/>
    <x v="0"/>
    <x v="0"/>
    <x v="0"/>
    <x v="18"/>
    <n v="5382"/>
    <x v="1"/>
    <n v="0"/>
  </r>
  <r>
    <n v="19"/>
    <x v="1"/>
    <x v="0"/>
    <x v="0"/>
    <x v="0"/>
    <x v="18"/>
    <n v="5382"/>
    <x v="2"/>
    <n v="0"/>
  </r>
  <r>
    <n v="19"/>
    <x v="1"/>
    <x v="0"/>
    <x v="0"/>
    <x v="0"/>
    <x v="18"/>
    <n v="5382"/>
    <x v="3"/>
    <n v="0"/>
  </r>
  <r>
    <n v="19"/>
    <x v="1"/>
    <x v="0"/>
    <x v="0"/>
    <x v="0"/>
    <x v="18"/>
    <n v="5382"/>
    <x v="4"/>
    <n v="0"/>
  </r>
  <r>
    <n v="19"/>
    <x v="1"/>
    <x v="0"/>
    <x v="0"/>
    <x v="0"/>
    <x v="18"/>
    <n v="5382"/>
    <x v="5"/>
    <n v="0"/>
  </r>
  <r>
    <n v="19"/>
    <x v="1"/>
    <x v="0"/>
    <x v="0"/>
    <x v="0"/>
    <x v="18"/>
    <n v="5382"/>
    <x v="6"/>
    <n v="0"/>
  </r>
  <r>
    <n v="19"/>
    <x v="1"/>
    <x v="0"/>
    <x v="0"/>
    <x v="0"/>
    <x v="18"/>
    <n v="5382"/>
    <x v="7"/>
    <n v="0"/>
  </r>
  <r>
    <n v="19"/>
    <x v="1"/>
    <x v="0"/>
    <x v="0"/>
    <x v="0"/>
    <x v="18"/>
    <n v="5382"/>
    <x v="8"/>
    <n v="0"/>
  </r>
  <r>
    <n v="19"/>
    <x v="1"/>
    <x v="0"/>
    <x v="0"/>
    <x v="0"/>
    <x v="18"/>
    <n v="5382"/>
    <x v="9"/>
    <n v="0"/>
  </r>
  <r>
    <n v="19"/>
    <x v="1"/>
    <x v="0"/>
    <x v="0"/>
    <x v="0"/>
    <x v="18"/>
    <n v="5382"/>
    <x v="10"/>
    <n v="0"/>
  </r>
  <r>
    <n v="19"/>
    <x v="1"/>
    <x v="0"/>
    <x v="0"/>
    <x v="0"/>
    <x v="18"/>
    <n v="5382"/>
    <x v="11"/>
    <n v="0"/>
  </r>
  <r>
    <n v="20"/>
    <x v="1"/>
    <x v="1"/>
    <x v="0"/>
    <x v="0"/>
    <x v="19"/>
    <n v="64274"/>
    <x v="0"/>
    <n v="5356"/>
  </r>
  <r>
    <n v="20"/>
    <x v="1"/>
    <x v="1"/>
    <x v="0"/>
    <x v="0"/>
    <x v="19"/>
    <n v="64274"/>
    <x v="1"/>
    <n v="5356"/>
  </r>
  <r>
    <n v="20"/>
    <x v="1"/>
    <x v="1"/>
    <x v="0"/>
    <x v="0"/>
    <x v="19"/>
    <n v="64274"/>
    <x v="2"/>
    <n v="5356"/>
  </r>
  <r>
    <n v="20"/>
    <x v="1"/>
    <x v="1"/>
    <x v="0"/>
    <x v="0"/>
    <x v="19"/>
    <n v="64274"/>
    <x v="3"/>
    <n v="5356"/>
  </r>
  <r>
    <n v="20"/>
    <x v="1"/>
    <x v="1"/>
    <x v="0"/>
    <x v="0"/>
    <x v="19"/>
    <n v="64274"/>
    <x v="4"/>
    <n v="5356"/>
  </r>
  <r>
    <n v="20"/>
    <x v="1"/>
    <x v="1"/>
    <x v="0"/>
    <x v="0"/>
    <x v="19"/>
    <n v="64274"/>
    <x v="5"/>
    <n v="5356"/>
  </r>
  <r>
    <n v="20"/>
    <x v="1"/>
    <x v="1"/>
    <x v="0"/>
    <x v="0"/>
    <x v="19"/>
    <n v="64274"/>
    <x v="6"/>
    <n v="5356"/>
  </r>
  <r>
    <n v="20"/>
    <x v="1"/>
    <x v="1"/>
    <x v="0"/>
    <x v="0"/>
    <x v="19"/>
    <n v="64274"/>
    <x v="7"/>
    <n v="5356"/>
  </r>
  <r>
    <n v="20"/>
    <x v="1"/>
    <x v="1"/>
    <x v="0"/>
    <x v="0"/>
    <x v="19"/>
    <n v="64274"/>
    <x v="8"/>
    <n v="5356"/>
  </r>
  <r>
    <n v="20"/>
    <x v="1"/>
    <x v="1"/>
    <x v="0"/>
    <x v="0"/>
    <x v="19"/>
    <n v="64274"/>
    <x v="9"/>
    <n v="5356"/>
  </r>
  <r>
    <n v="20"/>
    <x v="1"/>
    <x v="1"/>
    <x v="0"/>
    <x v="0"/>
    <x v="19"/>
    <n v="64274"/>
    <x v="10"/>
    <n v="5356"/>
  </r>
  <r>
    <n v="20"/>
    <x v="1"/>
    <x v="1"/>
    <x v="0"/>
    <x v="0"/>
    <x v="19"/>
    <n v="64274"/>
    <x v="11"/>
    <n v="5356"/>
  </r>
  <r>
    <n v="21"/>
    <x v="3"/>
    <x v="1"/>
    <x v="0"/>
    <x v="0"/>
    <x v="20"/>
    <n v="60645"/>
    <x v="0"/>
    <n v="5054"/>
  </r>
  <r>
    <n v="21"/>
    <x v="3"/>
    <x v="1"/>
    <x v="0"/>
    <x v="0"/>
    <x v="20"/>
    <n v="60645"/>
    <x v="1"/>
    <n v="5054"/>
  </r>
  <r>
    <n v="21"/>
    <x v="3"/>
    <x v="1"/>
    <x v="0"/>
    <x v="0"/>
    <x v="20"/>
    <n v="60645"/>
    <x v="2"/>
    <n v="5054"/>
  </r>
  <r>
    <n v="21"/>
    <x v="3"/>
    <x v="1"/>
    <x v="0"/>
    <x v="0"/>
    <x v="20"/>
    <n v="60645"/>
    <x v="3"/>
    <n v="5054"/>
  </r>
  <r>
    <n v="21"/>
    <x v="3"/>
    <x v="1"/>
    <x v="0"/>
    <x v="0"/>
    <x v="20"/>
    <n v="60645"/>
    <x v="4"/>
    <n v="5054"/>
  </r>
  <r>
    <n v="21"/>
    <x v="3"/>
    <x v="1"/>
    <x v="0"/>
    <x v="0"/>
    <x v="20"/>
    <n v="60645"/>
    <x v="5"/>
    <n v="5054"/>
  </r>
  <r>
    <n v="21"/>
    <x v="3"/>
    <x v="1"/>
    <x v="0"/>
    <x v="0"/>
    <x v="20"/>
    <n v="60645"/>
    <x v="6"/>
    <n v="5054"/>
  </r>
  <r>
    <n v="21"/>
    <x v="3"/>
    <x v="1"/>
    <x v="0"/>
    <x v="0"/>
    <x v="20"/>
    <n v="60645"/>
    <x v="7"/>
    <n v="5054"/>
  </r>
  <r>
    <n v="21"/>
    <x v="3"/>
    <x v="1"/>
    <x v="0"/>
    <x v="0"/>
    <x v="20"/>
    <n v="60645"/>
    <x v="8"/>
    <n v="5054"/>
  </r>
  <r>
    <n v="21"/>
    <x v="3"/>
    <x v="1"/>
    <x v="0"/>
    <x v="0"/>
    <x v="20"/>
    <n v="60645"/>
    <x v="9"/>
    <n v="5054"/>
  </r>
  <r>
    <n v="21"/>
    <x v="3"/>
    <x v="1"/>
    <x v="0"/>
    <x v="0"/>
    <x v="20"/>
    <n v="60645"/>
    <x v="10"/>
    <n v="5054"/>
  </r>
  <r>
    <n v="21"/>
    <x v="3"/>
    <x v="1"/>
    <x v="0"/>
    <x v="0"/>
    <x v="20"/>
    <n v="60645"/>
    <x v="11"/>
    <n v="5054"/>
  </r>
  <r>
    <n v="22"/>
    <x v="4"/>
    <x v="3"/>
    <x v="0"/>
    <x v="0"/>
    <x v="21"/>
    <n v="60440"/>
    <x v="0"/>
    <n v="5037"/>
  </r>
  <r>
    <n v="22"/>
    <x v="4"/>
    <x v="3"/>
    <x v="0"/>
    <x v="0"/>
    <x v="21"/>
    <n v="60440"/>
    <x v="1"/>
    <n v="5037"/>
  </r>
  <r>
    <n v="22"/>
    <x v="4"/>
    <x v="3"/>
    <x v="0"/>
    <x v="0"/>
    <x v="21"/>
    <n v="60440"/>
    <x v="2"/>
    <n v="5037"/>
  </r>
  <r>
    <n v="22"/>
    <x v="4"/>
    <x v="3"/>
    <x v="0"/>
    <x v="0"/>
    <x v="21"/>
    <n v="60440"/>
    <x v="3"/>
    <n v="5037"/>
  </r>
  <r>
    <n v="22"/>
    <x v="4"/>
    <x v="3"/>
    <x v="0"/>
    <x v="0"/>
    <x v="21"/>
    <n v="60440"/>
    <x v="4"/>
    <n v="5037"/>
  </r>
  <r>
    <n v="22"/>
    <x v="4"/>
    <x v="3"/>
    <x v="0"/>
    <x v="0"/>
    <x v="21"/>
    <n v="60440"/>
    <x v="5"/>
    <n v="5037"/>
  </r>
  <r>
    <n v="22"/>
    <x v="4"/>
    <x v="3"/>
    <x v="0"/>
    <x v="0"/>
    <x v="21"/>
    <n v="60440"/>
    <x v="6"/>
    <n v="5037"/>
  </r>
  <r>
    <n v="22"/>
    <x v="4"/>
    <x v="3"/>
    <x v="0"/>
    <x v="0"/>
    <x v="21"/>
    <n v="60440"/>
    <x v="7"/>
    <n v="5037"/>
  </r>
  <r>
    <n v="22"/>
    <x v="4"/>
    <x v="3"/>
    <x v="0"/>
    <x v="0"/>
    <x v="21"/>
    <n v="60440"/>
    <x v="8"/>
    <n v="5037"/>
  </r>
  <r>
    <n v="22"/>
    <x v="4"/>
    <x v="3"/>
    <x v="0"/>
    <x v="0"/>
    <x v="21"/>
    <n v="60440"/>
    <x v="9"/>
    <n v="5037"/>
  </r>
  <r>
    <n v="22"/>
    <x v="4"/>
    <x v="3"/>
    <x v="0"/>
    <x v="0"/>
    <x v="21"/>
    <n v="60440"/>
    <x v="10"/>
    <n v="5037"/>
  </r>
  <r>
    <n v="22"/>
    <x v="4"/>
    <x v="3"/>
    <x v="0"/>
    <x v="0"/>
    <x v="21"/>
    <n v="60440"/>
    <x v="11"/>
    <n v="5037"/>
  </r>
  <r>
    <n v="23"/>
    <x v="1"/>
    <x v="0"/>
    <x v="0"/>
    <x v="0"/>
    <x v="22"/>
    <n v="9453"/>
    <x v="0"/>
    <n v="4726"/>
  </r>
  <r>
    <n v="23"/>
    <x v="1"/>
    <x v="0"/>
    <x v="0"/>
    <x v="0"/>
    <x v="22"/>
    <n v="9453"/>
    <x v="1"/>
    <n v="4726"/>
  </r>
  <r>
    <n v="23"/>
    <x v="1"/>
    <x v="0"/>
    <x v="0"/>
    <x v="0"/>
    <x v="22"/>
    <n v="9453"/>
    <x v="2"/>
    <n v="0"/>
  </r>
  <r>
    <n v="23"/>
    <x v="1"/>
    <x v="0"/>
    <x v="0"/>
    <x v="0"/>
    <x v="22"/>
    <n v="9453"/>
    <x v="3"/>
    <n v="0"/>
  </r>
  <r>
    <n v="23"/>
    <x v="1"/>
    <x v="0"/>
    <x v="0"/>
    <x v="0"/>
    <x v="22"/>
    <n v="9453"/>
    <x v="4"/>
    <n v="0"/>
  </r>
  <r>
    <n v="23"/>
    <x v="1"/>
    <x v="0"/>
    <x v="0"/>
    <x v="0"/>
    <x v="22"/>
    <n v="9453"/>
    <x v="5"/>
    <n v="0"/>
  </r>
  <r>
    <n v="23"/>
    <x v="1"/>
    <x v="0"/>
    <x v="0"/>
    <x v="0"/>
    <x v="22"/>
    <n v="9453"/>
    <x v="6"/>
    <n v="0"/>
  </r>
  <r>
    <n v="23"/>
    <x v="1"/>
    <x v="0"/>
    <x v="0"/>
    <x v="0"/>
    <x v="22"/>
    <n v="9453"/>
    <x v="7"/>
    <n v="0"/>
  </r>
  <r>
    <n v="23"/>
    <x v="1"/>
    <x v="0"/>
    <x v="0"/>
    <x v="0"/>
    <x v="22"/>
    <n v="9453"/>
    <x v="8"/>
    <n v="0"/>
  </r>
  <r>
    <n v="23"/>
    <x v="1"/>
    <x v="0"/>
    <x v="0"/>
    <x v="0"/>
    <x v="22"/>
    <n v="9453"/>
    <x v="9"/>
    <n v="0"/>
  </r>
  <r>
    <n v="23"/>
    <x v="1"/>
    <x v="0"/>
    <x v="0"/>
    <x v="0"/>
    <x v="22"/>
    <n v="9453"/>
    <x v="10"/>
    <n v="0"/>
  </r>
  <r>
    <n v="23"/>
    <x v="1"/>
    <x v="0"/>
    <x v="0"/>
    <x v="0"/>
    <x v="22"/>
    <n v="9453"/>
    <x v="11"/>
    <n v="0"/>
  </r>
  <r>
    <n v="24"/>
    <x v="1"/>
    <x v="0"/>
    <x v="0"/>
    <x v="0"/>
    <x v="23"/>
    <n v="51155"/>
    <x v="0"/>
    <n v="4263"/>
  </r>
  <r>
    <n v="24"/>
    <x v="1"/>
    <x v="0"/>
    <x v="0"/>
    <x v="0"/>
    <x v="23"/>
    <n v="51155"/>
    <x v="1"/>
    <n v="4263"/>
  </r>
  <r>
    <n v="24"/>
    <x v="1"/>
    <x v="0"/>
    <x v="0"/>
    <x v="0"/>
    <x v="23"/>
    <n v="51155"/>
    <x v="2"/>
    <n v="4263"/>
  </r>
  <r>
    <n v="24"/>
    <x v="1"/>
    <x v="0"/>
    <x v="0"/>
    <x v="0"/>
    <x v="23"/>
    <n v="51155"/>
    <x v="3"/>
    <n v="4263"/>
  </r>
  <r>
    <n v="24"/>
    <x v="1"/>
    <x v="0"/>
    <x v="0"/>
    <x v="0"/>
    <x v="23"/>
    <n v="51155"/>
    <x v="4"/>
    <n v="4263"/>
  </r>
  <r>
    <n v="24"/>
    <x v="1"/>
    <x v="0"/>
    <x v="0"/>
    <x v="0"/>
    <x v="23"/>
    <n v="51155"/>
    <x v="5"/>
    <n v="4263"/>
  </r>
  <r>
    <n v="24"/>
    <x v="1"/>
    <x v="0"/>
    <x v="0"/>
    <x v="0"/>
    <x v="23"/>
    <n v="51155"/>
    <x v="6"/>
    <n v="4263"/>
  </r>
  <r>
    <n v="24"/>
    <x v="1"/>
    <x v="0"/>
    <x v="0"/>
    <x v="0"/>
    <x v="23"/>
    <n v="51155"/>
    <x v="7"/>
    <n v="4263"/>
  </r>
  <r>
    <n v="24"/>
    <x v="1"/>
    <x v="0"/>
    <x v="0"/>
    <x v="0"/>
    <x v="23"/>
    <n v="51155"/>
    <x v="8"/>
    <n v="4263"/>
  </r>
  <r>
    <n v="24"/>
    <x v="1"/>
    <x v="0"/>
    <x v="0"/>
    <x v="0"/>
    <x v="23"/>
    <n v="51155"/>
    <x v="9"/>
    <n v="4263"/>
  </r>
  <r>
    <n v="24"/>
    <x v="1"/>
    <x v="0"/>
    <x v="0"/>
    <x v="0"/>
    <x v="23"/>
    <n v="51155"/>
    <x v="10"/>
    <n v="4263"/>
  </r>
  <r>
    <n v="24"/>
    <x v="1"/>
    <x v="0"/>
    <x v="0"/>
    <x v="0"/>
    <x v="23"/>
    <n v="51155"/>
    <x v="11"/>
    <n v="4263"/>
  </r>
  <r>
    <n v="25"/>
    <x v="1"/>
    <x v="0"/>
    <x v="0"/>
    <x v="0"/>
    <x v="24"/>
    <n v="50094"/>
    <x v="0"/>
    <n v="4174"/>
  </r>
  <r>
    <n v="25"/>
    <x v="1"/>
    <x v="0"/>
    <x v="0"/>
    <x v="0"/>
    <x v="24"/>
    <n v="50094"/>
    <x v="1"/>
    <n v="4174"/>
  </r>
  <r>
    <n v="25"/>
    <x v="1"/>
    <x v="0"/>
    <x v="0"/>
    <x v="0"/>
    <x v="24"/>
    <n v="50094"/>
    <x v="2"/>
    <n v="4174"/>
  </r>
  <r>
    <n v="25"/>
    <x v="1"/>
    <x v="0"/>
    <x v="0"/>
    <x v="0"/>
    <x v="24"/>
    <n v="50094"/>
    <x v="3"/>
    <n v="4174"/>
  </r>
  <r>
    <n v="25"/>
    <x v="1"/>
    <x v="0"/>
    <x v="0"/>
    <x v="0"/>
    <x v="24"/>
    <n v="50094"/>
    <x v="4"/>
    <n v="4174"/>
  </r>
  <r>
    <n v="25"/>
    <x v="1"/>
    <x v="0"/>
    <x v="0"/>
    <x v="0"/>
    <x v="24"/>
    <n v="50094"/>
    <x v="5"/>
    <n v="4174"/>
  </r>
  <r>
    <n v="25"/>
    <x v="1"/>
    <x v="0"/>
    <x v="0"/>
    <x v="0"/>
    <x v="24"/>
    <n v="50094"/>
    <x v="6"/>
    <n v="4174"/>
  </r>
  <r>
    <n v="25"/>
    <x v="1"/>
    <x v="0"/>
    <x v="0"/>
    <x v="0"/>
    <x v="24"/>
    <n v="50094"/>
    <x v="7"/>
    <n v="4174"/>
  </r>
  <r>
    <n v="25"/>
    <x v="1"/>
    <x v="0"/>
    <x v="0"/>
    <x v="0"/>
    <x v="24"/>
    <n v="50094"/>
    <x v="8"/>
    <n v="4174"/>
  </r>
  <r>
    <n v="25"/>
    <x v="1"/>
    <x v="0"/>
    <x v="0"/>
    <x v="0"/>
    <x v="24"/>
    <n v="50094"/>
    <x v="9"/>
    <n v="4174"/>
  </r>
  <r>
    <n v="25"/>
    <x v="1"/>
    <x v="0"/>
    <x v="0"/>
    <x v="0"/>
    <x v="24"/>
    <n v="50094"/>
    <x v="10"/>
    <n v="4174"/>
  </r>
  <r>
    <n v="25"/>
    <x v="1"/>
    <x v="0"/>
    <x v="0"/>
    <x v="0"/>
    <x v="24"/>
    <n v="50094"/>
    <x v="11"/>
    <n v="4174"/>
  </r>
  <r>
    <n v="26"/>
    <x v="1"/>
    <x v="0"/>
    <x v="0"/>
    <x v="0"/>
    <x v="25"/>
    <n v="49021"/>
    <x v="0"/>
    <n v="4085"/>
  </r>
  <r>
    <n v="26"/>
    <x v="1"/>
    <x v="0"/>
    <x v="0"/>
    <x v="0"/>
    <x v="25"/>
    <n v="49021"/>
    <x v="1"/>
    <n v="4085"/>
  </r>
  <r>
    <n v="26"/>
    <x v="1"/>
    <x v="0"/>
    <x v="0"/>
    <x v="0"/>
    <x v="25"/>
    <n v="49021"/>
    <x v="2"/>
    <n v="4085"/>
  </r>
  <r>
    <n v="26"/>
    <x v="1"/>
    <x v="0"/>
    <x v="0"/>
    <x v="0"/>
    <x v="25"/>
    <n v="49021"/>
    <x v="3"/>
    <n v="4085"/>
  </r>
  <r>
    <n v="26"/>
    <x v="1"/>
    <x v="0"/>
    <x v="0"/>
    <x v="0"/>
    <x v="25"/>
    <n v="49021"/>
    <x v="4"/>
    <n v="4085"/>
  </r>
  <r>
    <n v="26"/>
    <x v="1"/>
    <x v="0"/>
    <x v="0"/>
    <x v="0"/>
    <x v="25"/>
    <n v="49021"/>
    <x v="5"/>
    <n v="4085"/>
  </r>
  <r>
    <n v="26"/>
    <x v="1"/>
    <x v="0"/>
    <x v="0"/>
    <x v="0"/>
    <x v="25"/>
    <n v="49021"/>
    <x v="6"/>
    <n v="4085"/>
  </r>
  <r>
    <n v="26"/>
    <x v="1"/>
    <x v="0"/>
    <x v="0"/>
    <x v="0"/>
    <x v="25"/>
    <n v="49021"/>
    <x v="7"/>
    <n v="4085"/>
  </r>
  <r>
    <n v="26"/>
    <x v="1"/>
    <x v="0"/>
    <x v="0"/>
    <x v="0"/>
    <x v="25"/>
    <n v="49021"/>
    <x v="8"/>
    <n v="4085"/>
  </r>
  <r>
    <n v="26"/>
    <x v="1"/>
    <x v="0"/>
    <x v="0"/>
    <x v="0"/>
    <x v="25"/>
    <n v="49021"/>
    <x v="9"/>
    <n v="4085"/>
  </r>
  <r>
    <n v="26"/>
    <x v="1"/>
    <x v="0"/>
    <x v="0"/>
    <x v="0"/>
    <x v="25"/>
    <n v="49021"/>
    <x v="10"/>
    <n v="4085"/>
  </r>
  <r>
    <n v="26"/>
    <x v="1"/>
    <x v="0"/>
    <x v="0"/>
    <x v="0"/>
    <x v="25"/>
    <n v="49021"/>
    <x v="11"/>
    <n v="4085"/>
  </r>
  <r>
    <n v="27"/>
    <x v="1"/>
    <x v="0"/>
    <x v="0"/>
    <x v="0"/>
    <x v="26"/>
    <n v="47010"/>
    <x v="0"/>
    <n v="3918"/>
  </r>
  <r>
    <n v="27"/>
    <x v="1"/>
    <x v="0"/>
    <x v="0"/>
    <x v="0"/>
    <x v="26"/>
    <n v="47010"/>
    <x v="1"/>
    <n v="3918"/>
  </r>
  <r>
    <n v="27"/>
    <x v="1"/>
    <x v="0"/>
    <x v="0"/>
    <x v="0"/>
    <x v="26"/>
    <n v="47010"/>
    <x v="2"/>
    <n v="3918"/>
  </r>
  <r>
    <n v="27"/>
    <x v="1"/>
    <x v="0"/>
    <x v="0"/>
    <x v="0"/>
    <x v="26"/>
    <n v="47010"/>
    <x v="3"/>
    <n v="3918"/>
  </r>
  <r>
    <n v="27"/>
    <x v="1"/>
    <x v="0"/>
    <x v="0"/>
    <x v="0"/>
    <x v="26"/>
    <n v="47010"/>
    <x v="4"/>
    <n v="3918"/>
  </r>
  <r>
    <n v="27"/>
    <x v="1"/>
    <x v="0"/>
    <x v="0"/>
    <x v="0"/>
    <x v="26"/>
    <n v="47010"/>
    <x v="5"/>
    <n v="3918"/>
  </r>
  <r>
    <n v="27"/>
    <x v="1"/>
    <x v="0"/>
    <x v="0"/>
    <x v="0"/>
    <x v="26"/>
    <n v="47010"/>
    <x v="6"/>
    <n v="3918"/>
  </r>
  <r>
    <n v="27"/>
    <x v="1"/>
    <x v="0"/>
    <x v="0"/>
    <x v="0"/>
    <x v="26"/>
    <n v="47010"/>
    <x v="7"/>
    <n v="3918"/>
  </r>
  <r>
    <n v="27"/>
    <x v="1"/>
    <x v="0"/>
    <x v="0"/>
    <x v="0"/>
    <x v="26"/>
    <n v="47010"/>
    <x v="8"/>
    <n v="3918"/>
  </r>
  <r>
    <n v="27"/>
    <x v="1"/>
    <x v="0"/>
    <x v="0"/>
    <x v="0"/>
    <x v="26"/>
    <n v="47010"/>
    <x v="9"/>
    <n v="3918"/>
  </r>
  <r>
    <n v="27"/>
    <x v="1"/>
    <x v="0"/>
    <x v="0"/>
    <x v="0"/>
    <x v="26"/>
    <n v="47010"/>
    <x v="10"/>
    <n v="3918"/>
  </r>
  <r>
    <n v="27"/>
    <x v="1"/>
    <x v="0"/>
    <x v="0"/>
    <x v="0"/>
    <x v="26"/>
    <n v="47010"/>
    <x v="11"/>
    <n v="3918"/>
  </r>
  <r>
    <n v="28"/>
    <x v="1"/>
    <x v="0"/>
    <x v="0"/>
    <x v="0"/>
    <x v="27"/>
    <n v="46893"/>
    <x v="0"/>
    <n v="3908"/>
  </r>
  <r>
    <n v="28"/>
    <x v="1"/>
    <x v="0"/>
    <x v="0"/>
    <x v="0"/>
    <x v="27"/>
    <n v="46893"/>
    <x v="1"/>
    <n v="3908"/>
  </r>
  <r>
    <n v="28"/>
    <x v="1"/>
    <x v="0"/>
    <x v="0"/>
    <x v="0"/>
    <x v="27"/>
    <n v="46893"/>
    <x v="2"/>
    <n v="3908"/>
  </r>
  <r>
    <n v="28"/>
    <x v="1"/>
    <x v="0"/>
    <x v="0"/>
    <x v="0"/>
    <x v="27"/>
    <n v="46893"/>
    <x v="3"/>
    <n v="3908"/>
  </r>
  <r>
    <n v="28"/>
    <x v="1"/>
    <x v="0"/>
    <x v="0"/>
    <x v="0"/>
    <x v="27"/>
    <n v="46893"/>
    <x v="4"/>
    <n v="3908"/>
  </r>
  <r>
    <n v="28"/>
    <x v="1"/>
    <x v="0"/>
    <x v="0"/>
    <x v="0"/>
    <x v="27"/>
    <n v="46893"/>
    <x v="5"/>
    <n v="3908"/>
  </r>
  <r>
    <n v="28"/>
    <x v="1"/>
    <x v="0"/>
    <x v="0"/>
    <x v="0"/>
    <x v="27"/>
    <n v="46893"/>
    <x v="6"/>
    <n v="3908"/>
  </r>
  <r>
    <n v="28"/>
    <x v="1"/>
    <x v="0"/>
    <x v="0"/>
    <x v="0"/>
    <x v="27"/>
    <n v="46893"/>
    <x v="7"/>
    <n v="3908"/>
  </r>
  <r>
    <n v="28"/>
    <x v="1"/>
    <x v="0"/>
    <x v="0"/>
    <x v="0"/>
    <x v="27"/>
    <n v="46893"/>
    <x v="8"/>
    <n v="3908"/>
  </r>
  <r>
    <n v="28"/>
    <x v="1"/>
    <x v="0"/>
    <x v="0"/>
    <x v="0"/>
    <x v="27"/>
    <n v="46893"/>
    <x v="9"/>
    <n v="3908"/>
  </r>
  <r>
    <n v="28"/>
    <x v="1"/>
    <x v="0"/>
    <x v="0"/>
    <x v="0"/>
    <x v="27"/>
    <n v="46893"/>
    <x v="10"/>
    <n v="3908"/>
  </r>
  <r>
    <n v="28"/>
    <x v="1"/>
    <x v="0"/>
    <x v="0"/>
    <x v="0"/>
    <x v="27"/>
    <n v="46893"/>
    <x v="11"/>
    <n v="3908"/>
  </r>
  <r>
    <n v="29"/>
    <x v="1"/>
    <x v="3"/>
    <x v="0"/>
    <x v="0"/>
    <x v="28"/>
    <n v="45324"/>
    <x v="0"/>
    <n v="3777"/>
  </r>
  <r>
    <n v="29"/>
    <x v="1"/>
    <x v="3"/>
    <x v="0"/>
    <x v="0"/>
    <x v="28"/>
    <n v="45324"/>
    <x v="1"/>
    <n v="3777"/>
  </r>
  <r>
    <n v="29"/>
    <x v="1"/>
    <x v="3"/>
    <x v="0"/>
    <x v="0"/>
    <x v="28"/>
    <n v="45324"/>
    <x v="2"/>
    <n v="3777"/>
  </r>
  <r>
    <n v="29"/>
    <x v="1"/>
    <x v="3"/>
    <x v="0"/>
    <x v="0"/>
    <x v="28"/>
    <n v="45324"/>
    <x v="3"/>
    <n v="3777"/>
  </r>
  <r>
    <n v="29"/>
    <x v="1"/>
    <x v="3"/>
    <x v="0"/>
    <x v="0"/>
    <x v="28"/>
    <n v="45324"/>
    <x v="4"/>
    <n v="3777"/>
  </r>
  <r>
    <n v="29"/>
    <x v="1"/>
    <x v="3"/>
    <x v="0"/>
    <x v="0"/>
    <x v="28"/>
    <n v="45324"/>
    <x v="5"/>
    <n v="3777"/>
  </r>
  <r>
    <n v="29"/>
    <x v="1"/>
    <x v="3"/>
    <x v="0"/>
    <x v="0"/>
    <x v="28"/>
    <n v="45324"/>
    <x v="6"/>
    <n v="3777"/>
  </r>
  <r>
    <n v="29"/>
    <x v="1"/>
    <x v="3"/>
    <x v="0"/>
    <x v="0"/>
    <x v="28"/>
    <n v="45324"/>
    <x v="7"/>
    <n v="3777"/>
  </r>
  <r>
    <n v="29"/>
    <x v="1"/>
    <x v="3"/>
    <x v="0"/>
    <x v="0"/>
    <x v="28"/>
    <n v="45324"/>
    <x v="8"/>
    <n v="3777"/>
  </r>
  <r>
    <n v="29"/>
    <x v="1"/>
    <x v="3"/>
    <x v="0"/>
    <x v="0"/>
    <x v="28"/>
    <n v="45324"/>
    <x v="9"/>
    <n v="3777"/>
  </r>
  <r>
    <n v="29"/>
    <x v="1"/>
    <x v="3"/>
    <x v="0"/>
    <x v="0"/>
    <x v="28"/>
    <n v="45324"/>
    <x v="10"/>
    <n v="3777"/>
  </r>
  <r>
    <n v="29"/>
    <x v="1"/>
    <x v="3"/>
    <x v="0"/>
    <x v="0"/>
    <x v="28"/>
    <n v="45324"/>
    <x v="11"/>
    <n v="3777"/>
  </r>
  <r>
    <n v="30"/>
    <x v="1"/>
    <x v="0"/>
    <x v="0"/>
    <x v="0"/>
    <x v="29"/>
    <n v="44275"/>
    <x v="0"/>
    <n v="3690"/>
  </r>
  <r>
    <n v="30"/>
    <x v="1"/>
    <x v="0"/>
    <x v="0"/>
    <x v="0"/>
    <x v="29"/>
    <n v="44275"/>
    <x v="1"/>
    <n v="3690"/>
  </r>
  <r>
    <n v="30"/>
    <x v="1"/>
    <x v="0"/>
    <x v="0"/>
    <x v="0"/>
    <x v="29"/>
    <n v="44275"/>
    <x v="2"/>
    <n v="3690"/>
  </r>
  <r>
    <n v="30"/>
    <x v="1"/>
    <x v="0"/>
    <x v="0"/>
    <x v="0"/>
    <x v="29"/>
    <n v="44275"/>
    <x v="3"/>
    <n v="3690"/>
  </r>
  <r>
    <n v="30"/>
    <x v="1"/>
    <x v="0"/>
    <x v="0"/>
    <x v="0"/>
    <x v="29"/>
    <n v="44275"/>
    <x v="4"/>
    <n v="3690"/>
  </r>
  <r>
    <n v="30"/>
    <x v="1"/>
    <x v="0"/>
    <x v="0"/>
    <x v="0"/>
    <x v="29"/>
    <n v="44275"/>
    <x v="5"/>
    <n v="3690"/>
  </r>
  <r>
    <n v="30"/>
    <x v="1"/>
    <x v="0"/>
    <x v="0"/>
    <x v="0"/>
    <x v="29"/>
    <n v="44275"/>
    <x v="6"/>
    <n v="3690"/>
  </r>
  <r>
    <n v="30"/>
    <x v="1"/>
    <x v="0"/>
    <x v="0"/>
    <x v="0"/>
    <x v="29"/>
    <n v="44275"/>
    <x v="7"/>
    <n v="3690"/>
  </r>
  <r>
    <n v="30"/>
    <x v="1"/>
    <x v="0"/>
    <x v="0"/>
    <x v="0"/>
    <x v="29"/>
    <n v="44275"/>
    <x v="8"/>
    <n v="3690"/>
  </r>
  <r>
    <n v="30"/>
    <x v="1"/>
    <x v="0"/>
    <x v="0"/>
    <x v="0"/>
    <x v="29"/>
    <n v="44275"/>
    <x v="9"/>
    <n v="3690"/>
  </r>
  <r>
    <n v="30"/>
    <x v="1"/>
    <x v="0"/>
    <x v="0"/>
    <x v="0"/>
    <x v="29"/>
    <n v="44275"/>
    <x v="10"/>
    <n v="3690"/>
  </r>
  <r>
    <n v="30"/>
    <x v="1"/>
    <x v="0"/>
    <x v="0"/>
    <x v="0"/>
    <x v="29"/>
    <n v="44275"/>
    <x v="11"/>
    <n v="3690"/>
  </r>
  <r>
    <n v="31"/>
    <x v="1"/>
    <x v="0"/>
    <x v="0"/>
    <x v="0"/>
    <x v="30"/>
    <n v="3641"/>
    <x v="0"/>
    <n v="3641"/>
  </r>
  <r>
    <n v="31"/>
    <x v="1"/>
    <x v="0"/>
    <x v="0"/>
    <x v="0"/>
    <x v="30"/>
    <n v="3641"/>
    <x v="1"/>
    <n v="0"/>
  </r>
  <r>
    <n v="31"/>
    <x v="1"/>
    <x v="0"/>
    <x v="0"/>
    <x v="0"/>
    <x v="30"/>
    <n v="3641"/>
    <x v="2"/>
    <n v="0"/>
  </r>
  <r>
    <n v="31"/>
    <x v="1"/>
    <x v="0"/>
    <x v="0"/>
    <x v="0"/>
    <x v="30"/>
    <n v="3641"/>
    <x v="3"/>
    <n v="0"/>
  </r>
  <r>
    <n v="31"/>
    <x v="1"/>
    <x v="0"/>
    <x v="0"/>
    <x v="0"/>
    <x v="30"/>
    <n v="3641"/>
    <x v="4"/>
    <n v="0"/>
  </r>
  <r>
    <n v="31"/>
    <x v="1"/>
    <x v="0"/>
    <x v="0"/>
    <x v="0"/>
    <x v="30"/>
    <n v="3641"/>
    <x v="5"/>
    <n v="0"/>
  </r>
  <r>
    <n v="31"/>
    <x v="1"/>
    <x v="0"/>
    <x v="0"/>
    <x v="0"/>
    <x v="30"/>
    <n v="3641"/>
    <x v="6"/>
    <n v="0"/>
  </r>
  <r>
    <n v="31"/>
    <x v="1"/>
    <x v="0"/>
    <x v="0"/>
    <x v="0"/>
    <x v="30"/>
    <n v="3641"/>
    <x v="7"/>
    <n v="0"/>
  </r>
  <r>
    <n v="31"/>
    <x v="1"/>
    <x v="0"/>
    <x v="0"/>
    <x v="0"/>
    <x v="30"/>
    <n v="3641"/>
    <x v="8"/>
    <n v="0"/>
  </r>
  <r>
    <n v="31"/>
    <x v="1"/>
    <x v="0"/>
    <x v="0"/>
    <x v="0"/>
    <x v="30"/>
    <n v="3641"/>
    <x v="9"/>
    <n v="0"/>
  </r>
  <r>
    <n v="31"/>
    <x v="1"/>
    <x v="0"/>
    <x v="0"/>
    <x v="0"/>
    <x v="30"/>
    <n v="3641"/>
    <x v="10"/>
    <n v="0"/>
  </r>
  <r>
    <n v="31"/>
    <x v="1"/>
    <x v="0"/>
    <x v="0"/>
    <x v="0"/>
    <x v="30"/>
    <n v="3641"/>
    <x v="11"/>
    <n v="0"/>
  </r>
  <r>
    <n v="32"/>
    <x v="1"/>
    <x v="4"/>
    <x v="0"/>
    <x v="0"/>
    <x v="31"/>
    <n v="47638"/>
    <x v="0"/>
    <n v="3638"/>
  </r>
  <r>
    <n v="32"/>
    <x v="1"/>
    <x v="4"/>
    <x v="0"/>
    <x v="0"/>
    <x v="31"/>
    <n v="47638"/>
    <x v="1"/>
    <n v="4000"/>
  </r>
  <r>
    <n v="32"/>
    <x v="1"/>
    <x v="4"/>
    <x v="0"/>
    <x v="0"/>
    <x v="31"/>
    <n v="47638"/>
    <x v="2"/>
    <n v="4000"/>
  </r>
  <r>
    <n v="32"/>
    <x v="1"/>
    <x v="4"/>
    <x v="0"/>
    <x v="0"/>
    <x v="31"/>
    <n v="47638"/>
    <x v="3"/>
    <n v="4000"/>
  </r>
  <r>
    <n v="32"/>
    <x v="1"/>
    <x v="4"/>
    <x v="0"/>
    <x v="0"/>
    <x v="31"/>
    <n v="47638"/>
    <x v="4"/>
    <n v="4000"/>
  </r>
  <r>
    <n v="32"/>
    <x v="1"/>
    <x v="4"/>
    <x v="0"/>
    <x v="0"/>
    <x v="31"/>
    <n v="47638"/>
    <x v="5"/>
    <n v="4000"/>
  </r>
  <r>
    <n v="32"/>
    <x v="1"/>
    <x v="4"/>
    <x v="0"/>
    <x v="0"/>
    <x v="31"/>
    <n v="47638"/>
    <x v="6"/>
    <n v="4000"/>
  </r>
  <r>
    <n v="32"/>
    <x v="1"/>
    <x v="4"/>
    <x v="0"/>
    <x v="0"/>
    <x v="31"/>
    <n v="47638"/>
    <x v="7"/>
    <n v="4000"/>
  </r>
  <r>
    <n v="32"/>
    <x v="1"/>
    <x v="4"/>
    <x v="0"/>
    <x v="0"/>
    <x v="31"/>
    <n v="47638"/>
    <x v="8"/>
    <n v="4000"/>
  </r>
  <r>
    <n v="32"/>
    <x v="1"/>
    <x v="4"/>
    <x v="0"/>
    <x v="0"/>
    <x v="31"/>
    <n v="47638"/>
    <x v="9"/>
    <n v="4000"/>
  </r>
  <r>
    <n v="32"/>
    <x v="1"/>
    <x v="4"/>
    <x v="0"/>
    <x v="0"/>
    <x v="31"/>
    <n v="47638"/>
    <x v="10"/>
    <n v="4000"/>
  </r>
  <r>
    <n v="32"/>
    <x v="1"/>
    <x v="4"/>
    <x v="0"/>
    <x v="0"/>
    <x v="31"/>
    <n v="47638"/>
    <x v="11"/>
    <n v="4000"/>
  </r>
  <r>
    <n v="33"/>
    <x v="1"/>
    <x v="0"/>
    <x v="0"/>
    <x v="0"/>
    <x v="32"/>
    <n v="3380"/>
    <x v="0"/>
    <n v="1690"/>
  </r>
  <r>
    <n v="33"/>
    <x v="1"/>
    <x v="0"/>
    <x v="0"/>
    <x v="0"/>
    <x v="32"/>
    <n v="3380"/>
    <x v="1"/>
    <n v="1690"/>
  </r>
  <r>
    <n v="33"/>
    <x v="1"/>
    <x v="0"/>
    <x v="0"/>
    <x v="0"/>
    <x v="32"/>
    <n v="3380"/>
    <x v="2"/>
    <n v="0"/>
  </r>
  <r>
    <n v="33"/>
    <x v="1"/>
    <x v="0"/>
    <x v="0"/>
    <x v="0"/>
    <x v="32"/>
    <n v="3380"/>
    <x v="3"/>
    <n v="0"/>
  </r>
  <r>
    <n v="33"/>
    <x v="1"/>
    <x v="0"/>
    <x v="0"/>
    <x v="0"/>
    <x v="32"/>
    <n v="3380"/>
    <x v="4"/>
    <n v="0"/>
  </r>
  <r>
    <n v="33"/>
    <x v="1"/>
    <x v="0"/>
    <x v="0"/>
    <x v="0"/>
    <x v="32"/>
    <n v="3380"/>
    <x v="5"/>
    <n v="0"/>
  </r>
  <r>
    <n v="33"/>
    <x v="1"/>
    <x v="0"/>
    <x v="0"/>
    <x v="0"/>
    <x v="32"/>
    <n v="3380"/>
    <x v="6"/>
    <n v="0"/>
  </r>
  <r>
    <n v="33"/>
    <x v="1"/>
    <x v="0"/>
    <x v="0"/>
    <x v="0"/>
    <x v="32"/>
    <n v="3380"/>
    <x v="7"/>
    <n v="0"/>
  </r>
  <r>
    <n v="33"/>
    <x v="1"/>
    <x v="0"/>
    <x v="0"/>
    <x v="0"/>
    <x v="32"/>
    <n v="3380"/>
    <x v="8"/>
    <n v="0"/>
  </r>
  <r>
    <n v="33"/>
    <x v="1"/>
    <x v="0"/>
    <x v="0"/>
    <x v="0"/>
    <x v="32"/>
    <n v="3380"/>
    <x v="9"/>
    <n v="0"/>
  </r>
  <r>
    <n v="33"/>
    <x v="1"/>
    <x v="0"/>
    <x v="0"/>
    <x v="0"/>
    <x v="32"/>
    <n v="3380"/>
    <x v="10"/>
    <n v="0"/>
  </r>
  <r>
    <n v="33"/>
    <x v="1"/>
    <x v="0"/>
    <x v="0"/>
    <x v="0"/>
    <x v="32"/>
    <n v="3380"/>
    <x v="11"/>
    <n v="0"/>
  </r>
  <r>
    <n v="34"/>
    <x v="1"/>
    <x v="0"/>
    <x v="0"/>
    <x v="0"/>
    <x v="33"/>
    <n v="7213"/>
    <x v="0"/>
    <n v="3607"/>
  </r>
  <r>
    <n v="34"/>
    <x v="1"/>
    <x v="0"/>
    <x v="0"/>
    <x v="0"/>
    <x v="33"/>
    <n v="7213"/>
    <x v="1"/>
    <n v="3607"/>
  </r>
  <r>
    <n v="34"/>
    <x v="1"/>
    <x v="0"/>
    <x v="0"/>
    <x v="0"/>
    <x v="33"/>
    <n v="7213"/>
    <x v="2"/>
    <n v="0"/>
  </r>
  <r>
    <n v="34"/>
    <x v="1"/>
    <x v="0"/>
    <x v="0"/>
    <x v="0"/>
    <x v="33"/>
    <n v="7213"/>
    <x v="3"/>
    <n v="0"/>
  </r>
  <r>
    <n v="34"/>
    <x v="1"/>
    <x v="0"/>
    <x v="0"/>
    <x v="0"/>
    <x v="33"/>
    <n v="7213"/>
    <x v="4"/>
    <n v="0"/>
  </r>
  <r>
    <n v="34"/>
    <x v="1"/>
    <x v="0"/>
    <x v="0"/>
    <x v="0"/>
    <x v="33"/>
    <n v="7213"/>
    <x v="5"/>
    <n v="0"/>
  </r>
  <r>
    <n v="34"/>
    <x v="1"/>
    <x v="0"/>
    <x v="0"/>
    <x v="0"/>
    <x v="33"/>
    <n v="7213"/>
    <x v="6"/>
    <n v="0"/>
  </r>
  <r>
    <n v="34"/>
    <x v="1"/>
    <x v="0"/>
    <x v="0"/>
    <x v="0"/>
    <x v="33"/>
    <n v="7213"/>
    <x v="7"/>
    <n v="0"/>
  </r>
  <r>
    <n v="34"/>
    <x v="1"/>
    <x v="0"/>
    <x v="0"/>
    <x v="0"/>
    <x v="33"/>
    <n v="7213"/>
    <x v="8"/>
    <n v="0"/>
  </r>
  <r>
    <n v="34"/>
    <x v="1"/>
    <x v="0"/>
    <x v="0"/>
    <x v="0"/>
    <x v="33"/>
    <n v="7213"/>
    <x v="9"/>
    <n v="0"/>
  </r>
  <r>
    <n v="34"/>
    <x v="1"/>
    <x v="0"/>
    <x v="0"/>
    <x v="0"/>
    <x v="33"/>
    <n v="7213"/>
    <x v="10"/>
    <n v="0"/>
  </r>
  <r>
    <n v="34"/>
    <x v="1"/>
    <x v="0"/>
    <x v="0"/>
    <x v="0"/>
    <x v="33"/>
    <n v="7213"/>
    <x v="11"/>
    <n v="0"/>
  </r>
  <r>
    <n v="35"/>
    <x v="2"/>
    <x v="1"/>
    <x v="0"/>
    <x v="0"/>
    <x v="34"/>
    <n v="43181"/>
    <x v="0"/>
    <n v="3598"/>
  </r>
  <r>
    <n v="35"/>
    <x v="2"/>
    <x v="1"/>
    <x v="0"/>
    <x v="0"/>
    <x v="34"/>
    <n v="43181"/>
    <x v="1"/>
    <n v="3598"/>
  </r>
  <r>
    <n v="35"/>
    <x v="2"/>
    <x v="1"/>
    <x v="0"/>
    <x v="0"/>
    <x v="34"/>
    <n v="43181"/>
    <x v="2"/>
    <n v="3598"/>
  </r>
  <r>
    <n v="35"/>
    <x v="2"/>
    <x v="1"/>
    <x v="0"/>
    <x v="0"/>
    <x v="34"/>
    <n v="43181"/>
    <x v="3"/>
    <n v="3598"/>
  </r>
  <r>
    <n v="35"/>
    <x v="2"/>
    <x v="1"/>
    <x v="0"/>
    <x v="0"/>
    <x v="34"/>
    <n v="43181"/>
    <x v="4"/>
    <n v="3598"/>
  </r>
  <r>
    <n v="35"/>
    <x v="2"/>
    <x v="1"/>
    <x v="0"/>
    <x v="0"/>
    <x v="34"/>
    <n v="43181"/>
    <x v="5"/>
    <n v="3598"/>
  </r>
  <r>
    <n v="35"/>
    <x v="2"/>
    <x v="1"/>
    <x v="0"/>
    <x v="0"/>
    <x v="34"/>
    <n v="43181"/>
    <x v="6"/>
    <n v="3598"/>
  </r>
  <r>
    <n v="35"/>
    <x v="2"/>
    <x v="1"/>
    <x v="0"/>
    <x v="0"/>
    <x v="34"/>
    <n v="43181"/>
    <x v="7"/>
    <n v="3598"/>
  </r>
  <r>
    <n v="35"/>
    <x v="2"/>
    <x v="1"/>
    <x v="0"/>
    <x v="0"/>
    <x v="34"/>
    <n v="43181"/>
    <x v="8"/>
    <n v="3598"/>
  </r>
  <r>
    <n v="35"/>
    <x v="2"/>
    <x v="1"/>
    <x v="0"/>
    <x v="0"/>
    <x v="34"/>
    <n v="43181"/>
    <x v="9"/>
    <n v="3598"/>
  </r>
  <r>
    <n v="35"/>
    <x v="2"/>
    <x v="1"/>
    <x v="0"/>
    <x v="0"/>
    <x v="34"/>
    <n v="43181"/>
    <x v="10"/>
    <n v="3598"/>
  </r>
  <r>
    <n v="35"/>
    <x v="2"/>
    <x v="1"/>
    <x v="0"/>
    <x v="0"/>
    <x v="34"/>
    <n v="43181"/>
    <x v="11"/>
    <n v="3598"/>
  </r>
  <r>
    <n v="36"/>
    <x v="2"/>
    <x v="0"/>
    <x v="0"/>
    <x v="0"/>
    <x v="35"/>
    <n v="43087"/>
    <x v="0"/>
    <n v="3591"/>
  </r>
  <r>
    <n v="36"/>
    <x v="2"/>
    <x v="0"/>
    <x v="0"/>
    <x v="0"/>
    <x v="35"/>
    <n v="43087"/>
    <x v="1"/>
    <n v="3591"/>
  </r>
  <r>
    <n v="36"/>
    <x v="2"/>
    <x v="0"/>
    <x v="0"/>
    <x v="0"/>
    <x v="35"/>
    <n v="43087"/>
    <x v="2"/>
    <n v="3591"/>
  </r>
  <r>
    <n v="36"/>
    <x v="2"/>
    <x v="0"/>
    <x v="0"/>
    <x v="0"/>
    <x v="35"/>
    <n v="43087"/>
    <x v="3"/>
    <n v="3591"/>
  </r>
  <r>
    <n v="36"/>
    <x v="2"/>
    <x v="0"/>
    <x v="0"/>
    <x v="0"/>
    <x v="35"/>
    <n v="43087"/>
    <x v="4"/>
    <n v="3591"/>
  </r>
  <r>
    <n v="36"/>
    <x v="2"/>
    <x v="0"/>
    <x v="0"/>
    <x v="0"/>
    <x v="35"/>
    <n v="43087"/>
    <x v="5"/>
    <n v="3591"/>
  </r>
  <r>
    <n v="36"/>
    <x v="2"/>
    <x v="0"/>
    <x v="0"/>
    <x v="0"/>
    <x v="35"/>
    <n v="43087"/>
    <x v="6"/>
    <n v="3591"/>
  </r>
  <r>
    <n v="36"/>
    <x v="2"/>
    <x v="0"/>
    <x v="0"/>
    <x v="0"/>
    <x v="35"/>
    <n v="43087"/>
    <x v="7"/>
    <n v="3591"/>
  </r>
  <r>
    <n v="36"/>
    <x v="2"/>
    <x v="0"/>
    <x v="0"/>
    <x v="0"/>
    <x v="35"/>
    <n v="43087"/>
    <x v="8"/>
    <n v="3591"/>
  </r>
  <r>
    <n v="36"/>
    <x v="2"/>
    <x v="0"/>
    <x v="0"/>
    <x v="0"/>
    <x v="35"/>
    <n v="43087"/>
    <x v="9"/>
    <n v="3591"/>
  </r>
  <r>
    <n v="36"/>
    <x v="2"/>
    <x v="0"/>
    <x v="0"/>
    <x v="0"/>
    <x v="35"/>
    <n v="43087"/>
    <x v="10"/>
    <n v="3591"/>
  </r>
  <r>
    <n v="36"/>
    <x v="2"/>
    <x v="0"/>
    <x v="0"/>
    <x v="0"/>
    <x v="35"/>
    <n v="43087"/>
    <x v="11"/>
    <n v="3591"/>
  </r>
  <r>
    <n v="37"/>
    <x v="1"/>
    <x v="0"/>
    <x v="0"/>
    <x v="0"/>
    <x v="36"/>
    <n v="42601"/>
    <x v="0"/>
    <n v="3550"/>
  </r>
  <r>
    <n v="37"/>
    <x v="1"/>
    <x v="0"/>
    <x v="0"/>
    <x v="0"/>
    <x v="36"/>
    <n v="42601"/>
    <x v="1"/>
    <n v="3550"/>
  </r>
  <r>
    <n v="37"/>
    <x v="1"/>
    <x v="0"/>
    <x v="0"/>
    <x v="0"/>
    <x v="36"/>
    <n v="42601"/>
    <x v="2"/>
    <n v="3550"/>
  </r>
  <r>
    <n v="37"/>
    <x v="1"/>
    <x v="0"/>
    <x v="0"/>
    <x v="0"/>
    <x v="36"/>
    <n v="42601"/>
    <x v="3"/>
    <n v="3550"/>
  </r>
  <r>
    <n v="37"/>
    <x v="1"/>
    <x v="0"/>
    <x v="0"/>
    <x v="0"/>
    <x v="36"/>
    <n v="42601"/>
    <x v="4"/>
    <n v="3550"/>
  </r>
  <r>
    <n v="37"/>
    <x v="1"/>
    <x v="0"/>
    <x v="0"/>
    <x v="0"/>
    <x v="36"/>
    <n v="42601"/>
    <x v="5"/>
    <n v="3550"/>
  </r>
  <r>
    <n v="37"/>
    <x v="1"/>
    <x v="0"/>
    <x v="0"/>
    <x v="0"/>
    <x v="36"/>
    <n v="42601"/>
    <x v="6"/>
    <n v="3550"/>
  </r>
  <r>
    <n v="37"/>
    <x v="1"/>
    <x v="0"/>
    <x v="0"/>
    <x v="0"/>
    <x v="36"/>
    <n v="42601"/>
    <x v="7"/>
    <n v="3550"/>
  </r>
  <r>
    <n v="37"/>
    <x v="1"/>
    <x v="0"/>
    <x v="0"/>
    <x v="0"/>
    <x v="36"/>
    <n v="42601"/>
    <x v="8"/>
    <n v="3550"/>
  </r>
  <r>
    <n v="37"/>
    <x v="1"/>
    <x v="0"/>
    <x v="0"/>
    <x v="0"/>
    <x v="36"/>
    <n v="42601"/>
    <x v="9"/>
    <n v="3550"/>
  </r>
  <r>
    <n v="37"/>
    <x v="1"/>
    <x v="0"/>
    <x v="0"/>
    <x v="0"/>
    <x v="36"/>
    <n v="42601"/>
    <x v="10"/>
    <n v="3550"/>
  </r>
  <r>
    <n v="37"/>
    <x v="1"/>
    <x v="0"/>
    <x v="0"/>
    <x v="0"/>
    <x v="36"/>
    <n v="42601"/>
    <x v="11"/>
    <n v="3550"/>
  </r>
  <r>
    <n v="38"/>
    <x v="1"/>
    <x v="2"/>
    <x v="0"/>
    <x v="0"/>
    <x v="37"/>
    <n v="93500"/>
    <x v="0"/>
    <n v="0"/>
  </r>
  <r>
    <n v="38"/>
    <x v="1"/>
    <x v="2"/>
    <x v="0"/>
    <x v="0"/>
    <x v="37"/>
    <n v="93500"/>
    <x v="1"/>
    <n v="8500"/>
  </r>
  <r>
    <n v="38"/>
    <x v="1"/>
    <x v="2"/>
    <x v="0"/>
    <x v="0"/>
    <x v="37"/>
    <n v="93500"/>
    <x v="2"/>
    <n v="8500"/>
  </r>
  <r>
    <n v="38"/>
    <x v="1"/>
    <x v="2"/>
    <x v="0"/>
    <x v="0"/>
    <x v="37"/>
    <n v="93500"/>
    <x v="3"/>
    <n v="8500"/>
  </r>
  <r>
    <n v="38"/>
    <x v="1"/>
    <x v="2"/>
    <x v="0"/>
    <x v="0"/>
    <x v="37"/>
    <n v="93500"/>
    <x v="4"/>
    <n v="8500"/>
  </r>
  <r>
    <n v="38"/>
    <x v="1"/>
    <x v="2"/>
    <x v="0"/>
    <x v="0"/>
    <x v="37"/>
    <n v="93500"/>
    <x v="5"/>
    <n v="8500"/>
  </r>
  <r>
    <n v="38"/>
    <x v="1"/>
    <x v="2"/>
    <x v="0"/>
    <x v="0"/>
    <x v="37"/>
    <n v="93500"/>
    <x v="6"/>
    <n v="8500"/>
  </r>
  <r>
    <n v="38"/>
    <x v="1"/>
    <x v="2"/>
    <x v="0"/>
    <x v="0"/>
    <x v="37"/>
    <n v="93500"/>
    <x v="7"/>
    <n v="8500"/>
  </r>
  <r>
    <n v="38"/>
    <x v="1"/>
    <x v="2"/>
    <x v="0"/>
    <x v="0"/>
    <x v="37"/>
    <n v="93500"/>
    <x v="8"/>
    <n v="8500"/>
  </r>
  <r>
    <n v="38"/>
    <x v="1"/>
    <x v="2"/>
    <x v="0"/>
    <x v="0"/>
    <x v="37"/>
    <n v="93500"/>
    <x v="9"/>
    <n v="8500"/>
  </r>
  <r>
    <n v="38"/>
    <x v="1"/>
    <x v="2"/>
    <x v="0"/>
    <x v="0"/>
    <x v="37"/>
    <n v="93500"/>
    <x v="10"/>
    <n v="8500"/>
  </r>
  <r>
    <n v="38"/>
    <x v="1"/>
    <x v="2"/>
    <x v="0"/>
    <x v="0"/>
    <x v="37"/>
    <n v="93500"/>
    <x v="11"/>
    <n v="8500"/>
  </r>
  <r>
    <n v="39"/>
    <x v="2"/>
    <x v="0"/>
    <x v="0"/>
    <x v="0"/>
    <x v="38"/>
    <n v="41512"/>
    <x v="0"/>
    <n v="3459"/>
  </r>
  <r>
    <n v="39"/>
    <x v="2"/>
    <x v="0"/>
    <x v="0"/>
    <x v="0"/>
    <x v="38"/>
    <n v="41512"/>
    <x v="1"/>
    <n v="3459"/>
  </r>
  <r>
    <n v="39"/>
    <x v="2"/>
    <x v="0"/>
    <x v="0"/>
    <x v="0"/>
    <x v="38"/>
    <n v="41512"/>
    <x v="2"/>
    <n v="3459"/>
  </r>
  <r>
    <n v="39"/>
    <x v="2"/>
    <x v="0"/>
    <x v="0"/>
    <x v="0"/>
    <x v="38"/>
    <n v="41512"/>
    <x v="3"/>
    <n v="3459"/>
  </r>
  <r>
    <n v="39"/>
    <x v="2"/>
    <x v="0"/>
    <x v="0"/>
    <x v="0"/>
    <x v="38"/>
    <n v="41512"/>
    <x v="4"/>
    <n v="3459"/>
  </r>
  <r>
    <n v="39"/>
    <x v="2"/>
    <x v="0"/>
    <x v="0"/>
    <x v="0"/>
    <x v="38"/>
    <n v="41512"/>
    <x v="5"/>
    <n v="3459"/>
  </r>
  <r>
    <n v="39"/>
    <x v="2"/>
    <x v="0"/>
    <x v="0"/>
    <x v="0"/>
    <x v="38"/>
    <n v="41512"/>
    <x v="6"/>
    <n v="3459"/>
  </r>
  <r>
    <n v="39"/>
    <x v="2"/>
    <x v="0"/>
    <x v="0"/>
    <x v="0"/>
    <x v="38"/>
    <n v="41512"/>
    <x v="7"/>
    <n v="3459"/>
  </r>
  <r>
    <n v="39"/>
    <x v="2"/>
    <x v="0"/>
    <x v="0"/>
    <x v="0"/>
    <x v="38"/>
    <n v="41512"/>
    <x v="8"/>
    <n v="3459"/>
  </r>
  <r>
    <n v="39"/>
    <x v="2"/>
    <x v="0"/>
    <x v="0"/>
    <x v="0"/>
    <x v="38"/>
    <n v="41512"/>
    <x v="9"/>
    <n v="3459"/>
  </r>
  <r>
    <n v="39"/>
    <x v="2"/>
    <x v="0"/>
    <x v="0"/>
    <x v="0"/>
    <x v="38"/>
    <n v="41512"/>
    <x v="10"/>
    <n v="3459"/>
  </r>
  <r>
    <n v="39"/>
    <x v="2"/>
    <x v="0"/>
    <x v="0"/>
    <x v="0"/>
    <x v="38"/>
    <n v="41512"/>
    <x v="11"/>
    <n v="3459"/>
  </r>
  <r>
    <n v="40"/>
    <x v="1"/>
    <x v="0"/>
    <x v="0"/>
    <x v="0"/>
    <x v="39"/>
    <n v="6718"/>
    <x v="0"/>
    <n v="3359"/>
  </r>
  <r>
    <n v="40"/>
    <x v="1"/>
    <x v="0"/>
    <x v="0"/>
    <x v="0"/>
    <x v="39"/>
    <n v="6718"/>
    <x v="1"/>
    <n v="3359"/>
  </r>
  <r>
    <n v="40"/>
    <x v="1"/>
    <x v="0"/>
    <x v="0"/>
    <x v="0"/>
    <x v="39"/>
    <n v="6718"/>
    <x v="2"/>
    <n v="0"/>
  </r>
  <r>
    <n v="40"/>
    <x v="1"/>
    <x v="0"/>
    <x v="0"/>
    <x v="0"/>
    <x v="39"/>
    <n v="6718"/>
    <x v="3"/>
    <n v="0"/>
  </r>
  <r>
    <n v="40"/>
    <x v="1"/>
    <x v="0"/>
    <x v="0"/>
    <x v="0"/>
    <x v="39"/>
    <n v="6718"/>
    <x v="4"/>
    <n v="0"/>
  </r>
  <r>
    <n v="40"/>
    <x v="1"/>
    <x v="0"/>
    <x v="0"/>
    <x v="0"/>
    <x v="39"/>
    <n v="6718"/>
    <x v="5"/>
    <n v="0"/>
  </r>
  <r>
    <n v="40"/>
    <x v="1"/>
    <x v="0"/>
    <x v="0"/>
    <x v="0"/>
    <x v="39"/>
    <n v="6718"/>
    <x v="6"/>
    <n v="0"/>
  </r>
  <r>
    <n v="40"/>
    <x v="1"/>
    <x v="0"/>
    <x v="0"/>
    <x v="0"/>
    <x v="39"/>
    <n v="6718"/>
    <x v="7"/>
    <n v="0"/>
  </r>
  <r>
    <n v="40"/>
    <x v="1"/>
    <x v="0"/>
    <x v="0"/>
    <x v="0"/>
    <x v="39"/>
    <n v="6718"/>
    <x v="8"/>
    <n v="0"/>
  </r>
  <r>
    <n v="40"/>
    <x v="1"/>
    <x v="0"/>
    <x v="0"/>
    <x v="0"/>
    <x v="39"/>
    <n v="6718"/>
    <x v="9"/>
    <n v="0"/>
  </r>
  <r>
    <n v="40"/>
    <x v="1"/>
    <x v="0"/>
    <x v="0"/>
    <x v="0"/>
    <x v="39"/>
    <n v="6718"/>
    <x v="10"/>
    <n v="0"/>
  </r>
  <r>
    <n v="40"/>
    <x v="1"/>
    <x v="0"/>
    <x v="0"/>
    <x v="0"/>
    <x v="39"/>
    <n v="6718"/>
    <x v="11"/>
    <n v="0"/>
  </r>
  <r>
    <n v="41"/>
    <x v="4"/>
    <x v="1"/>
    <x v="0"/>
    <x v="0"/>
    <x v="40"/>
    <n v="39837"/>
    <x v="0"/>
    <n v="3320"/>
  </r>
  <r>
    <n v="41"/>
    <x v="4"/>
    <x v="1"/>
    <x v="0"/>
    <x v="0"/>
    <x v="40"/>
    <n v="39837"/>
    <x v="1"/>
    <n v="3320"/>
  </r>
  <r>
    <n v="41"/>
    <x v="4"/>
    <x v="1"/>
    <x v="0"/>
    <x v="0"/>
    <x v="40"/>
    <n v="39837"/>
    <x v="2"/>
    <n v="3320"/>
  </r>
  <r>
    <n v="41"/>
    <x v="4"/>
    <x v="1"/>
    <x v="0"/>
    <x v="0"/>
    <x v="40"/>
    <n v="39837"/>
    <x v="3"/>
    <n v="3320"/>
  </r>
  <r>
    <n v="41"/>
    <x v="4"/>
    <x v="1"/>
    <x v="0"/>
    <x v="0"/>
    <x v="40"/>
    <n v="39837"/>
    <x v="4"/>
    <n v="3320"/>
  </r>
  <r>
    <n v="41"/>
    <x v="4"/>
    <x v="1"/>
    <x v="0"/>
    <x v="0"/>
    <x v="40"/>
    <n v="39837"/>
    <x v="5"/>
    <n v="3320"/>
  </r>
  <r>
    <n v="41"/>
    <x v="4"/>
    <x v="1"/>
    <x v="0"/>
    <x v="0"/>
    <x v="40"/>
    <n v="39837"/>
    <x v="6"/>
    <n v="3320"/>
  </r>
  <r>
    <n v="41"/>
    <x v="4"/>
    <x v="1"/>
    <x v="0"/>
    <x v="0"/>
    <x v="40"/>
    <n v="39837"/>
    <x v="7"/>
    <n v="3320"/>
  </r>
  <r>
    <n v="41"/>
    <x v="4"/>
    <x v="1"/>
    <x v="0"/>
    <x v="0"/>
    <x v="40"/>
    <n v="39837"/>
    <x v="8"/>
    <n v="3320"/>
  </r>
  <r>
    <n v="41"/>
    <x v="4"/>
    <x v="1"/>
    <x v="0"/>
    <x v="0"/>
    <x v="40"/>
    <n v="39837"/>
    <x v="9"/>
    <n v="3320"/>
  </r>
  <r>
    <n v="41"/>
    <x v="4"/>
    <x v="1"/>
    <x v="0"/>
    <x v="0"/>
    <x v="40"/>
    <n v="39837"/>
    <x v="10"/>
    <n v="3320"/>
  </r>
  <r>
    <n v="41"/>
    <x v="4"/>
    <x v="1"/>
    <x v="0"/>
    <x v="0"/>
    <x v="40"/>
    <n v="39837"/>
    <x v="11"/>
    <n v="3320"/>
  </r>
  <r>
    <n v="42"/>
    <x v="1"/>
    <x v="0"/>
    <x v="0"/>
    <x v="0"/>
    <x v="41"/>
    <n v="39399"/>
    <x v="0"/>
    <n v="3283"/>
  </r>
  <r>
    <n v="42"/>
    <x v="1"/>
    <x v="0"/>
    <x v="0"/>
    <x v="0"/>
    <x v="41"/>
    <n v="39399"/>
    <x v="1"/>
    <n v="3283"/>
  </r>
  <r>
    <n v="42"/>
    <x v="1"/>
    <x v="0"/>
    <x v="0"/>
    <x v="0"/>
    <x v="41"/>
    <n v="39399"/>
    <x v="2"/>
    <n v="3283"/>
  </r>
  <r>
    <n v="42"/>
    <x v="1"/>
    <x v="0"/>
    <x v="0"/>
    <x v="0"/>
    <x v="41"/>
    <n v="39399"/>
    <x v="3"/>
    <n v="3283"/>
  </r>
  <r>
    <n v="42"/>
    <x v="1"/>
    <x v="0"/>
    <x v="0"/>
    <x v="0"/>
    <x v="41"/>
    <n v="39399"/>
    <x v="4"/>
    <n v="3283"/>
  </r>
  <r>
    <n v="42"/>
    <x v="1"/>
    <x v="0"/>
    <x v="0"/>
    <x v="0"/>
    <x v="41"/>
    <n v="39399"/>
    <x v="5"/>
    <n v="3283"/>
  </r>
  <r>
    <n v="42"/>
    <x v="1"/>
    <x v="0"/>
    <x v="0"/>
    <x v="0"/>
    <x v="41"/>
    <n v="39399"/>
    <x v="6"/>
    <n v="3283"/>
  </r>
  <r>
    <n v="42"/>
    <x v="1"/>
    <x v="0"/>
    <x v="0"/>
    <x v="0"/>
    <x v="41"/>
    <n v="39399"/>
    <x v="7"/>
    <n v="3283"/>
  </r>
  <r>
    <n v="42"/>
    <x v="1"/>
    <x v="0"/>
    <x v="0"/>
    <x v="0"/>
    <x v="41"/>
    <n v="39399"/>
    <x v="8"/>
    <n v="3283"/>
  </r>
  <r>
    <n v="42"/>
    <x v="1"/>
    <x v="0"/>
    <x v="0"/>
    <x v="0"/>
    <x v="41"/>
    <n v="39399"/>
    <x v="9"/>
    <n v="3283"/>
  </r>
  <r>
    <n v="42"/>
    <x v="1"/>
    <x v="0"/>
    <x v="0"/>
    <x v="0"/>
    <x v="41"/>
    <n v="39399"/>
    <x v="10"/>
    <n v="3283"/>
  </r>
  <r>
    <n v="42"/>
    <x v="1"/>
    <x v="0"/>
    <x v="0"/>
    <x v="0"/>
    <x v="41"/>
    <n v="39399"/>
    <x v="11"/>
    <n v="3283"/>
  </r>
  <r>
    <n v="43"/>
    <x v="2"/>
    <x v="2"/>
    <x v="0"/>
    <x v="0"/>
    <x v="42"/>
    <n v="38626"/>
    <x v="0"/>
    <n v="3219"/>
  </r>
  <r>
    <n v="43"/>
    <x v="2"/>
    <x v="2"/>
    <x v="0"/>
    <x v="0"/>
    <x v="42"/>
    <n v="38626"/>
    <x v="1"/>
    <n v="3219"/>
  </r>
  <r>
    <n v="43"/>
    <x v="2"/>
    <x v="2"/>
    <x v="0"/>
    <x v="0"/>
    <x v="42"/>
    <n v="38626"/>
    <x v="2"/>
    <n v="3219"/>
  </r>
  <r>
    <n v="43"/>
    <x v="2"/>
    <x v="2"/>
    <x v="0"/>
    <x v="0"/>
    <x v="42"/>
    <n v="38626"/>
    <x v="3"/>
    <n v="3219"/>
  </r>
  <r>
    <n v="43"/>
    <x v="2"/>
    <x v="2"/>
    <x v="0"/>
    <x v="0"/>
    <x v="42"/>
    <n v="38626"/>
    <x v="4"/>
    <n v="3219"/>
  </r>
  <r>
    <n v="43"/>
    <x v="2"/>
    <x v="2"/>
    <x v="0"/>
    <x v="0"/>
    <x v="42"/>
    <n v="38626"/>
    <x v="5"/>
    <n v="3219"/>
  </r>
  <r>
    <n v="43"/>
    <x v="2"/>
    <x v="2"/>
    <x v="0"/>
    <x v="0"/>
    <x v="42"/>
    <n v="38626"/>
    <x v="6"/>
    <n v="3219"/>
  </r>
  <r>
    <n v="43"/>
    <x v="2"/>
    <x v="2"/>
    <x v="0"/>
    <x v="0"/>
    <x v="42"/>
    <n v="38626"/>
    <x v="7"/>
    <n v="3219"/>
  </r>
  <r>
    <n v="43"/>
    <x v="2"/>
    <x v="2"/>
    <x v="0"/>
    <x v="0"/>
    <x v="42"/>
    <n v="38626"/>
    <x v="8"/>
    <n v="3219"/>
  </r>
  <r>
    <n v="43"/>
    <x v="2"/>
    <x v="2"/>
    <x v="0"/>
    <x v="0"/>
    <x v="42"/>
    <n v="38626"/>
    <x v="9"/>
    <n v="3219"/>
  </r>
  <r>
    <n v="43"/>
    <x v="2"/>
    <x v="2"/>
    <x v="0"/>
    <x v="0"/>
    <x v="42"/>
    <n v="38626"/>
    <x v="10"/>
    <n v="3219"/>
  </r>
  <r>
    <n v="43"/>
    <x v="2"/>
    <x v="2"/>
    <x v="0"/>
    <x v="0"/>
    <x v="42"/>
    <n v="38626"/>
    <x v="11"/>
    <n v="3219"/>
  </r>
  <r>
    <n v="44"/>
    <x v="2"/>
    <x v="2"/>
    <x v="0"/>
    <x v="0"/>
    <x v="43"/>
    <n v="38626"/>
    <x v="0"/>
    <n v="3219"/>
  </r>
  <r>
    <n v="44"/>
    <x v="2"/>
    <x v="2"/>
    <x v="0"/>
    <x v="0"/>
    <x v="43"/>
    <n v="38626"/>
    <x v="1"/>
    <n v="3219"/>
  </r>
  <r>
    <n v="44"/>
    <x v="2"/>
    <x v="2"/>
    <x v="0"/>
    <x v="0"/>
    <x v="43"/>
    <n v="38626"/>
    <x v="2"/>
    <n v="3219"/>
  </r>
  <r>
    <n v="44"/>
    <x v="2"/>
    <x v="2"/>
    <x v="0"/>
    <x v="0"/>
    <x v="43"/>
    <n v="38626"/>
    <x v="3"/>
    <n v="3219"/>
  </r>
  <r>
    <n v="44"/>
    <x v="2"/>
    <x v="2"/>
    <x v="0"/>
    <x v="0"/>
    <x v="43"/>
    <n v="38626"/>
    <x v="4"/>
    <n v="3219"/>
  </r>
  <r>
    <n v="44"/>
    <x v="2"/>
    <x v="2"/>
    <x v="0"/>
    <x v="0"/>
    <x v="43"/>
    <n v="38626"/>
    <x v="5"/>
    <n v="3219"/>
  </r>
  <r>
    <n v="44"/>
    <x v="2"/>
    <x v="2"/>
    <x v="0"/>
    <x v="0"/>
    <x v="43"/>
    <n v="38626"/>
    <x v="6"/>
    <n v="3219"/>
  </r>
  <r>
    <n v="44"/>
    <x v="2"/>
    <x v="2"/>
    <x v="0"/>
    <x v="0"/>
    <x v="43"/>
    <n v="38626"/>
    <x v="7"/>
    <n v="3219"/>
  </r>
  <r>
    <n v="44"/>
    <x v="2"/>
    <x v="2"/>
    <x v="0"/>
    <x v="0"/>
    <x v="43"/>
    <n v="38626"/>
    <x v="8"/>
    <n v="3219"/>
  </r>
  <r>
    <n v="44"/>
    <x v="2"/>
    <x v="2"/>
    <x v="0"/>
    <x v="0"/>
    <x v="43"/>
    <n v="38626"/>
    <x v="9"/>
    <n v="3219"/>
  </r>
  <r>
    <n v="44"/>
    <x v="2"/>
    <x v="2"/>
    <x v="0"/>
    <x v="0"/>
    <x v="43"/>
    <n v="38626"/>
    <x v="10"/>
    <n v="3219"/>
  </r>
  <r>
    <n v="44"/>
    <x v="2"/>
    <x v="2"/>
    <x v="0"/>
    <x v="0"/>
    <x v="43"/>
    <n v="38626"/>
    <x v="11"/>
    <n v="3219"/>
  </r>
  <r>
    <n v="45"/>
    <x v="2"/>
    <x v="2"/>
    <x v="0"/>
    <x v="0"/>
    <x v="44"/>
    <n v="38626"/>
    <x v="0"/>
    <n v="3219"/>
  </r>
  <r>
    <n v="45"/>
    <x v="2"/>
    <x v="2"/>
    <x v="0"/>
    <x v="0"/>
    <x v="44"/>
    <n v="38626"/>
    <x v="1"/>
    <n v="3219"/>
  </r>
  <r>
    <n v="45"/>
    <x v="2"/>
    <x v="2"/>
    <x v="0"/>
    <x v="0"/>
    <x v="44"/>
    <n v="38626"/>
    <x v="2"/>
    <n v="3219"/>
  </r>
  <r>
    <n v="45"/>
    <x v="2"/>
    <x v="2"/>
    <x v="0"/>
    <x v="0"/>
    <x v="44"/>
    <n v="38626"/>
    <x v="3"/>
    <n v="3219"/>
  </r>
  <r>
    <n v="45"/>
    <x v="2"/>
    <x v="2"/>
    <x v="0"/>
    <x v="0"/>
    <x v="44"/>
    <n v="38626"/>
    <x v="4"/>
    <n v="3219"/>
  </r>
  <r>
    <n v="45"/>
    <x v="2"/>
    <x v="2"/>
    <x v="0"/>
    <x v="0"/>
    <x v="44"/>
    <n v="38626"/>
    <x v="5"/>
    <n v="3219"/>
  </r>
  <r>
    <n v="45"/>
    <x v="2"/>
    <x v="2"/>
    <x v="0"/>
    <x v="0"/>
    <x v="44"/>
    <n v="38626"/>
    <x v="6"/>
    <n v="3219"/>
  </r>
  <r>
    <n v="45"/>
    <x v="2"/>
    <x v="2"/>
    <x v="0"/>
    <x v="0"/>
    <x v="44"/>
    <n v="38626"/>
    <x v="7"/>
    <n v="3219"/>
  </r>
  <r>
    <n v="45"/>
    <x v="2"/>
    <x v="2"/>
    <x v="0"/>
    <x v="0"/>
    <x v="44"/>
    <n v="38626"/>
    <x v="8"/>
    <n v="3219"/>
  </r>
  <r>
    <n v="45"/>
    <x v="2"/>
    <x v="2"/>
    <x v="0"/>
    <x v="0"/>
    <x v="44"/>
    <n v="38626"/>
    <x v="9"/>
    <n v="3219"/>
  </r>
  <r>
    <n v="45"/>
    <x v="2"/>
    <x v="2"/>
    <x v="0"/>
    <x v="0"/>
    <x v="44"/>
    <n v="38626"/>
    <x v="10"/>
    <n v="3219"/>
  </r>
  <r>
    <n v="45"/>
    <x v="2"/>
    <x v="2"/>
    <x v="0"/>
    <x v="0"/>
    <x v="44"/>
    <n v="38626"/>
    <x v="11"/>
    <n v="3219"/>
  </r>
  <r>
    <n v="46"/>
    <x v="2"/>
    <x v="2"/>
    <x v="0"/>
    <x v="0"/>
    <x v="45"/>
    <n v="9656"/>
    <x v="0"/>
    <n v="3219"/>
  </r>
  <r>
    <n v="46"/>
    <x v="2"/>
    <x v="2"/>
    <x v="0"/>
    <x v="0"/>
    <x v="45"/>
    <n v="9656"/>
    <x v="1"/>
    <n v="3219"/>
  </r>
  <r>
    <n v="46"/>
    <x v="2"/>
    <x v="2"/>
    <x v="0"/>
    <x v="0"/>
    <x v="45"/>
    <n v="9656"/>
    <x v="2"/>
    <n v="3219"/>
  </r>
  <r>
    <n v="46"/>
    <x v="2"/>
    <x v="2"/>
    <x v="0"/>
    <x v="0"/>
    <x v="45"/>
    <n v="9656"/>
    <x v="3"/>
    <n v="0"/>
  </r>
  <r>
    <n v="46"/>
    <x v="2"/>
    <x v="2"/>
    <x v="0"/>
    <x v="0"/>
    <x v="45"/>
    <n v="9656"/>
    <x v="4"/>
    <n v="0"/>
  </r>
  <r>
    <n v="46"/>
    <x v="2"/>
    <x v="2"/>
    <x v="0"/>
    <x v="0"/>
    <x v="45"/>
    <n v="9656"/>
    <x v="5"/>
    <n v="0"/>
  </r>
  <r>
    <n v="46"/>
    <x v="2"/>
    <x v="2"/>
    <x v="0"/>
    <x v="0"/>
    <x v="45"/>
    <n v="9656"/>
    <x v="6"/>
    <n v="0"/>
  </r>
  <r>
    <n v="46"/>
    <x v="2"/>
    <x v="2"/>
    <x v="0"/>
    <x v="0"/>
    <x v="45"/>
    <n v="9656"/>
    <x v="7"/>
    <n v="0"/>
  </r>
  <r>
    <n v="46"/>
    <x v="2"/>
    <x v="2"/>
    <x v="0"/>
    <x v="0"/>
    <x v="45"/>
    <n v="9656"/>
    <x v="8"/>
    <n v="0"/>
  </r>
  <r>
    <n v="46"/>
    <x v="2"/>
    <x v="2"/>
    <x v="0"/>
    <x v="0"/>
    <x v="45"/>
    <n v="9656"/>
    <x v="9"/>
    <n v="0"/>
  </r>
  <r>
    <n v="46"/>
    <x v="2"/>
    <x v="2"/>
    <x v="0"/>
    <x v="0"/>
    <x v="45"/>
    <n v="9656"/>
    <x v="10"/>
    <n v="0"/>
  </r>
  <r>
    <n v="46"/>
    <x v="2"/>
    <x v="2"/>
    <x v="0"/>
    <x v="0"/>
    <x v="45"/>
    <n v="9656"/>
    <x v="11"/>
    <n v="0"/>
  </r>
  <r>
    <n v="47"/>
    <x v="1"/>
    <x v="0"/>
    <x v="0"/>
    <x v="0"/>
    <x v="46"/>
    <n v="3218"/>
    <x v="0"/>
    <n v="3218"/>
  </r>
  <r>
    <n v="47"/>
    <x v="1"/>
    <x v="0"/>
    <x v="0"/>
    <x v="0"/>
    <x v="46"/>
    <n v="3218"/>
    <x v="1"/>
    <n v="0"/>
  </r>
  <r>
    <n v="47"/>
    <x v="1"/>
    <x v="0"/>
    <x v="0"/>
    <x v="0"/>
    <x v="46"/>
    <n v="3218"/>
    <x v="2"/>
    <n v="0"/>
  </r>
  <r>
    <n v="47"/>
    <x v="1"/>
    <x v="0"/>
    <x v="0"/>
    <x v="0"/>
    <x v="46"/>
    <n v="3218"/>
    <x v="3"/>
    <n v="0"/>
  </r>
  <r>
    <n v="47"/>
    <x v="1"/>
    <x v="0"/>
    <x v="0"/>
    <x v="0"/>
    <x v="46"/>
    <n v="3218"/>
    <x v="4"/>
    <n v="0"/>
  </r>
  <r>
    <n v="47"/>
    <x v="1"/>
    <x v="0"/>
    <x v="0"/>
    <x v="0"/>
    <x v="46"/>
    <n v="3218"/>
    <x v="5"/>
    <n v="0"/>
  </r>
  <r>
    <n v="47"/>
    <x v="1"/>
    <x v="0"/>
    <x v="0"/>
    <x v="0"/>
    <x v="46"/>
    <n v="3218"/>
    <x v="6"/>
    <n v="0"/>
  </r>
  <r>
    <n v="47"/>
    <x v="1"/>
    <x v="0"/>
    <x v="0"/>
    <x v="0"/>
    <x v="46"/>
    <n v="3218"/>
    <x v="7"/>
    <n v="0"/>
  </r>
  <r>
    <n v="47"/>
    <x v="1"/>
    <x v="0"/>
    <x v="0"/>
    <x v="0"/>
    <x v="46"/>
    <n v="3218"/>
    <x v="8"/>
    <n v="0"/>
  </r>
  <r>
    <n v="47"/>
    <x v="1"/>
    <x v="0"/>
    <x v="0"/>
    <x v="0"/>
    <x v="46"/>
    <n v="3218"/>
    <x v="9"/>
    <n v="0"/>
  </r>
  <r>
    <n v="47"/>
    <x v="1"/>
    <x v="0"/>
    <x v="0"/>
    <x v="0"/>
    <x v="46"/>
    <n v="3218"/>
    <x v="10"/>
    <n v="0"/>
  </r>
  <r>
    <n v="47"/>
    <x v="1"/>
    <x v="0"/>
    <x v="0"/>
    <x v="0"/>
    <x v="46"/>
    <n v="3218"/>
    <x v="11"/>
    <n v="0"/>
  </r>
  <r>
    <n v="48"/>
    <x v="2"/>
    <x v="4"/>
    <x v="0"/>
    <x v="0"/>
    <x v="47"/>
    <n v="6253"/>
    <x v="0"/>
    <n v="3126"/>
  </r>
  <r>
    <n v="48"/>
    <x v="2"/>
    <x v="4"/>
    <x v="0"/>
    <x v="0"/>
    <x v="47"/>
    <n v="6253"/>
    <x v="1"/>
    <n v="3126"/>
  </r>
  <r>
    <n v="48"/>
    <x v="2"/>
    <x v="4"/>
    <x v="0"/>
    <x v="0"/>
    <x v="47"/>
    <n v="6253"/>
    <x v="2"/>
    <n v="0"/>
  </r>
  <r>
    <n v="48"/>
    <x v="2"/>
    <x v="4"/>
    <x v="0"/>
    <x v="0"/>
    <x v="47"/>
    <n v="6253"/>
    <x v="3"/>
    <n v="0"/>
  </r>
  <r>
    <n v="48"/>
    <x v="2"/>
    <x v="4"/>
    <x v="0"/>
    <x v="0"/>
    <x v="47"/>
    <n v="6253"/>
    <x v="4"/>
    <n v="0"/>
  </r>
  <r>
    <n v="48"/>
    <x v="2"/>
    <x v="4"/>
    <x v="0"/>
    <x v="0"/>
    <x v="47"/>
    <n v="6253"/>
    <x v="5"/>
    <n v="0"/>
  </r>
  <r>
    <n v="48"/>
    <x v="2"/>
    <x v="4"/>
    <x v="0"/>
    <x v="0"/>
    <x v="47"/>
    <n v="6253"/>
    <x v="6"/>
    <n v="0"/>
  </r>
  <r>
    <n v="48"/>
    <x v="2"/>
    <x v="4"/>
    <x v="0"/>
    <x v="0"/>
    <x v="47"/>
    <n v="6253"/>
    <x v="7"/>
    <n v="0"/>
  </r>
  <r>
    <n v="48"/>
    <x v="2"/>
    <x v="4"/>
    <x v="0"/>
    <x v="0"/>
    <x v="47"/>
    <n v="6253"/>
    <x v="8"/>
    <n v="0"/>
  </r>
  <r>
    <n v="48"/>
    <x v="2"/>
    <x v="4"/>
    <x v="0"/>
    <x v="0"/>
    <x v="47"/>
    <n v="6253"/>
    <x v="9"/>
    <n v="0"/>
  </r>
  <r>
    <n v="48"/>
    <x v="2"/>
    <x v="4"/>
    <x v="0"/>
    <x v="0"/>
    <x v="47"/>
    <n v="6253"/>
    <x v="10"/>
    <n v="0"/>
  </r>
  <r>
    <n v="48"/>
    <x v="2"/>
    <x v="4"/>
    <x v="0"/>
    <x v="0"/>
    <x v="47"/>
    <n v="6253"/>
    <x v="11"/>
    <n v="0"/>
  </r>
  <r>
    <n v="49"/>
    <x v="1"/>
    <x v="0"/>
    <x v="0"/>
    <x v="0"/>
    <x v="48"/>
    <n v="1544"/>
    <x v="0"/>
    <n v="1544"/>
  </r>
  <r>
    <n v="49"/>
    <x v="1"/>
    <x v="0"/>
    <x v="0"/>
    <x v="0"/>
    <x v="48"/>
    <n v="1544"/>
    <x v="1"/>
    <n v="0"/>
  </r>
  <r>
    <n v="49"/>
    <x v="1"/>
    <x v="0"/>
    <x v="0"/>
    <x v="0"/>
    <x v="48"/>
    <n v="1544"/>
    <x v="2"/>
    <n v="0"/>
  </r>
  <r>
    <n v="49"/>
    <x v="1"/>
    <x v="0"/>
    <x v="0"/>
    <x v="0"/>
    <x v="48"/>
    <n v="1544"/>
    <x v="3"/>
    <n v="0"/>
  </r>
  <r>
    <n v="49"/>
    <x v="1"/>
    <x v="0"/>
    <x v="0"/>
    <x v="0"/>
    <x v="48"/>
    <n v="1544"/>
    <x v="4"/>
    <n v="0"/>
  </r>
  <r>
    <n v="49"/>
    <x v="1"/>
    <x v="0"/>
    <x v="0"/>
    <x v="0"/>
    <x v="48"/>
    <n v="1544"/>
    <x v="5"/>
    <n v="0"/>
  </r>
  <r>
    <n v="49"/>
    <x v="1"/>
    <x v="0"/>
    <x v="0"/>
    <x v="0"/>
    <x v="48"/>
    <n v="1544"/>
    <x v="6"/>
    <n v="0"/>
  </r>
  <r>
    <n v="49"/>
    <x v="1"/>
    <x v="0"/>
    <x v="0"/>
    <x v="0"/>
    <x v="48"/>
    <n v="1544"/>
    <x v="7"/>
    <n v="0"/>
  </r>
  <r>
    <n v="49"/>
    <x v="1"/>
    <x v="0"/>
    <x v="0"/>
    <x v="0"/>
    <x v="48"/>
    <n v="1544"/>
    <x v="8"/>
    <n v="0"/>
  </r>
  <r>
    <n v="49"/>
    <x v="1"/>
    <x v="0"/>
    <x v="0"/>
    <x v="0"/>
    <x v="48"/>
    <n v="1544"/>
    <x v="9"/>
    <n v="0"/>
  </r>
  <r>
    <n v="49"/>
    <x v="1"/>
    <x v="0"/>
    <x v="0"/>
    <x v="0"/>
    <x v="48"/>
    <n v="1544"/>
    <x v="10"/>
    <n v="0"/>
  </r>
  <r>
    <n v="49"/>
    <x v="1"/>
    <x v="0"/>
    <x v="0"/>
    <x v="0"/>
    <x v="48"/>
    <n v="1544"/>
    <x v="11"/>
    <n v="0"/>
  </r>
  <r>
    <n v="50"/>
    <x v="1"/>
    <x v="2"/>
    <x v="0"/>
    <x v="0"/>
    <x v="49"/>
    <n v="36286"/>
    <x v="0"/>
    <n v="3024"/>
  </r>
  <r>
    <n v="50"/>
    <x v="1"/>
    <x v="2"/>
    <x v="0"/>
    <x v="0"/>
    <x v="49"/>
    <n v="36286"/>
    <x v="1"/>
    <n v="3024"/>
  </r>
  <r>
    <n v="50"/>
    <x v="1"/>
    <x v="2"/>
    <x v="0"/>
    <x v="0"/>
    <x v="49"/>
    <n v="36286"/>
    <x v="2"/>
    <n v="3024"/>
  </r>
  <r>
    <n v="50"/>
    <x v="1"/>
    <x v="2"/>
    <x v="0"/>
    <x v="0"/>
    <x v="49"/>
    <n v="36286"/>
    <x v="3"/>
    <n v="3024"/>
  </r>
  <r>
    <n v="50"/>
    <x v="1"/>
    <x v="2"/>
    <x v="0"/>
    <x v="0"/>
    <x v="49"/>
    <n v="36286"/>
    <x v="4"/>
    <n v="3024"/>
  </r>
  <r>
    <n v="50"/>
    <x v="1"/>
    <x v="2"/>
    <x v="0"/>
    <x v="0"/>
    <x v="49"/>
    <n v="36286"/>
    <x v="5"/>
    <n v="3024"/>
  </r>
  <r>
    <n v="50"/>
    <x v="1"/>
    <x v="2"/>
    <x v="0"/>
    <x v="0"/>
    <x v="49"/>
    <n v="36286"/>
    <x v="6"/>
    <n v="3024"/>
  </r>
  <r>
    <n v="50"/>
    <x v="1"/>
    <x v="2"/>
    <x v="0"/>
    <x v="0"/>
    <x v="49"/>
    <n v="36286"/>
    <x v="7"/>
    <n v="3024"/>
  </r>
  <r>
    <n v="50"/>
    <x v="1"/>
    <x v="2"/>
    <x v="0"/>
    <x v="0"/>
    <x v="49"/>
    <n v="36286"/>
    <x v="8"/>
    <n v="3024"/>
  </r>
  <r>
    <n v="50"/>
    <x v="1"/>
    <x v="2"/>
    <x v="0"/>
    <x v="0"/>
    <x v="49"/>
    <n v="36286"/>
    <x v="9"/>
    <n v="3024"/>
  </r>
  <r>
    <n v="50"/>
    <x v="1"/>
    <x v="2"/>
    <x v="0"/>
    <x v="0"/>
    <x v="49"/>
    <n v="36286"/>
    <x v="10"/>
    <n v="3024"/>
  </r>
  <r>
    <n v="50"/>
    <x v="1"/>
    <x v="2"/>
    <x v="0"/>
    <x v="0"/>
    <x v="49"/>
    <n v="36286"/>
    <x v="11"/>
    <n v="3024"/>
  </r>
  <r>
    <n v="51"/>
    <x v="1"/>
    <x v="4"/>
    <x v="0"/>
    <x v="0"/>
    <x v="50"/>
    <n v="35211"/>
    <x v="0"/>
    <n v="2934"/>
  </r>
  <r>
    <n v="51"/>
    <x v="1"/>
    <x v="4"/>
    <x v="0"/>
    <x v="0"/>
    <x v="50"/>
    <n v="35211"/>
    <x v="1"/>
    <n v="2934"/>
  </r>
  <r>
    <n v="51"/>
    <x v="1"/>
    <x v="4"/>
    <x v="0"/>
    <x v="0"/>
    <x v="50"/>
    <n v="35211"/>
    <x v="2"/>
    <n v="2934"/>
  </r>
  <r>
    <n v="51"/>
    <x v="1"/>
    <x v="4"/>
    <x v="0"/>
    <x v="0"/>
    <x v="50"/>
    <n v="35211"/>
    <x v="3"/>
    <n v="2934"/>
  </r>
  <r>
    <n v="51"/>
    <x v="1"/>
    <x v="4"/>
    <x v="0"/>
    <x v="0"/>
    <x v="50"/>
    <n v="35211"/>
    <x v="4"/>
    <n v="2934"/>
  </r>
  <r>
    <n v="51"/>
    <x v="1"/>
    <x v="4"/>
    <x v="0"/>
    <x v="0"/>
    <x v="50"/>
    <n v="35211"/>
    <x v="5"/>
    <n v="2934"/>
  </r>
  <r>
    <n v="51"/>
    <x v="1"/>
    <x v="4"/>
    <x v="0"/>
    <x v="0"/>
    <x v="50"/>
    <n v="35211"/>
    <x v="6"/>
    <n v="2934"/>
  </r>
  <r>
    <n v="51"/>
    <x v="1"/>
    <x v="4"/>
    <x v="0"/>
    <x v="0"/>
    <x v="50"/>
    <n v="35211"/>
    <x v="7"/>
    <n v="2934"/>
  </r>
  <r>
    <n v="51"/>
    <x v="1"/>
    <x v="4"/>
    <x v="0"/>
    <x v="0"/>
    <x v="50"/>
    <n v="35211"/>
    <x v="8"/>
    <n v="2934"/>
  </r>
  <r>
    <n v="51"/>
    <x v="1"/>
    <x v="4"/>
    <x v="0"/>
    <x v="0"/>
    <x v="50"/>
    <n v="35211"/>
    <x v="9"/>
    <n v="2934"/>
  </r>
  <r>
    <n v="51"/>
    <x v="1"/>
    <x v="4"/>
    <x v="0"/>
    <x v="0"/>
    <x v="50"/>
    <n v="35211"/>
    <x v="10"/>
    <n v="2934"/>
  </r>
  <r>
    <n v="51"/>
    <x v="1"/>
    <x v="4"/>
    <x v="0"/>
    <x v="0"/>
    <x v="50"/>
    <n v="35211"/>
    <x v="11"/>
    <n v="2934"/>
  </r>
  <r>
    <n v="52"/>
    <x v="1"/>
    <x v="0"/>
    <x v="0"/>
    <x v="0"/>
    <x v="51"/>
    <n v="31249"/>
    <x v="0"/>
    <n v="2604"/>
  </r>
  <r>
    <n v="52"/>
    <x v="1"/>
    <x v="0"/>
    <x v="0"/>
    <x v="0"/>
    <x v="51"/>
    <n v="31249"/>
    <x v="1"/>
    <n v="2604"/>
  </r>
  <r>
    <n v="52"/>
    <x v="1"/>
    <x v="0"/>
    <x v="0"/>
    <x v="0"/>
    <x v="51"/>
    <n v="31249"/>
    <x v="2"/>
    <n v="2604"/>
  </r>
  <r>
    <n v="52"/>
    <x v="1"/>
    <x v="0"/>
    <x v="0"/>
    <x v="0"/>
    <x v="51"/>
    <n v="31249"/>
    <x v="3"/>
    <n v="2604"/>
  </r>
  <r>
    <n v="52"/>
    <x v="1"/>
    <x v="0"/>
    <x v="0"/>
    <x v="0"/>
    <x v="51"/>
    <n v="31249"/>
    <x v="4"/>
    <n v="2604"/>
  </r>
  <r>
    <n v="52"/>
    <x v="1"/>
    <x v="0"/>
    <x v="0"/>
    <x v="0"/>
    <x v="51"/>
    <n v="31249"/>
    <x v="5"/>
    <n v="2604"/>
  </r>
  <r>
    <n v="52"/>
    <x v="1"/>
    <x v="0"/>
    <x v="0"/>
    <x v="0"/>
    <x v="51"/>
    <n v="31249"/>
    <x v="6"/>
    <n v="2604"/>
  </r>
  <r>
    <n v="52"/>
    <x v="1"/>
    <x v="0"/>
    <x v="0"/>
    <x v="0"/>
    <x v="51"/>
    <n v="31249"/>
    <x v="7"/>
    <n v="2604"/>
  </r>
  <r>
    <n v="52"/>
    <x v="1"/>
    <x v="0"/>
    <x v="0"/>
    <x v="0"/>
    <x v="51"/>
    <n v="31249"/>
    <x v="8"/>
    <n v="2604"/>
  </r>
  <r>
    <n v="52"/>
    <x v="1"/>
    <x v="0"/>
    <x v="0"/>
    <x v="0"/>
    <x v="51"/>
    <n v="31249"/>
    <x v="9"/>
    <n v="2604"/>
  </r>
  <r>
    <n v="52"/>
    <x v="1"/>
    <x v="0"/>
    <x v="0"/>
    <x v="0"/>
    <x v="51"/>
    <n v="31249"/>
    <x v="10"/>
    <n v="2604"/>
  </r>
  <r>
    <n v="52"/>
    <x v="1"/>
    <x v="0"/>
    <x v="0"/>
    <x v="0"/>
    <x v="51"/>
    <n v="31249"/>
    <x v="11"/>
    <n v="2604"/>
  </r>
  <r>
    <n v="53"/>
    <x v="2"/>
    <x v="0"/>
    <x v="0"/>
    <x v="0"/>
    <x v="52"/>
    <n v="22850"/>
    <x v="0"/>
    <n v="2539"/>
  </r>
  <r>
    <n v="53"/>
    <x v="2"/>
    <x v="0"/>
    <x v="0"/>
    <x v="0"/>
    <x v="52"/>
    <n v="22850"/>
    <x v="1"/>
    <n v="2539"/>
  </r>
  <r>
    <n v="53"/>
    <x v="2"/>
    <x v="0"/>
    <x v="0"/>
    <x v="0"/>
    <x v="52"/>
    <n v="22850"/>
    <x v="2"/>
    <n v="1777"/>
  </r>
  <r>
    <n v="53"/>
    <x v="2"/>
    <x v="0"/>
    <x v="0"/>
    <x v="0"/>
    <x v="52"/>
    <n v="22850"/>
    <x v="3"/>
    <n v="1777"/>
  </r>
  <r>
    <n v="53"/>
    <x v="2"/>
    <x v="0"/>
    <x v="0"/>
    <x v="0"/>
    <x v="52"/>
    <n v="22850"/>
    <x v="4"/>
    <n v="1777"/>
  </r>
  <r>
    <n v="53"/>
    <x v="2"/>
    <x v="0"/>
    <x v="0"/>
    <x v="0"/>
    <x v="52"/>
    <n v="22850"/>
    <x v="5"/>
    <n v="1777"/>
  </r>
  <r>
    <n v="53"/>
    <x v="2"/>
    <x v="0"/>
    <x v="0"/>
    <x v="0"/>
    <x v="52"/>
    <n v="22850"/>
    <x v="6"/>
    <n v="1777"/>
  </r>
  <r>
    <n v="53"/>
    <x v="2"/>
    <x v="0"/>
    <x v="0"/>
    <x v="0"/>
    <x v="52"/>
    <n v="22850"/>
    <x v="7"/>
    <n v="1777"/>
  </r>
  <r>
    <n v="53"/>
    <x v="2"/>
    <x v="0"/>
    <x v="0"/>
    <x v="0"/>
    <x v="52"/>
    <n v="22850"/>
    <x v="8"/>
    <n v="1777"/>
  </r>
  <r>
    <n v="53"/>
    <x v="2"/>
    <x v="0"/>
    <x v="0"/>
    <x v="0"/>
    <x v="52"/>
    <n v="22850"/>
    <x v="9"/>
    <n v="1777"/>
  </r>
  <r>
    <n v="53"/>
    <x v="2"/>
    <x v="0"/>
    <x v="0"/>
    <x v="0"/>
    <x v="52"/>
    <n v="22850"/>
    <x v="10"/>
    <n v="1777"/>
  </r>
  <r>
    <n v="53"/>
    <x v="2"/>
    <x v="0"/>
    <x v="0"/>
    <x v="0"/>
    <x v="52"/>
    <n v="22850"/>
    <x v="11"/>
    <n v="1777"/>
  </r>
  <r>
    <n v="54"/>
    <x v="1"/>
    <x v="0"/>
    <x v="0"/>
    <x v="0"/>
    <x v="53"/>
    <n v="29517"/>
    <x v="0"/>
    <n v="2460"/>
  </r>
  <r>
    <n v="54"/>
    <x v="1"/>
    <x v="0"/>
    <x v="0"/>
    <x v="0"/>
    <x v="53"/>
    <n v="29517"/>
    <x v="1"/>
    <n v="2460"/>
  </r>
  <r>
    <n v="54"/>
    <x v="1"/>
    <x v="0"/>
    <x v="0"/>
    <x v="0"/>
    <x v="53"/>
    <n v="29517"/>
    <x v="2"/>
    <n v="2460"/>
  </r>
  <r>
    <n v="54"/>
    <x v="1"/>
    <x v="0"/>
    <x v="0"/>
    <x v="0"/>
    <x v="53"/>
    <n v="29517"/>
    <x v="3"/>
    <n v="2460"/>
  </r>
  <r>
    <n v="54"/>
    <x v="1"/>
    <x v="0"/>
    <x v="0"/>
    <x v="0"/>
    <x v="53"/>
    <n v="29517"/>
    <x v="4"/>
    <n v="2460"/>
  </r>
  <r>
    <n v="54"/>
    <x v="1"/>
    <x v="0"/>
    <x v="0"/>
    <x v="0"/>
    <x v="53"/>
    <n v="29517"/>
    <x v="5"/>
    <n v="2460"/>
  </r>
  <r>
    <n v="54"/>
    <x v="1"/>
    <x v="0"/>
    <x v="0"/>
    <x v="0"/>
    <x v="53"/>
    <n v="29517"/>
    <x v="6"/>
    <n v="2460"/>
  </r>
  <r>
    <n v="54"/>
    <x v="1"/>
    <x v="0"/>
    <x v="0"/>
    <x v="0"/>
    <x v="53"/>
    <n v="29517"/>
    <x v="7"/>
    <n v="2460"/>
  </r>
  <r>
    <n v="54"/>
    <x v="1"/>
    <x v="0"/>
    <x v="0"/>
    <x v="0"/>
    <x v="53"/>
    <n v="29517"/>
    <x v="8"/>
    <n v="2460"/>
  </r>
  <r>
    <n v="54"/>
    <x v="1"/>
    <x v="0"/>
    <x v="0"/>
    <x v="0"/>
    <x v="53"/>
    <n v="29517"/>
    <x v="9"/>
    <n v="2460"/>
  </r>
  <r>
    <n v="54"/>
    <x v="1"/>
    <x v="0"/>
    <x v="0"/>
    <x v="0"/>
    <x v="53"/>
    <n v="29517"/>
    <x v="10"/>
    <n v="2460"/>
  </r>
  <r>
    <n v="54"/>
    <x v="1"/>
    <x v="0"/>
    <x v="0"/>
    <x v="0"/>
    <x v="53"/>
    <n v="29517"/>
    <x v="11"/>
    <n v="2460"/>
  </r>
  <r>
    <n v="55"/>
    <x v="1"/>
    <x v="0"/>
    <x v="0"/>
    <x v="0"/>
    <x v="54"/>
    <n v="4915"/>
    <x v="0"/>
    <n v="2457"/>
  </r>
  <r>
    <n v="55"/>
    <x v="1"/>
    <x v="0"/>
    <x v="0"/>
    <x v="0"/>
    <x v="54"/>
    <n v="4915"/>
    <x v="1"/>
    <n v="2457"/>
  </r>
  <r>
    <n v="55"/>
    <x v="1"/>
    <x v="0"/>
    <x v="0"/>
    <x v="0"/>
    <x v="54"/>
    <n v="4915"/>
    <x v="2"/>
    <n v="0"/>
  </r>
  <r>
    <n v="55"/>
    <x v="1"/>
    <x v="0"/>
    <x v="0"/>
    <x v="0"/>
    <x v="54"/>
    <n v="4915"/>
    <x v="3"/>
    <n v="0"/>
  </r>
  <r>
    <n v="55"/>
    <x v="1"/>
    <x v="0"/>
    <x v="0"/>
    <x v="0"/>
    <x v="54"/>
    <n v="4915"/>
    <x v="4"/>
    <n v="0"/>
  </r>
  <r>
    <n v="55"/>
    <x v="1"/>
    <x v="0"/>
    <x v="0"/>
    <x v="0"/>
    <x v="54"/>
    <n v="4915"/>
    <x v="5"/>
    <n v="0"/>
  </r>
  <r>
    <n v="55"/>
    <x v="1"/>
    <x v="0"/>
    <x v="0"/>
    <x v="0"/>
    <x v="54"/>
    <n v="4915"/>
    <x v="6"/>
    <n v="0"/>
  </r>
  <r>
    <n v="55"/>
    <x v="1"/>
    <x v="0"/>
    <x v="0"/>
    <x v="0"/>
    <x v="54"/>
    <n v="4915"/>
    <x v="7"/>
    <n v="0"/>
  </r>
  <r>
    <n v="55"/>
    <x v="1"/>
    <x v="0"/>
    <x v="0"/>
    <x v="0"/>
    <x v="54"/>
    <n v="4915"/>
    <x v="8"/>
    <n v="0"/>
  </r>
  <r>
    <n v="55"/>
    <x v="1"/>
    <x v="0"/>
    <x v="0"/>
    <x v="0"/>
    <x v="54"/>
    <n v="4915"/>
    <x v="9"/>
    <n v="0"/>
  </r>
  <r>
    <n v="55"/>
    <x v="1"/>
    <x v="0"/>
    <x v="0"/>
    <x v="0"/>
    <x v="54"/>
    <n v="4915"/>
    <x v="10"/>
    <n v="0"/>
  </r>
  <r>
    <n v="55"/>
    <x v="1"/>
    <x v="0"/>
    <x v="0"/>
    <x v="0"/>
    <x v="54"/>
    <n v="4915"/>
    <x v="11"/>
    <n v="0"/>
  </r>
  <r>
    <n v="56"/>
    <x v="1"/>
    <x v="2"/>
    <x v="0"/>
    <x v="0"/>
    <x v="55"/>
    <n v="29163"/>
    <x v="0"/>
    <n v="2430"/>
  </r>
  <r>
    <n v="56"/>
    <x v="1"/>
    <x v="2"/>
    <x v="0"/>
    <x v="0"/>
    <x v="55"/>
    <n v="29163"/>
    <x v="1"/>
    <n v="2430"/>
  </r>
  <r>
    <n v="56"/>
    <x v="1"/>
    <x v="2"/>
    <x v="0"/>
    <x v="0"/>
    <x v="55"/>
    <n v="29163"/>
    <x v="2"/>
    <n v="2430"/>
  </r>
  <r>
    <n v="56"/>
    <x v="1"/>
    <x v="2"/>
    <x v="0"/>
    <x v="0"/>
    <x v="55"/>
    <n v="29163"/>
    <x v="3"/>
    <n v="2430"/>
  </r>
  <r>
    <n v="56"/>
    <x v="1"/>
    <x v="2"/>
    <x v="0"/>
    <x v="0"/>
    <x v="55"/>
    <n v="29163"/>
    <x v="4"/>
    <n v="2430"/>
  </r>
  <r>
    <n v="56"/>
    <x v="1"/>
    <x v="2"/>
    <x v="0"/>
    <x v="0"/>
    <x v="55"/>
    <n v="29163"/>
    <x v="5"/>
    <n v="2430"/>
  </r>
  <r>
    <n v="56"/>
    <x v="1"/>
    <x v="2"/>
    <x v="0"/>
    <x v="0"/>
    <x v="55"/>
    <n v="29163"/>
    <x v="6"/>
    <n v="2430"/>
  </r>
  <r>
    <n v="56"/>
    <x v="1"/>
    <x v="2"/>
    <x v="0"/>
    <x v="0"/>
    <x v="55"/>
    <n v="29163"/>
    <x v="7"/>
    <n v="2430"/>
  </r>
  <r>
    <n v="56"/>
    <x v="1"/>
    <x v="2"/>
    <x v="0"/>
    <x v="0"/>
    <x v="55"/>
    <n v="29163"/>
    <x v="8"/>
    <n v="2430"/>
  </r>
  <r>
    <n v="56"/>
    <x v="1"/>
    <x v="2"/>
    <x v="0"/>
    <x v="0"/>
    <x v="55"/>
    <n v="29163"/>
    <x v="9"/>
    <n v="2430"/>
  </r>
  <r>
    <n v="56"/>
    <x v="1"/>
    <x v="2"/>
    <x v="0"/>
    <x v="0"/>
    <x v="55"/>
    <n v="29163"/>
    <x v="10"/>
    <n v="2430"/>
  </r>
  <r>
    <n v="56"/>
    <x v="1"/>
    <x v="2"/>
    <x v="0"/>
    <x v="0"/>
    <x v="55"/>
    <n v="29163"/>
    <x v="11"/>
    <n v="2430"/>
  </r>
  <r>
    <n v="57"/>
    <x v="1"/>
    <x v="0"/>
    <x v="0"/>
    <x v="0"/>
    <x v="56"/>
    <n v="28050"/>
    <x v="0"/>
    <n v="2338"/>
  </r>
  <r>
    <n v="57"/>
    <x v="1"/>
    <x v="0"/>
    <x v="0"/>
    <x v="0"/>
    <x v="56"/>
    <n v="28050"/>
    <x v="1"/>
    <n v="2338"/>
  </r>
  <r>
    <n v="57"/>
    <x v="1"/>
    <x v="0"/>
    <x v="0"/>
    <x v="0"/>
    <x v="56"/>
    <n v="28050"/>
    <x v="2"/>
    <n v="2338"/>
  </r>
  <r>
    <n v="57"/>
    <x v="1"/>
    <x v="0"/>
    <x v="0"/>
    <x v="0"/>
    <x v="56"/>
    <n v="28050"/>
    <x v="3"/>
    <n v="2338"/>
  </r>
  <r>
    <n v="57"/>
    <x v="1"/>
    <x v="0"/>
    <x v="0"/>
    <x v="0"/>
    <x v="56"/>
    <n v="28050"/>
    <x v="4"/>
    <n v="2338"/>
  </r>
  <r>
    <n v="57"/>
    <x v="1"/>
    <x v="0"/>
    <x v="0"/>
    <x v="0"/>
    <x v="56"/>
    <n v="28050"/>
    <x v="5"/>
    <n v="2338"/>
  </r>
  <r>
    <n v="57"/>
    <x v="1"/>
    <x v="0"/>
    <x v="0"/>
    <x v="0"/>
    <x v="56"/>
    <n v="28050"/>
    <x v="6"/>
    <n v="2338"/>
  </r>
  <r>
    <n v="57"/>
    <x v="1"/>
    <x v="0"/>
    <x v="0"/>
    <x v="0"/>
    <x v="56"/>
    <n v="28050"/>
    <x v="7"/>
    <n v="2338"/>
  </r>
  <r>
    <n v="57"/>
    <x v="1"/>
    <x v="0"/>
    <x v="0"/>
    <x v="0"/>
    <x v="56"/>
    <n v="28050"/>
    <x v="8"/>
    <n v="2338"/>
  </r>
  <r>
    <n v="57"/>
    <x v="1"/>
    <x v="0"/>
    <x v="0"/>
    <x v="0"/>
    <x v="56"/>
    <n v="28050"/>
    <x v="9"/>
    <n v="2338"/>
  </r>
  <r>
    <n v="57"/>
    <x v="1"/>
    <x v="0"/>
    <x v="0"/>
    <x v="0"/>
    <x v="56"/>
    <n v="28050"/>
    <x v="10"/>
    <n v="2338"/>
  </r>
  <r>
    <n v="57"/>
    <x v="1"/>
    <x v="0"/>
    <x v="0"/>
    <x v="0"/>
    <x v="56"/>
    <n v="28050"/>
    <x v="11"/>
    <n v="2338"/>
  </r>
  <r>
    <n v="58"/>
    <x v="1"/>
    <x v="1"/>
    <x v="0"/>
    <x v="0"/>
    <x v="57"/>
    <n v="27806"/>
    <x v="0"/>
    <n v="2317"/>
  </r>
  <r>
    <n v="58"/>
    <x v="1"/>
    <x v="1"/>
    <x v="0"/>
    <x v="0"/>
    <x v="57"/>
    <n v="27806"/>
    <x v="1"/>
    <n v="2317"/>
  </r>
  <r>
    <n v="58"/>
    <x v="1"/>
    <x v="1"/>
    <x v="0"/>
    <x v="0"/>
    <x v="57"/>
    <n v="27806"/>
    <x v="2"/>
    <n v="2317"/>
  </r>
  <r>
    <n v="58"/>
    <x v="1"/>
    <x v="1"/>
    <x v="0"/>
    <x v="0"/>
    <x v="57"/>
    <n v="27806"/>
    <x v="3"/>
    <n v="2317"/>
  </r>
  <r>
    <n v="58"/>
    <x v="1"/>
    <x v="1"/>
    <x v="0"/>
    <x v="0"/>
    <x v="57"/>
    <n v="27806"/>
    <x v="4"/>
    <n v="2317"/>
  </r>
  <r>
    <n v="58"/>
    <x v="1"/>
    <x v="1"/>
    <x v="0"/>
    <x v="0"/>
    <x v="57"/>
    <n v="27806"/>
    <x v="5"/>
    <n v="2317"/>
  </r>
  <r>
    <n v="58"/>
    <x v="1"/>
    <x v="1"/>
    <x v="0"/>
    <x v="0"/>
    <x v="57"/>
    <n v="27806"/>
    <x v="6"/>
    <n v="2317"/>
  </r>
  <r>
    <n v="58"/>
    <x v="1"/>
    <x v="1"/>
    <x v="0"/>
    <x v="0"/>
    <x v="57"/>
    <n v="27806"/>
    <x v="7"/>
    <n v="2317"/>
  </r>
  <r>
    <n v="58"/>
    <x v="1"/>
    <x v="1"/>
    <x v="0"/>
    <x v="0"/>
    <x v="57"/>
    <n v="27806"/>
    <x v="8"/>
    <n v="2317"/>
  </r>
  <r>
    <n v="58"/>
    <x v="1"/>
    <x v="1"/>
    <x v="0"/>
    <x v="0"/>
    <x v="57"/>
    <n v="27806"/>
    <x v="9"/>
    <n v="2317"/>
  </r>
  <r>
    <n v="58"/>
    <x v="1"/>
    <x v="1"/>
    <x v="0"/>
    <x v="0"/>
    <x v="57"/>
    <n v="27806"/>
    <x v="10"/>
    <n v="2317"/>
  </r>
  <r>
    <n v="58"/>
    <x v="1"/>
    <x v="1"/>
    <x v="0"/>
    <x v="0"/>
    <x v="57"/>
    <n v="27806"/>
    <x v="11"/>
    <n v="2317"/>
  </r>
  <r>
    <n v="59"/>
    <x v="4"/>
    <x v="3"/>
    <x v="0"/>
    <x v="0"/>
    <x v="58"/>
    <n v="27405"/>
    <x v="0"/>
    <n v="2284"/>
  </r>
  <r>
    <n v="59"/>
    <x v="4"/>
    <x v="3"/>
    <x v="0"/>
    <x v="0"/>
    <x v="58"/>
    <n v="27405"/>
    <x v="1"/>
    <n v="2284"/>
  </r>
  <r>
    <n v="59"/>
    <x v="4"/>
    <x v="3"/>
    <x v="0"/>
    <x v="0"/>
    <x v="58"/>
    <n v="27405"/>
    <x v="2"/>
    <n v="2284"/>
  </r>
  <r>
    <n v="59"/>
    <x v="4"/>
    <x v="3"/>
    <x v="0"/>
    <x v="0"/>
    <x v="58"/>
    <n v="27405"/>
    <x v="3"/>
    <n v="2284"/>
  </r>
  <r>
    <n v="59"/>
    <x v="4"/>
    <x v="3"/>
    <x v="0"/>
    <x v="0"/>
    <x v="58"/>
    <n v="27405"/>
    <x v="4"/>
    <n v="2284"/>
  </r>
  <r>
    <n v="59"/>
    <x v="4"/>
    <x v="3"/>
    <x v="0"/>
    <x v="0"/>
    <x v="58"/>
    <n v="27405"/>
    <x v="5"/>
    <n v="2284"/>
  </r>
  <r>
    <n v="59"/>
    <x v="4"/>
    <x v="3"/>
    <x v="0"/>
    <x v="0"/>
    <x v="58"/>
    <n v="27405"/>
    <x v="6"/>
    <n v="2284"/>
  </r>
  <r>
    <n v="59"/>
    <x v="4"/>
    <x v="3"/>
    <x v="0"/>
    <x v="0"/>
    <x v="58"/>
    <n v="27405"/>
    <x v="7"/>
    <n v="2284"/>
  </r>
  <r>
    <n v="59"/>
    <x v="4"/>
    <x v="3"/>
    <x v="0"/>
    <x v="0"/>
    <x v="58"/>
    <n v="27405"/>
    <x v="8"/>
    <n v="2284"/>
  </r>
  <r>
    <n v="59"/>
    <x v="4"/>
    <x v="3"/>
    <x v="0"/>
    <x v="0"/>
    <x v="58"/>
    <n v="27405"/>
    <x v="9"/>
    <n v="2284"/>
  </r>
  <r>
    <n v="59"/>
    <x v="4"/>
    <x v="3"/>
    <x v="0"/>
    <x v="0"/>
    <x v="58"/>
    <n v="27405"/>
    <x v="10"/>
    <n v="2284"/>
  </r>
  <r>
    <n v="59"/>
    <x v="4"/>
    <x v="3"/>
    <x v="0"/>
    <x v="0"/>
    <x v="58"/>
    <n v="27405"/>
    <x v="11"/>
    <n v="2284"/>
  </r>
  <r>
    <n v="60"/>
    <x v="1"/>
    <x v="0"/>
    <x v="0"/>
    <x v="0"/>
    <x v="59"/>
    <n v="4348"/>
    <x v="0"/>
    <n v="2174"/>
  </r>
  <r>
    <n v="60"/>
    <x v="1"/>
    <x v="0"/>
    <x v="0"/>
    <x v="0"/>
    <x v="59"/>
    <n v="4348"/>
    <x v="1"/>
    <n v="2174"/>
  </r>
  <r>
    <n v="60"/>
    <x v="1"/>
    <x v="0"/>
    <x v="0"/>
    <x v="0"/>
    <x v="59"/>
    <n v="4348"/>
    <x v="2"/>
    <n v="0"/>
  </r>
  <r>
    <n v="60"/>
    <x v="1"/>
    <x v="0"/>
    <x v="0"/>
    <x v="0"/>
    <x v="59"/>
    <n v="4348"/>
    <x v="3"/>
    <n v="0"/>
  </r>
  <r>
    <n v="60"/>
    <x v="1"/>
    <x v="0"/>
    <x v="0"/>
    <x v="0"/>
    <x v="59"/>
    <n v="4348"/>
    <x v="4"/>
    <n v="0"/>
  </r>
  <r>
    <n v="60"/>
    <x v="1"/>
    <x v="0"/>
    <x v="0"/>
    <x v="0"/>
    <x v="59"/>
    <n v="4348"/>
    <x v="5"/>
    <n v="0"/>
  </r>
  <r>
    <n v="60"/>
    <x v="1"/>
    <x v="0"/>
    <x v="0"/>
    <x v="0"/>
    <x v="59"/>
    <n v="4348"/>
    <x v="6"/>
    <n v="0"/>
  </r>
  <r>
    <n v="60"/>
    <x v="1"/>
    <x v="0"/>
    <x v="0"/>
    <x v="0"/>
    <x v="59"/>
    <n v="4348"/>
    <x v="7"/>
    <n v="0"/>
  </r>
  <r>
    <n v="60"/>
    <x v="1"/>
    <x v="0"/>
    <x v="0"/>
    <x v="0"/>
    <x v="59"/>
    <n v="4348"/>
    <x v="8"/>
    <n v="0"/>
  </r>
  <r>
    <n v="60"/>
    <x v="1"/>
    <x v="0"/>
    <x v="0"/>
    <x v="0"/>
    <x v="59"/>
    <n v="4348"/>
    <x v="9"/>
    <n v="0"/>
  </r>
  <r>
    <n v="60"/>
    <x v="1"/>
    <x v="0"/>
    <x v="0"/>
    <x v="0"/>
    <x v="59"/>
    <n v="4348"/>
    <x v="10"/>
    <n v="0"/>
  </r>
  <r>
    <n v="60"/>
    <x v="1"/>
    <x v="0"/>
    <x v="0"/>
    <x v="0"/>
    <x v="59"/>
    <n v="4348"/>
    <x v="11"/>
    <n v="0"/>
  </r>
  <r>
    <n v="61"/>
    <x v="1"/>
    <x v="3"/>
    <x v="0"/>
    <x v="0"/>
    <x v="60"/>
    <n v="22800"/>
    <x v="0"/>
    <n v="1900"/>
  </r>
  <r>
    <n v="61"/>
    <x v="1"/>
    <x v="3"/>
    <x v="0"/>
    <x v="0"/>
    <x v="60"/>
    <n v="22800"/>
    <x v="1"/>
    <n v="1900"/>
  </r>
  <r>
    <n v="61"/>
    <x v="1"/>
    <x v="3"/>
    <x v="0"/>
    <x v="0"/>
    <x v="60"/>
    <n v="22800"/>
    <x v="2"/>
    <n v="1900"/>
  </r>
  <r>
    <n v="61"/>
    <x v="1"/>
    <x v="3"/>
    <x v="0"/>
    <x v="0"/>
    <x v="60"/>
    <n v="22800"/>
    <x v="3"/>
    <n v="1900"/>
  </r>
  <r>
    <n v="61"/>
    <x v="1"/>
    <x v="3"/>
    <x v="0"/>
    <x v="0"/>
    <x v="60"/>
    <n v="22800"/>
    <x v="4"/>
    <n v="1900"/>
  </r>
  <r>
    <n v="61"/>
    <x v="1"/>
    <x v="3"/>
    <x v="0"/>
    <x v="0"/>
    <x v="60"/>
    <n v="22800"/>
    <x v="5"/>
    <n v="1900"/>
  </r>
  <r>
    <n v="61"/>
    <x v="1"/>
    <x v="3"/>
    <x v="0"/>
    <x v="0"/>
    <x v="60"/>
    <n v="22800"/>
    <x v="6"/>
    <n v="1900"/>
  </r>
  <r>
    <n v="61"/>
    <x v="1"/>
    <x v="3"/>
    <x v="0"/>
    <x v="0"/>
    <x v="60"/>
    <n v="22800"/>
    <x v="7"/>
    <n v="1900"/>
  </r>
  <r>
    <n v="61"/>
    <x v="1"/>
    <x v="3"/>
    <x v="0"/>
    <x v="0"/>
    <x v="60"/>
    <n v="22800"/>
    <x v="8"/>
    <n v="1900"/>
  </r>
  <r>
    <n v="61"/>
    <x v="1"/>
    <x v="3"/>
    <x v="0"/>
    <x v="0"/>
    <x v="60"/>
    <n v="22800"/>
    <x v="9"/>
    <n v="1900"/>
  </r>
  <r>
    <n v="61"/>
    <x v="1"/>
    <x v="3"/>
    <x v="0"/>
    <x v="0"/>
    <x v="60"/>
    <n v="22800"/>
    <x v="10"/>
    <n v="1900"/>
  </r>
  <r>
    <n v="61"/>
    <x v="1"/>
    <x v="3"/>
    <x v="0"/>
    <x v="0"/>
    <x v="60"/>
    <n v="22800"/>
    <x v="11"/>
    <n v="1900"/>
  </r>
  <r>
    <n v="62"/>
    <x v="1"/>
    <x v="0"/>
    <x v="0"/>
    <x v="0"/>
    <x v="61"/>
    <n v="25960"/>
    <x v="0"/>
    <n v="2163"/>
  </r>
  <r>
    <n v="62"/>
    <x v="1"/>
    <x v="0"/>
    <x v="0"/>
    <x v="0"/>
    <x v="61"/>
    <n v="25960"/>
    <x v="1"/>
    <n v="2163"/>
  </r>
  <r>
    <n v="62"/>
    <x v="1"/>
    <x v="0"/>
    <x v="0"/>
    <x v="0"/>
    <x v="61"/>
    <n v="25960"/>
    <x v="2"/>
    <n v="2163"/>
  </r>
  <r>
    <n v="62"/>
    <x v="1"/>
    <x v="0"/>
    <x v="0"/>
    <x v="0"/>
    <x v="61"/>
    <n v="25960"/>
    <x v="3"/>
    <n v="2163"/>
  </r>
  <r>
    <n v="62"/>
    <x v="1"/>
    <x v="0"/>
    <x v="0"/>
    <x v="0"/>
    <x v="61"/>
    <n v="25960"/>
    <x v="4"/>
    <n v="2163"/>
  </r>
  <r>
    <n v="62"/>
    <x v="1"/>
    <x v="0"/>
    <x v="0"/>
    <x v="0"/>
    <x v="61"/>
    <n v="25960"/>
    <x v="5"/>
    <n v="2163"/>
  </r>
  <r>
    <n v="62"/>
    <x v="1"/>
    <x v="0"/>
    <x v="0"/>
    <x v="0"/>
    <x v="61"/>
    <n v="25960"/>
    <x v="6"/>
    <n v="2163"/>
  </r>
  <r>
    <n v="62"/>
    <x v="1"/>
    <x v="0"/>
    <x v="0"/>
    <x v="0"/>
    <x v="61"/>
    <n v="25960"/>
    <x v="7"/>
    <n v="2163"/>
  </r>
  <r>
    <n v="62"/>
    <x v="1"/>
    <x v="0"/>
    <x v="0"/>
    <x v="0"/>
    <x v="61"/>
    <n v="25960"/>
    <x v="8"/>
    <n v="2163"/>
  </r>
  <r>
    <n v="62"/>
    <x v="1"/>
    <x v="0"/>
    <x v="0"/>
    <x v="0"/>
    <x v="61"/>
    <n v="25960"/>
    <x v="9"/>
    <n v="2163"/>
  </r>
  <r>
    <n v="62"/>
    <x v="1"/>
    <x v="0"/>
    <x v="0"/>
    <x v="0"/>
    <x v="61"/>
    <n v="25960"/>
    <x v="10"/>
    <n v="2163"/>
  </r>
  <r>
    <n v="62"/>
    <x v="1"/>
    <x v="0"/>
    <x v="0"/>
    <x v="0"/>
    <x v="61"/>
    <n v="25960"/>
    <x v="11"/>
    <n v="2163"/>
  </r>
  <r>
    <n v="63"/>
    <x v="2"/>
    <x v="3"/>
    <x v="0"/>
    <x v="0"/>
    <x v="62"/>
    <n v="25241"/>
    <x v="0"/>
    <n v="2103"/>
  </r>
  <r>
    <n v="63"/>
    <x v="2"/>
    <x v="3"/>
    <x v="0"/>
    <x v="0"/>
    <x v="62"/>
    <n v="25241"/>
    <x v="1"/>
    <n v="2103"/>
  </r>
  <r>
    <n v="63"/>
    <x v="2"/>
    <x v="3"/>
    <x v="0"/>
    <x v="0"/>
    <x v="62"/>
    <n v="25241"/>
    <x v="2"/>
    <n v="2103"/>
  </r>
  <r>
    <n v="63"/>
    <x v="2"/>
    <x v="3"/>
    <x v="0"/>
    <x v="0"/>
    <x v="62"/>
    <n v="25241"/>
    <x v="3"/>
    <n v="2103"/>
  </r>
  <r>
    <n v="63"/>
    <x v="2"/>
    <x v="3"/>
    <x v="0"/>
    <x v="0"/>
    <x v="62"/>
    <n v="25241"/>
    <x v="4"/>
    <n v="2103"/>
  </r>
  <r>
    <n v="63"/>
    <x v="2"/>
    <x v="3"/>
    <x v="0"/>
    <x v="0"/>
    <x v="62"/>
    <n v="25241"/>
    <x v="5"/>
    <n v="2103"/>
  </r>
  <r>
    <n v="63"/>
    <x v="2"/>
    <x v="3"/>
    <x v="0"/>
    <x v="0"/>
    <x v="62"/>
    <n v="25241"/>
    <x v="6"/>
    <n v="2103"/>
  </r>
  <r>
    <n v="63"/>
    <x v="2"/>
    <x v="3"/>
    <x v="0"/>
    <x v="0"/>
    <x v="62"/>
    <n v="25241"/>
    <x v="7"/>
    <n v="2103"/>
  </r>
  <r>
    <n v="63"/>
    <x v="2"/>
    <x v="3"/>
    <x v="0"/>
    <x v="0"/>
    <x v="62"/>
    <n v="25241"/>
    <x v="8"/>
    <n v="2103"/>
  </r>
  <r>
    <n v="63"/>
    <x v="2"/>
    <x v="3"/>
    <x v="0"/>
    <x v="0"/>
    <x v="62"/>
    <n v="25241"/>
    <x v="9"/>
    <n v="2103"/>
  </r>
  <r>
    <n v="63"/>
    <x v="2"/>
    <x v="3"/>
    <x v="0"/>
    <x v="0"/>
    <x v="62"/>
    <n v="25241"/>
    <x v="10"/>
    <n v="2103"/>
  </r>
  <r>
    <n v="63"/>
    <x v="2"/>
    <x v="3"/>
    <x v="0"/>
    <x v="0"/>
    <x v="62"/>
    <n v="25241"/>
    <x v="11"/>
    <n v="2103"/>
  </r>
  <r>
    <n v="64"/>
    <x v="1"/>
    <x v="1"/>
    <x v="0"/>
    <x v="0"/>
    <x v="63"/>
    <n v="24790"/>
    <x v="0"/>
    <n v="2066"/>
  </r>
  <r>
    <n v="64"/>
    <x v="1"/>
    <x v="1"/>
    <x v="0"/>
    <x v="0"/>
    <x v="63"/>
    <n v="24790"/>
    <x v="1"/>
    <n v="2066"/>
  </r>
  <r>
    <n v="64"/>
    <x v="1"/>
    <x v="1"/>
    <x v="0"/>
    <x v="0"/>
    <x v="63"/>
    <n v="24790"/>
    <x v="2"/>
    <n v="2066"/>
  </r>
  <r>
    <n v="64"/>
    <x v="1"/>
    <x v="1"/>
    <x v="0"/>
    <x v="0"/>
    <x v="63"/>
    <n v="24790"/>
    <x v="3"/>
    <n v="2066"/>
  </r>
  <r>
    <n v="64"/>
    <x v="1"/>
    <x v="1"/>
    <x v="0"/>
    <x v="0"/>
    <x v="63"/>
    <n v="24790"/>
    <x v="4"/>
    <n v="2066"/>
  </r>
  <r>
    <n v="64"/>
    <x v="1"/>
    <x v="1"/>
    <x v="0"/>
    <x v="0"/>
    <x v="63"/>
    <n v="24790"/>
    <x v="5"/>
    <n v="2066"/>
  </r>
  <r>
    <n v="64"/>
    <x v="1"/>
    <x v="1"/>
    <x v="0"/>
    <x v="0"/>
    <x v="63"/>
    <n v="24790"/>
    <x v="6"/>
    <n v="2066"/>
  </r>
  <r>
    <n v="64"/>
    <x v="1"/>
    <x v="1"/>
    <x v="0"/>
    <x v="0"/>
    <x v="63"/>
    <n v="24790"/>
    <x v="7"/>
    <n v="2066"/>
  </r>
  <r>
    <n v="64"/>
    <x v="1"/>
    <x v="1"/>
    <x v="0"/>
    <x v="0"/>
    <x v="63"/>
    <n v="24790"/>
    <x v="8"/>
    <n v="2066"/>
  </r>
  <r>
    <n v="64"/>
    <x v="1"/>
    <x v="1"/>
    <x v="0"/>
    <x v="0"/>
    <x v="63"/>
    <n v="24790"/>
    <x v="9"/>
    <n v="2066"/>
  </r>
  <r>
    <n v="64"/>
    <x v="1"/>
    <x v="1"/>
    <x v="0"/>
    <x v="0"/>
    <x v="63"/>
    <n v="24790"/>
    <x v="10"/>
    <n v="2066"/>
  </r>
  <r>
    <n v="64"/>
    <x v="1"/>
    <x v="1"/>
    <x v="0"/>
    <x v="0"/>
    <x v="63"/>
    <n v="24790"/>
    <x v="11"/>
    <n v="2066"/>
  </r>
  <r>
    <n v="65"/>
    <x v="2"/>
    <x v="0"/>
    <x v="0"/>
    <x v="0"/>
    <x v="64"/>
    <n v="24305"/>
    <x v="0"/>
    <n v="2025"/>
  </r>
  <r>
    <n v="65"/>
    <x v="2"/>
    <x v="0"/>
    <x v="0"/>
    <x v="0"/>
    <x v="64"/>
    <n v="24305"/>
    <x v="1"/>
    <n v="2025"/>
  </r>
  <r>
    <n v="65"/>
    <x v="2"/>
    <x v="0"/>
    <x v="0"/>
    <x v="0"/>
    <x v="64"/>
    <n v="24305"/>
    <x v="2"/>
    <n v="2025"/>
  </r>
  <r>
    <n v="65"/>
    <x v="2"/>
    <x v="0"/>
    <x v="0"/>
    <x v="0"/>
    <x v="64"/>
    <n v="24305"/>
    <x v="3"/>
    <n v="2025"/>
  </r>
  <r>
    <n v="65"/>
    <x v="2"/>
    <x v="0"/>
    <x v="0"/>
    <x v="0"/>
    <x v="64"/>
    <n v="24305"/>
    <x v="4"/>
    <n v="2025"/>
  </r>
  <r>
    <n v="65"/>
    <x v="2"/>
    <x v="0"/>
    <x v="0"/>
    <x v="0"/>
    <x v="64"/>
    <n v="24305"/>
    <x v="5"/>
    <n v="2025"/>
  </r>
  <r>
    <n v="65"/>
    <x v="2"/>
    <x v="0"/>
    <x v="0"/>
    <x v="0"/>
    <x v="64"/>
    <n v="24305"/>
    <x v="6"/>
    <n v="2025"/>
  </r>
  <r>
    <n v="65"/>
    <x v="2"/>
    <x v="0"/>
    <x v="0"/>
    <x v="0"/>
    <x v="64"/>
    <n v="24305"/>
    <x v="7"/>
    <n v="2025"/>
  </r>
  <r>
    <n v="65"/>
    <x v="2"/>
    <x v="0"/>
    <x v="0"/>
    <x v="0"/>
    <x v="64"/>
    <n v="24305"/>
    <x v="8"/>
    <n v="2025"/>
  </r>
  <r>
    <n v="65"/>
    <x v="2"/>
    <x v="0"/>
    <x v="0"/>
    <x v="0"/>
    <x v="64"/>
    <n v="24305"/>
    <x v="9"/>
    <n v="2025"/>
  </r>
  <r>
    <n v="65"/>
    <x v="2"/>
    <x v="0"/>
    <x v="0"/>
    <x v="0"/>
    <x v="64"/>
    <n v="24305"/>
    <x v="10"/>
    <n v="2025"/>
  </r>
  <r>
    <n v="65"/>
    <x v="2"/>
    <x v="0"/>
    <x v="0"/>
    <x v="0"/>
    <x v="64"/>
    <n v="24305"/>
    <x v="11"/>
    <n v="2025"/>
  </r>
  <r>
    <n v="66"/>
    <x v="1"/>
    <x v="0"/>
    <x v="0"/>
    <x v="0"/>
    <x v="65"/>
    <n v="24280"/>
    <x v="0"/>
    <n v="2023"/>
  </r>
  <r>
    <n v="66"/>
    <x v="1"/>
    <x v="0"/>
    <x v="0"/>
    <x v="0"/>
    <x v="65"/>
    <n v="24280"/>
    <x v="1"/>
    <n v="2023"/>
  </r>
  <r>
    <n v="66"/>
    <x v="1"/>
    <x v="0"/>
    <x v="0"/>
    <x v="0"/>
    <x v="65"/>
    <n v="24280"/>
    <x v="2"/>
    <n v="2023"/>
  </r>
  <r>
    <n v="66"/>
    <x v="1"/>
    <x v="0"/>
    <x v="0"/>
    <x v="0"/>
    <x v="65"/>
    <n v="24280"/>
    <x v="3"/>
    <n v="2023"/>
  </r>
  <r>
    <n v="66"/>
    <x v="1"/>
    <x v="0"/>
    <x v="0"/>
    <x v="0"/>
    <x v="65"/>
    <n v="24280"/>
    <x v="4"/>
    <n v="2023"/>
  </r>
  <r>
    <n v="66"/>
    <x v="1"/>
    <x v="0"/>
    <x v="0"/>
    <x v="0"/>
    <x v="65"/>
    <n v="24280"/>
    <x v="5"/>
    <n v="2023"/>
  </r>
  <r>
    <n v="66"/>
    <x v="1"/>
    <x v="0"/>
    <x v="0"/>
    <x v="0"/>
    <x v="65"/>
    <n v="24280"/>
    <x v="6"/>
    <n v="2023"/>
  </r>
  <r>
    <n v="66"/>
    <x v="1"/>
    <x v="0"/>
    <x v="0"/>
    <x v="0"/>
    <x v="65"/>
    <n v="24280"/>
    <x v="7"/>
    <n v="2023"/>
  </r>
  <r>
    <n v="66"/>
    <x v="1"/>
    <x v="0"/>
    <x v="0"/>
    <x v="0"/>
    <x v="65"/>
    <n v="24280"/>
    <x v="8"/>
    <n v="2023"/>
  </r>
  <r>
    <n v="66"/>
    <x v="1"/>
    <x v="0"/>
    <x v="0"/>
    <x v="0"/>
    <x v="65"/>
    <n v="24280"/>
    <x v="9"/>
    <n v="2023"/>
  </r>
  <r>
    <n v="66"/>
    <x v="1"/>
    <x v="0"/>
    <x v="0"/>
    <x v="0"/>
    <x v="65"/>
    <n v="24280"/>
    <x v="10"/>
    <n v="2023"/>
  </r>
  <r>
    <n v="66"/>
    <x v="1"/>
    <x v="0"/>
    <x v="0"/>
    <x v="0"/>
    <x v="65"/>
    <n v="24280"/>
    <x v="11"/>
    <n v="2023"/>
  </r>
  <r>
    <n v="67"/>
    <x v="1"/>
    <x v="0"/>
    <x v="0"/>
    <x v="0"/>
    <x v="66"/>
    <n v="4042"/>
    <x v="0"/>
    <n v="2021"/>
  </r>
  <r>
    <n v="67"/>
    <x v="1"/>
    <x v="0"/>
    <x v="0"/>
    <x v="0"/>
    <x v="66"/>
    <n v="4042"/>
    <x v="1"/>
    <n v="2021"/>
  </r>
  <r>
    <n v="67"/>
    <x v="1"/>
    <x v="0"/>
    <x v="0"/>
    <x v="0"/>
    <x v="66"/>
    <n v="4042"/>
    <x v="2"/>
    <n v="0"/>
  </r>
  <r>
    <n v="67"/>
    <x v="1"/>
    <x v="0"/>
    <x v="0"/>
    <x v="0"/>
    <x v="66"/>
    <n v="4042"/>
    <x v="3"/>
    <n v="0"/>
  </r>
  <r>
    <n v="67"/>
    <x v="1"/>
    <x v="0"/>
    <x v="0"/>
    <x v="0"/>
    <x v="66"/>
    <n v="4042"/>
    <x v="4"/>
    <n v="0"/>
  </r>
  <r>
    <n v="67"/>
    <x v="1"/>
    <x v="0"/>
    <x v="0"/>
    <x v="0"/>
    <x v="66"/>
    <n v="4042"/>
    <x v="5"/>
    <n v="0"/>
  </r>
  <r>
    <n v="67"/>
    <x v="1"/>
    <x v="0"/>
    <x v="0"/>
    <x v="0"/>
    <x v="66"/>
    <n v="4042"/>
    <x v="6"/>
    <n v="0"/>
  </r>
  <r>
    <n v="67"/>
    <x v="1"/>
    <x v="0"/>
    <x v="0"/>
    <x v="0"/>
    <x v="66"/>
    <n v="4042"/>
    <x v="7"/>
    <n v="0"/>
  </r>
  <r>
    <n v="67"/>
    <x v="1"/>
    <x v="0"/>
    <x v="0"/>
    <x v="0"/>
    <x v="66"/>
    <n v="4042"/>
    <x v="8"/>
    <n v="0"/>
  </r>
  <r>
    <n v="67"/>
    <x v="1"/>
    <x v="0"/>
    <x v="0"/>
    <x v="0"/>
    <x v="66"/>
    <n v="4042"/>
    <x v="9"/>
    <n v="0"/>
  </r>
  <r>
    <n v="67"/>
    <x v="1"/>
    <x v="0"/>
    <x v="0"/>
    <x v="0"/>
    <x v="66"/>
    <n v="4042"/>
    <x v="10"/>
    <n v="0"/>
  </r>
  <r>
    <n v="67"/>
    <x v="1"/>
    <x v="0"/>
    <x v="0"/>
    <x v="0"/>
    <x v="66"/>
    <n v="4042"/>
    <x v="11"/>
    <n v="0"/>
  </r>
  <r>
    <n v="68"/>
    <x v="1"/>
    <x v="2"/>
    <x v="0"/>
    <x v="0"/>
    <x v="67"/>
    <n v="24215"/>
    <x v="0"/>
    <n v="2018"/>
  </r>
  <r>
    <n v="68"/>
    <x v="1"/>
    <x v="2"/>
    <x v="0"/>
    <x v="0"/>
    <x v="67"/>
    <n v="24215"/>
    <x v="1"/>
    <n v="2018"/>
  </r>
  <r>
    <n v="68"/>
    <x v="1"/>
    <x v="2"/>
    <x v="0"/>
    <x v="0"/>
    <x v="67"/>
    <n v="24215"/>
    <x v="2"/>
    <n v="2018"/>
  </r>
  <r>
    <n v="68"/>
    <x v="1"/>
    <x v="2"/>
    <x v="0"/>
    <x v="0"/>
    <x v="67"/>
    <n v="24215"/>
    <x v="3"/>
    <n v="2018"/>
  </r>
  <r>
    <n v="68"/>
    <x v="1"/>
    <x v="2"/>
    <x v="0"/>
    <x v="0"/>
    <x v="67"/>
    <n v="24215"/>
    <x v="4"/>
    <n v="2018"/>
  </r>
  <r>
    <n v="68"/>
    <x v="1"/>
    <x v="2"/>
    <x v="0"/>
    <x v="0"/>
    <x v="67"/>
    <n v="24215"/>
    <x v="5"/>
    <n v="2018"/>
  </r>
  <r>
    <n v="68"/>
    <x v="1"/>
    <x v="2"/>
    <x v="0"/>
    <x v="0"/>
    <x v="67"/>
    <n v="24215"/>
    <x v="6"/>
    <n v="2018"/>
  </r>
  <r>
    <n v="68"/>
    <x v="1"/>
    <x v="2"/>
    <x v="0"/>
    <x v="0"/>
    <x v="67"/>
    <n v="24215"/>
    <x v="7"/>
    <n v="2018"/>
  </r>
  <r>
    <n v="68"/>
    <x v="1"/>
    <x v="2"/>
    <x v="0"/>
    <x v="0"/>
    <x v="67"/>
    <n v="24215"/>
    <x v="8"/>
    <n v="2018"/>
  </r>
  <r>
    <n v="68"/>
    <x v="1"/>
    <x v="2"/>
    <x v="0"/>
    <x v="0"/>
    <x v="67"/>
    <n v="24215"/>
    <x v="9"/>
    <n v="2018"/>
  </r>
  <r>
    <n v="68"/>
    <x v="1"/>
    <x v="2"/>
    <x v="0"/>
    <x v="0"/>
    <x v="67"/>
    <n v="24215"/>
    <x v="10"/>
    <n v="2018"/>
  </r>
  <r>
    <n v="68"/>
    <x v="1"/>
    <x v="2"/>
    <x v="0"/>
    <x v="0"/>
    <x v="67"/>
    <n v="24215"/>
    <x v="11"/>
    <n v="2018"/>
  </r>
  <r>
    <n v="69"/>
    <x v="1"/>
    <x v="0"/>
    <x v="0"/>
    <x v="0"/>
    <x v="68"/>
    <n v="1920"/>
    <x v="0"/>
    <n v="1920"/>
  </r>
  <r>
    <n v="69"/>
    <x v="1"/>
    <x v="0"/>
    <x v="0"/>
    <x v="0"/>
    <x v="68"/>
    <n v="1920"/>
    <x v="1"/>
    <n v="0"/>
  </r>
  <r>
    <n v="69"/>
    <x v="1"/>
    <x v="0"/>
    <x v="0"/>
    <x v="0"/>
    <x v="68"/>
    <n v="1920"/>
    <x v="2"/>
    <n v="0"/>
  </r>
  <r>
    <n v="69"/>
    <x v="1"/>
    <x v="0"/>
    <x v="0"/>
    <x v="0"/>
    <x v="68"/>
    <n v="1920"/>
    <x v="3"/>
    <n v="0"/>
  </r>
  <r>
    <n v="69"/>
    <x v="1"/>
    <x v="0"/>
    <x v="0"/>
    <x v="0"/>
    <x v="68"/>
    <n v="1920"/>
    <x v="4"/>
    <n v="0"/>
  </r>
  <r>
    <n v="69"/>
    <x v="1"/>
    <x v="0"/>
    <x v="0"/>
    <x v="0"/>
    <x v="68"/>
    <n v="1920"/>
    <x v="5"/>
    <n v="0"/>
  </r>
  <r>
    <n v="69"/>
    <x v="1"/>
    <x v="0"/>
    <x v="0"/>
    <x v="0"/>
    <x v="68"/>
    <n v="1920"/>
    <x v="6"/>
    <n v="0"/>
  </r>
  <r>
    <n v="69"/>
    <x v="1"/>
    <x v="0"/>
    <x v="0"/>
    <x v="0"/>
    <x v="68"/>
    <n v="1920"/>
    <x v="7"/>
    <n v="0"/>
  </r>
  <r>
    <n v="69"/>
    <x v="1"/>
    <x v="0"/>
    <x v="0"/>
    <x v="0"/>
    <x v="68"/>
    <n v="1920"/>
    <x v="8"/>
    <n v="0"/>
  </r>
  <r>
    <n v="69"/>
    <x v="1"/>
    <x v="0"/>
    <x v="0"/>
    <x v="0"/>
    <x v="68"/>
    <n v="1920"/>
    <x v="9"/>
    <n v="0"/>
  </r>
  <r>
    <n v="69"/>
    <x v="1"/>
    <x v="0"/>
    <x v="0"/>
    <x v="0"/>
    <x v="68"/>
    <n v="1920"/>
    <x v="10"/>
    <n v="0"/>
  </r>
  <r>
    <n v="69"/>
    <x v="1"/>
    <x v="0"/>
    <x v="0"/>
    <x v="0"/>
    <x v="68"/>
    <n v="1920"/>
    <x v="11"/>
    <n v="0"/>
  </r>
  <r>
    <n v="70"/>
    <x v="1"/>
    <x v="0"/>
    <x v="0"/>
    <x v="0"/>
    <x v="69"/>
    <n v="23020"/>
    <x v="0"/>
    <n v="1918"/>
  </r>
  <r>
    <n v="70"/>
    <x v="1"/>
    <x v="0"/>
    <x v="0"/>
    <x v="0"/>
    <x v="69"/>
    <n v="23020"/>
    <x v="1"/>
    <n v="1918"/>
  </r>
  <r>
    <n v="70"/>
    <x v="1"/>
    <x v="0"/>
    <x v="0"/>
    <x v="0"/>
    <x v="69"/>
    <n v="23020"/>
    <x v="2"/>
    <n v="1918"/>
  </r>
  <r>
    <n v="70"/>
    <x v="1"/>
    <x v="0"/>
    <x v="0"/>
    <x v="0"/>
    <x v="69"/>
    <n v="23020"/>
    <x v="3"/>
    <n v="1918"/>
  </r>
  <r>
    <n v="70"/>
    <x v="1"/>
    <x v="0"/>
    <x v="0"/>
    <x v="0"/>
    <x v="69"/>
    <n v="23020"/>
    <x v="4"/>
    <n v="1918"/>
  </r>
  <r>
    <n v="70"/>
    <x v="1"/>
    <x v="0"/>
    <x v="0"/>
    <x v="0"/>
    <x v="69"/>
    <n v="23020"/>
    <x v="5"/>
    <n v="1918"/>
  </r>
  <r>
    <n v="70"/>
    <x v="1"/>
    <x v="0"/>
    <x v="0"/>
    <x v="0"/>
    <x v="69"/>
    <n v="23020"/>
    <x v="6"/>
    <n v="1918"/>
  </r>
  <r>
    <n v="70"/>
    <x v="1"/>
    <x v="0"/>
    <x v="0"/>
    <x v="0"/>
    <x v="69"/>
    <n v="23020"/>
    <x v="7"/>
    <n v="1918"/>
  </r>
  <r>
    <n v="70"/>
    <x v="1"/>
    <x v="0"/>
    <x v="0"/>
    <x v="0"/>
    <x v="69"/>
    <n v="23020"/>
    <x v="8"/>
    <n v="1918"/>
  </r>
  <r>
    <n v="70"/>
    <x v="1"/>
    <x v="0"/>
    <x v="0"/>
    <x v="0"/>
    <x v="69"/>
    <n v="23020"/>
    <x v="9"/>
    <n v="1918"/>
  </r>
  <r>
    <n v="70"/>
    <x v="1"/>
    <x v="0"/>
    <x v="0"/>
    <x v="0"/>
    <x v="69"/>
    <n v="23020"/>
    <x v="10"/>
    <n v="1918"/>
  </r>
  <r>
    <n v="70"/>
    <x v="1"/>
    <x v="0"/>
    <x v="0"/>
    <x v="0"/>
    <x v="69"/>
    <n v="23020"/>
    <x v="11"/>
    <n v="1918"/>
  </r>
  <r>
    <n v="71"/>
    <x v="2"/>
    <x v="0"/>
    <x v="0"/>
    <x v="0"/>
    <x v="70"/>
    <n v="22620"/>
    <x v="0"/>
    <n v="1885"/>
  </r>
  <r>
    <n v="71"/>
    <x v="2"/>
    <x v="0"/>
    <x v="0"/>
    <x v="0"/>
    <x v="70"/>
    <n v="22620"/>
    <x v="1"/>
    <n v="1885"/>
  </r>
  <r>
    <n v="71"/>
    <x v="2"/>
    <x v="0"/>
    <x v="0"/>
    <x v="0"/>
    <x v="70"/>
    <n v="22620"/>
    <x v="2"/>
    <n v="1885"/>
  </r>
  <r>
    <n v="71"/>
    <x v="2"/>
    <x v="0"/>
    <x v="0"/>
    <x v="0"/>
    <x v="70"/>
    <n v="22620"/>
    <x v="3"/>
    <n v="1885"/>
  </r>
  <r>
    <n v="71"/>
    <x v="2"/>
    <x v="0"/>
    <x v="0"/>
    <x v="0"/>
    <x v="70"/>
    <n v="22620"/>
    <x v="4"/>
    <n v="1885"/>
  </r>
  <r>
    <n v="71"/>
    <x v="2"/>
    <x v="0"/>
    <x v="0"/>
    <x v="0"/>
    <x v="70"/>
    <n v="22620"/>
    <x v="5"/>
    <n v="1885"/>
  </r>
  <r>
    <n v="71"/>
    <x v="2"/>
    <x v="0"/>
    <x v="0"/>
    <x v="0"/>
    <x v="70"/>
    <n v="22620"/>
    <x v="6"/>
    <n v="1885"/>
  </r>
  <r>
    <n v="71"/>
    <x v="2"/>
    <x v="0"/>
    <x v="0"/>
    <x v="0"/>
    <x v="70"/>
    <n v="22620"/>
    <x v="7"/>
    <n v="1885"/>
  </r>
  <r>
    <n v="71"/>
    <x v="2"/>
    <x v="0"/>
    <x v="0"/>
    <x v="0"/>
    <x v="70"/>
    <n v="22620"/>
    <x v="8"/>
    <n v="1885"/>
  </r>
  <r>
    <n v="71"/>
    <x v="2"/>
    <x v="0"/>
    <x v="0"/>
    <x v="0"/>
    <x v="70"/>
    <n v="22620"/>
    <x v="9"/>
    <n v="1885"/>
  </r>
  <r>
    <n v="71"/>
    <x v="2"/>
    <x v="0"/>
    <x v="0"/>
    <x v="0"/>
    <x v="70"/>
    <n v="22620"/>
    <x v="10"/>
    <n v="1885"/>
  </r>
  <r>
    <n v="71"/>
    <x v="2"/>
    <x v="0"/>
    <x v="0"/>
    <x v="0"/>
    <x v="70"/>
    <n v="22620"/>
    <x v="11"/>
    <n v="1885"/>
  </r>
  <r>
    <n v="72"/>
    <x v="1"/>
    <x v="0"/>
    <x v="0"/>
    <x v="0"/>
    <x v="71"/>
    <n v="21966"/>
    <x v="0"/>
    <n v="1831"/>
  </r>
  <r>
    <n v="72"/>
    <x v="1"/>
    <x v="0"/>
    <x v="0"/>
    <x v="0"/>
    <x v="71"/>
    <n v="21966"/>
    <x v="1"/>
    <n v="1831"/>
  </r>
  <r>
    <n v="72"/>
    <x v="1"/>
    <x v="0"/>
    <x v="0"/>
    <x v="0"/>
    <x v="71"/>
    <n v="21966"/>
    <x v="2"/>
    <n v="1831"/>
  </r>
  <r>
    <n v="72"/>
    <x v="1"/>
    <x v="0"/>
    <x v="0"/>
    <x v="0"/>
    <x v="71"/>
    <n v="21966"/>
    <x v="3"/>
    <n v="1831"/>
  </r>
  <r>
    <n v="72"/>
    <x v="1"/>
    <x v="0"/>
    <x v="0"/>
    <x v="0"/>
    <x v="71"/>
    <n v="21966"/>
    <x v="4"/>
    <n v="1831"/>
  </r>
  <r>
    <n v="72"/>
    <x v="1"/>
    <x v="0"/>
    <x v="0"/>
    <x v="0"/>
    <x v="71"/>
    <n v="21966"/>
    <x v="5"/>
    <n v="1831"/>
  </r>
  <r>
    <n v="72"/>
    <x v="1"/>
    <x v="0"/>
    <x v="0"/>
    <x v="0"/>
    <x v="71"/>
    <n v="21966"/>
    <x v="6"/>
    <n v="1831"/>
  </r>
  <r>
    <n v="72"/>
    <x v="1"/>
    <x v="0"/>
    <x v="0"/>
    <x v="0"/>
    <x v="71"/>
    <n v="21966"/>
    <x v="7"/>
    <n v="1831"/>
  </r>
  <r>
    <n v="72"/>
    <x v="1"/>
    <x v="0"/>
    <x v="0"/>
    <x v="0"/>
    <x v="71"/>
    <n v="21966"/>
    <x v="8"/>
    <n v="1831"/>
  </r>
  <r>
    <n v="72"/>
    <x v="1"/>
    <x v="0"/>
    <x v="0"/>
    <x v="0"/>
    <x v="71"/>
    <n v="21966"/>
    <x v="9"/>
    <n v="1831"/>
  </r>
  <r>
    <n v="72"/>
    <x v="1"/>
    <x v="0"/>
    <x v="0"/>
    <x v="0"/>
    <x v="71"/>
    <n v="21966"/>
    <x v="10"/>
    <n v="1831"/>
  </r>
  <r>
    <n v="72"/>
    <x v="1"/>
    <x v="0"/>
    <x v="0"/>
    <x v="0"/>
    <x v="71"/>
    <n v="21966"/>
    <x v="11"/>
    <n v="1831"/>
  </r>
  <r>
    <n v="73"/>
    <x v="1"/>
    <x v="3"/>
    <x v="0"/>
    <x v="0"/>
    <x v="72"/>
    <n v="30780"/>
    <x v="0"/>
    <n v="2565"/>
  </r>
  <r>
    <n v="73"/>
    <x v="1"/>
    <x v="3"/>
    <x v="0"/>
    <x v="0"/>
    <x v="72"/>
    <n v="30780"/>
    <x v="1"/>
    <n v="2565"/>
  </r>
  <r>
    <n v="73"/>
    <x v="1"/>
    <x v="3"/>
    <x v="0"/>
    <x v="0"/>
    <x v="72"/>
    <n v="30780"/>
    <x v="2"/>
    <n v="2565"/>
  </r>
  <r>
    <n v="73"/>
    <x v="1"/>
    <x v="3"/>
    <x v="0"/>
    <x v="0"/>
    <x v="72"/>
    <n v="30780"/>
    <x v="3"/>
    <n v="2565"/>
  </r>
  <r>
    <n v="73"/>
    <x v="1"/>
    <x v="3"/>
    <x v="0"/>
    <x v="0"/>
    <x v="72"/>
    <n v="30780"/>
    <x v="4"/>
    <n v="2565"/>
  </r>
  <r>
    <n v="73"/>
    <x v="1"/>
    <x v="3"/>
    <x v="0"/>
    <x v="0"/>
    <x v="72"/>
    <n v="30780"/>
    <x v="5"/>
    <n v="2565"/>
  </r>
  <r>
    <n v="73"/>
    <x v="1"/>
    <x v="3"/>
    <x v="0"/>
    <x v="0"/>
    <x v="72"/>
    <n v="30780"/>
    <x v="6"/>
    <n v="2565"/>
  </r>
  <r>
    <n v="73"/>
    <x v="1"/>
    <x v="3"/>
    <x v="0"/>
    <x v="0"/>
    <x v="72"/>
    <n v="30780"/>
    <x v="7"/>
    <n v="2565"/>
  </r>
  <r>
    <n v="73"/>
    <x v="1"/>
    <x v="3"/>
    <x v="0"/>
    <x v="0"/>
    <x v="72"/>
    <n v="30780"/>
    <x v="8"/>
    <n v="2565"/>
  </r>
  <r>
    <n v="73"/>
    <x v="1"/>
    <x v="3"/>
    <x v="0"/>
    <x v="0"/>
    <x v="72"/>
    <n v="30780"/>
    <x v="9"/>
    <n v="2565"/>
  </r>
  <r>
    <n v="73"/>
    <x v="1"/>
    <x v="3"/>
    <x v="0"/>
    <x v="0"/>
    <x v="72"/>
    <n v="30780"/>
    <x v="10"/>
    <n v="2565"/>
  </r>
  <r>
    <n v="73"/>
    <x v="1"/>
    <x v="3"/>
    <x v="0"/>
    <x v="0"/>
    <x v="72"/>
    <n v="30780"/>
    <x v="11"/>
    <n v="2565"/>
  </r>
  <r>
    <n v="74"/>
    <x v="2"/>
    <x v="2"/>
    <x v="0"/>
    <x v="0"/>
    <x v="73"/>
    <n v="21185"/>
    <x v="0"/>
    <n v="1765"/>
  </r>
  <r>
    <n v="74"/>
    <x v="2"/>
    <x v="2"/>
    <x v="0"/>
    <x v="0"/>
    <x v="73"/>
    <n v="21185"/>
    <x v="1"/>
    <n v="1765"/>
  </r>
  <r>
    <n v="74"/>
    <x v="2"/>
    <x v="2"/>
    <x v="0"/>
    <x v="0"/>
    <x v="73"/>
    <n v="21185"/>
    <x v="2"/>
    <n v="1765"/>
  </r>
  <r>
    <n v="74"/>
    <x v="2"/>
    <x v="2"/>
    <x v="0"/>
    <x v="0"/>
    <x v="73"/>
    <n v="21185"/>
    <x v="3"/>
    <n v="1765"/>
  </r>
  <r>
    <n v="74"/>
    <x v="2"/>
    <x v="2"/>
    <x v="0"/>
    <x v="0"/>
    <x v="73"/>
    <n v="21185"/>
    <x v="4"/>
    <n v="1765"/>
  </r>
  <r>
    <n v="74"/>
    <x v="2"/>
    <x v="2"/>
    <x v="0"/>
    <x v="0"/>
    <x v="73"/>
    <n v="21185"/>
    <x v="5"/>
    <n v="1765"/>
  </r>
  <r>
    <n v="74"/>
    <x v="2"/>
    <x v="2"/>
    <x v="0"/>
    <x v="0"/>
    <x v="73"/>
    <n v="21185"/>
    <x v="6"/>
    <n v="1765"/>
  </r>
  <r>
    <n v="74"/>
    <x v="2"/>
    <x v="2"/>
    <x v="0"/>
    <x v="0"/>
    <x v="73"/>
    <n v="21185"/>
    <x v="7"/>
    <n v="1765"/>
  </r>
  <r>
    <n v="74"/>
    <x v="2"/>
    <x v="2"/>
    <x v="0"/>
    <x v="0"/>
    <x v="73"/>
    <n v="21185"/>
    <x v="8"/>
    <n v="1765"/>
  </r>
  <r>
    <n v="74"/>
    <x v="2"/>
    <x v="2"/>
    <x v="0"/>
    <x v="0"/>
    <x v="73"/>
    <n v="21185"/>
    <x v="9"/>
    <n v="1765"/>
  </r>
  <r>
    <n v="74"/>
    <x v="2"/>
    <x v="2"/>
    <x v="0"/>
    <x v="0"/>
    <x v="73"/>
    <n v="21185"/>
    <x v="10"/>
    <n v="1765"/>
  </r>
  <r>
    <n v="74"/>
    <x v="2"/>
    <x v="2"/>
    <x v="0"/>
    <x v="0"/>
    <x v="73"/>
    <n v="21185"/>
    <x v="11"/>
    <n v="1765"/>
  </r>
  <r>
    <n v="75"/>
    <x v="2"/>
    <x v="0"/>
    <x v="0"/>
    <x v="0"/>
    <x v="74"/>
    <n v="20951"/>
    <x v="0"/>
    <n v="1746"/>
  </r>
  <r>
    <n v="75"/>
    <x v="2"/>
    <x v="0"/>
    <x v="0"/>
    <x v="0"/>
    <x v="74"/>
    <n v="20951"/>
    <x v="1"/>
    <n v="1746"/>
  </r>
  <r>
    <n v="75"/>
    <x v="2"/>
    <x v="0"/>
    <x v="0"/>
    <x v="0"/>
    <x v="74"/>
    <n v="20951"/>
    <x v="2"/>
    <n v="1746"/>
  </r>
  <r>
    <n v="75"/>
    <x v="2"/>
    <x v="0"/>
    <x v="0"/>
    <x v="0"/>
    <x v="74"/>
    <n v="20951"/>
    <x v="3"/>
    <n v="1746"/>
  </r>
  <r>
    <n v="75"/>
    <x v="2"/>
    <x v="0"/>
    <x v="0"/>
    <x v="0"/>
    <x v="74"/>
    <n v="20951"/>
    <x v="4"/>
    <n v="1746"/>
  </r>
  <r>
    <n v="75"/>
    <x v="2"/>
    <x v="0"/>
    <x v="0"/>
    <x v="0"/>
    <x v="74"/>
    <n v="20951"/>
    <x v="5"/>
    <n v="1746"/>
  </r>
  <r>
    <n v="75"/>
    <x v="2"/>
    <x v="0"/>
    <x v="0"/>
    <x v="0"/>
    <x v="74"/>
    <n v="20951"/>
    <x v="6"/>
    <n v="1746"/>
  </r>
  <r>
    <n v="75"/>
    <x v="2"/>
    <x v="0"/>
    <x v="0"/>
    <x v="0"/>
    <x v="74"/>
    <n v="20951"/>
    <x v="7"/>
    <n v="1746"/>
  </r>
  <r>
    <n v="75"/>
    <x v="2"/>
    <x v="0"/>
    <x v="0"/>
    <x v="0"/>
    <x v="74"/>
    <n v="20951"/>
    <x v="8"/>
    <n v="1746"/>
  </r>
  <r>
    <n v="75"/>
    <x v="2"/>
    <x v="0"/>
    <x v="0"/>
    <x v="0"/>
    <x v="74"/>
    <n v="20951"/>
    <x v="9"/>
    <n v="1746"/>
  </r>
  <r>
    <n v="75"/>
    <x v="2"/>
    <x v="0"/>
    <x v="0"/>
    <x v="0"/>
    <x v="74"/>
    <n v="20951"/>
    <x v="10"/>
    <n v="1746"/>
  </r>
  <r>
    <n v="75"/>
    <x v="2"/>
    <x v="0"/>
    <x v="0"/>
    <x v="0"/>
    <x v="74"/>
    <n v="20951"/>
    <x v="11"/>
    <n v="1746"/>
  </r>
  <r>
    <n v="76"/>
    <x v="1"/>
    <x v="0"/>
    <x v="0"/>
    <x v="0"/>
    <x v="75"/>
    <n v="19077"/>
    <x v="0"/>
    <n v="1590"/>
  </r>
  <r>
    <n v="76"/>
    <x v="1"/>
    <x v="0"/>
    <x v="0"/>
    <x v="0"/>
    <x v="75"/>
    <n v="19077"/>
    <x v="1"/>
    <n v="1590"/>
  </r>
  <r>
    <n v="76"/>
    <x v="1"/>
    <x v="0"/>
    <x v="0"/>
    <x v="0"/>
    <x v="75"/>
    <n v="19077"/>
    <x v="2"/>
    <n v="1590"/>
  </r>
  <r>
    <n v="76"/>
    <x v="1"/>
    <x v="0"/>
    <x v="0"/>
    <x v="0"/>
    <x v="75"/>
    <n v="19077"/>
    <x v="3"/>
    <n v="1590"/>
  </r>
  <r>
    <n v="76"/>
    <x v="1"/>
    <x v="0"/>
    <x v="0"/>
    <x v="0"/>
    <x v="75"/>
    <n v="19077"/>
    <x v="4"/>
    <n v="1590"/>
  </r>
  <r>
    <n v="76"/>
    <x v="1"/>
    <x v="0"/>
    <x v="0"/>
    <x v="0"/>
    <x v="75"/>
    <n v="19077"/>
    <x v="5"/>
    <n v="1590"/>
  </r>
  <r>
    <n v="76"/>
    <x v="1"/>
    <x v="0"/>
    <x v="0"/>
    <x v="0"/>
    <x v="75"/>
    <n v="19077"/>
    <x v="6"/>
    <n v="1590"/>
  </r>
  <r>
    <n v="76"/>
    <x v="1"/>
    <x v="0"/>
    <x v="0"/>
    <x v="0"/>
    <x v="75"/>
    <n v="19077"/>
    <x v="7"/>
    <n v="1590"/>
  </r>
  <r>
    <n v="76"/>
    <x v="1"/>
    <x v="0"/>
    <x v="0"/>
    <x v="0"/>
    <x v="75"/>
    <n v="19077"/>
    <x v="8"/>
    <n v="1590"/>
  </r>
  <r>
    <n v="76"/>
    <x v="1"/>
    <x v="0"/>
    <x v="0"/>
    <x v="0"/>
    <x v="75"/>
    <n v="19077"/>
    <x v="9"/>
    <n v="1590"/>
  </r>
  <r>
    <n v="76"/>
    <x v="1"/>
    <x v="0"/>
    <x v="0"/>
    <x v="0"/>
    <x v="75"/>
    <n v="19077"/>
    <x v="10"/>
    <n v="1590"/>
  </r>
  <r>
    <n v="76"/>
    <x v="1"/>
    <x v="0"/>
    <x v="0"/>
    <x v="0"/>
    <x v="75"/>
    <n v="19077"/>
    <x v="11"/>
    <n v="1590"/>
  </r>
  <r>
    <n v="77"/>
    <x v="2"/>
    <x v="0"/>
    <x v="0"/>
    <x v="0"/>
    <x v="76"/>
    <n v="3078"/>
    <x v="0"/>
    <n v="1539"/>
  </r>
  <r>
    <n v="77"/>
    <x v="2"/>
    <x v="0"/>
    <x v="0"/>
    <x v="0"/>
    <x v="76"/>
    <n v="3078"/>
    <x v="1"/>
    <n v="1539"/>
  </r>
  <r>
    <n v="77"/>
    <x v="2"/>
    <x v="0"/>
    <x v="0"/>
    <x v="0"/>
    <x v="76"/>
    <n v="3078"/>
    <x v="2"/>
    <n v="0"/>
  </r>
  <r>
    <n v="77"/>
    <x v="2"/>
    <x v="0"/>
    <x v="0"/>
    <x v="0"/>
    <x v="76"/>
    <n v="3078"/>
    <x v="3"/>
    <n v="0"/>
  </r>
  <r>
    <n v="77"/>
    <x v="2"/>
    <x v="0"/>
    <x v="0"/>
    <x v="0"/>
    <x v="76"/>
    <n v="3078"/>
    <x v="4"/>
    <n v="0"/>
  </r>
  <r>
    <n v="77"/>
    <x v="2"/>
    <x v="0"/>
    <x v="0"/>
    <x v="0"/>
    <x v="76"/>
    <n v="3078"/>
    <x v="5"/>
    <n v="0"/>
  </r>
  <r>
    <n v="77"/>
    <x v="2"/>
    <x v="0"/>
    <x v="0"/>
    <x v="0"/>
    <x v="76"/>
    <n v="3078"/>
    <x v="6"/>
    <n v="0"/>
  </r>
  <r>
    <n v="77"/>
    <x v="2"/>
    <x v="0"/>
    <x v="0"/>
    <x v="0"/>
    <x v="76"/>
    <n v="3078"/>
    <x v="7"/>
    <n v="0"/>
  </r>
  <r>
    <n v="77"/>
    <x v="2"/>
    <x v="0"/>
    <x v="0"/>
    <x v="0"/>
    <x v="76"/>
    <n v="3078"/>
    <x v="8"/>
    <n v="0"/>
  </r>
  <r>
    <n v="77"/>
    <x v="2"/>
    <x v="0"/>
    <x v="0"/>
    <x v="0"/>
    <x v="76"/>
    <n v="3078"/>
    <x v="9"/>
    <n v="0"/>
  </r>
  <r>
    <n v="77"/>
    <x v="2"/>
    <x v="0"/>
    <x v="0"/>
    <x v="0"/>
    <x v="76"/>
    <n v="3078"/>
    <x v="10"/>
    <n v="0"/>
  </r>
  <r>
    <n v="77"/>
    <x v="2"/>
    <x v="0"/>
    <x v="0"/>
    <x v="0"/>
    <x v="76"/>
    <n v="3078"/>
    <x v="11"/>
    <n v="0"/>
  </r>
  <r>
    <n v="78"/>
    <x v="1"/>
    <x v="0"/>
    <x v="0"/>
    <x v="0"/>
    <x v="77"/>
    <n v="1487"/>
    <x v="0"/>
    <n v="1487"/>
  </r>
  <r>
    <n v="78"/>
    <x v="1"/>
    <x v="0"/>
    <x v="0"/>
    <x v="0"/>
    <x v="77"/>
    <n v="1487"/>
    <x v="1"/>
    <n v="0"/>
  </r>
  <r>
    <n v="78"/>
    <x v="1"/>
    <x v="0"/>
    <x v="0"/>
    <x v="0"/>
    <x v="77"/>
    <n v="1487"/>
    <x v="2"/>
    <n v="0"/>
  </r>
  <r>
    <n v="78"/>
    <x v="1"/>
    <x v="0"/>
    <x v="0"/>
    <x v="0"/>
    <x v="77"/>
    <n v="1487"/>
    <x v="3"/>
    <n v="0"/>
  </r>
  <r>
    <n v="78"/>
    <x v="1"/>
    <x v="0"/>
    <x v="0"/>
    <x v="0"/>
    <x v="77"/>
    <n v="1487"/>
    <x v="4"/>
    <n v="0"/>
  </r>
  <r>
    <n v="78"/>
    <x v="1"/>
    <x v="0"/>
    <x v="0"/>
    <x v="0"/>
    <x v="77"/>
    <n v="1487"/>
    <x v="5"/>
    <n v="0"/>
  </r>
  <r>
    <n v="78"/>
    <x v="1"/>
    <x v="0"/>
    <x v="0"/>
    <x v="0"/>
    <x v="77"/>
    <n v="1487"/>
    <x v="6"/>
    <n v="0"/>
  </r>
  <r>
    <n v="78"/>
    <x v="1"/>
    <x v="0"/>
    <x v="0"/>
    <x v="0"/>
    <x v="77"/>
    <n v="1487"/>
    <x v="7"/>
    <n v="0"/>
  </r>
  <r>
    <n v="78"/>
    <x v="1"/>
    <x v="0"/>
    <x v="0"/>
    <x v="0"/>
    <x v="77"/>
    <n v="1487"/>
    <x v="8"/>
    <n v="0"/>
  </r>
  <r>
    <n v="78"/>
    <x v="1"/>
    <x v="0"/>
    <x v="0"/>
    <x v="0"/>
    <x v="77"/>
    <n v="1487"/>
    <x v="9"/>
    <n v="0"/>
  </r>
  <r>
    <n v="78"/>
    <x v="1"/>
    <x v="0"/>
    <x v="0"/>
    <x v="0"/>
    <x v="77"/>
    <n v="1487"/>
    <x v="10"/>
    <n v="0"/>
  </r>
  <r>
    <n v="78"/>
    <x v="1"/>
    <x v="0"/>
    <x v="0"/>
    <x v="0"/>
    <x v="77"/>
    <n v="1487"/>
    <x v="11"/>
    <n v="0"/>
  </r>
  <r>
    <n v="79"/>
    <x v="2"/>
    <x v="2"/>
    <x v="0"/>
    <x v="0"/>
    <x v="78"/>
    <n v="17612"/>
    <x v="0"/>
    <n v="1468"/>
  </r>
  <r>
    <n v="79"/>
    <x v="2"/>
    <x v="2"/>
    <x v="0"/>
    <x v="0"/>
    <x v="78"/>
    <n v="17612"/>
    <x v="1"/>
    <n v="1468"/>
  </r>
  <r>
    <n v="79"/>
    <x v="2"/>
    <x v="2"/>
    <x v="0"/>
    <x v="0"/>
    <x v="78"/>
    <n v="17612"/>
    <x v="2"/>
    <n v="1468"/>
  </r>
  <r>
    <n v="79"/>
    <x v="2"/>
    <x v="2"/>
    <x v="0"/>
    <x v="0"/>
    <x v="78"/>
    <n v="17612"/>
    <x v="3"/>
    <n v="1468"/>
  </r>
  <r>
    <n v="79"/>
    <x v="2"/>
    <x v="2"/>
    <x v="0"/>
    <x v="0"/>
    <x v="78"/>
    <n v="17612"/>
    <x v="4"/>
    <n v="1468"/>
  </r>
  <r>
    <n v="79"/>
    <x v="2"/>
    <x v="2"/>
    <x v="0"/>
    <x v="0"/>
    <x v="78"/>
    <n v="17612"/>
    <x v="5"/>
    <n v="1468"/>
  </r>
  <r>
    <n v="79"/>
    <x v="2"/>
    <x v="2"/>
    <x v="0"/>
    <x v="0"/>
    <x v="78"/>
    <n v="17612"/>
    <x v="6"/>
    <n v="1468"/>
  </r>
  <r>
    <n v="79"/>
    <x v="2"/>
    <x v="2"/>
    <x v="0"/>
    <x v="0"/>
    <x v="78"/>
    <n v="17612"/>
    <x v="7"/>
    <n v="1468"/>
  </r>
  <r>
    <n v="79"/>
    <x v="2"/>
    <x v="2"/>
    <x v="0"/>
    <x v="0"/>
    <x v="78"/>
    <n v="17612"/>
    <x v="8"/>
    <n v="1468"/>
  </r>
  <r>
    <n v="79"/>
    <x v="2"/>
    <x v="2"/>
    <x v="0"/>
    <x v="0"/>
    <x v="78"/>
    <n v="17612"/>
    <x v="9"/>
    <n v="1468"/>
  </r>
  <r>
    <n v="79"/>
    <x v="2"/>
    <x v="2"/>
    <x v="0"/>
    <x v="0"/>
    <x v="78"/>
    <n v="17612"/>
    <x v="10"/>
    <n v="1468"/>
  </r>
  <r>
    <n v="79"/>
    <x v="2"/>
    <x v="2"/>
    <x v="0"/>
    <x v="0"/>
    <x v="78"/>
    <n v="17612"/>
    <x v="11"/>
    <n v="1468"/>
  </r>
  <r>
    <n v="80"/>
    <x v="1"/>
    <x v="3"/>
    <x v="0"/>
    <x v="0"/>
    <x v="79"/>
    <n v="13905"/>
    <x v="0"/>
    <n v="1159"/>
  </r>
  <r>
    <n v="80"/>
    <x v="1"/>
    <x v="3"/>
    <x v="0"/>
    <x v="0"/>
    <x v="79"/>
    <n v="13905"/>
    <x v="1"/>
    <n v="1159"/>
  </r>
  <r>
    <n v="80"/>
    <x v="1"/>
    <x v="3"/>
    <x v="0"/>
    <x v="0"/>
    <x v="79"/>
    <n v="13905"/>
    <x v="2"/>
    <n v="1159"/>
  </r>
  <r>
    <n v="80"/>
    <x v="1"/>
    <x v="3"/>
    <x v="0"/>
    <x v="0"/>
    <x v="79"/>
    <n v="13905"/>
    <x v="3"/>
    <n v="1159"/>
  </r>
  <r>
    <n v="80"/>
    <x v="1"/>
    <x v="3"/>
    <x v="0"/>
    <x v="0"/>
    <x v="79"/>
    <n v="13905"/>
    <x v="4"/>
    <n v="1159"/>
  </r>
  <r>
    <n v="80"/>
    <x v="1"/>
    <x v="3"/>
    <x v="0"/>
    <x v="0"/>
    <x v="79"/>
    <n v="13905"/>
    <x v="5"/>
    <n v="1159"/>
  </r>
  <r>
    <n v="80"/>
    <x v="1"/>
    <x v="3"/>
    <x v="0"/>
    <x v="0"/>
    <x v="79"/>
    <n v="13905"/>
    <x v="6"/>
    <n v="1159"/>
  </r>
  <r>
    <n v="80"/>
    <x v="1"/>
    <x v="3"/>
    <x v="0"/>
    <x v="0"/>
    <x v="79"/>
    <n v="13905"/>
    <x v="7"/>
    <n v="1159"/>
  </r>
  <r>
    <n v="80"/>
    <x v="1"/>
    <x v="3"/>
    <x v="0"/>
    <x v="0"/>
    <x v="79"/>
    <n v="13905"/>
    <x v="8"/>
    <n v="1159"/>
  </r>
  <r>
    <n v="80"/>
    <x v="1"/>
    <x v="3"/>
    <x v="0"/>
    <x v="0"/>
    <x v="79"/>
    <n v="13905"/>
    <x v="9"/>
    <n v="1159"/>
  </r>
  <r>
    <n v="80"/>
    <x v="1"/>
    <x v="3"/>
    <x v="0"/>
    <x v="0"/>
    <x v="79"/>
    <n v="13905"/>
    <x v="10"/>
    <n v="1159"/>
  </r>
  <r>
    <n v="80"/>
    <x v="1"/>
    <x v="3"/>
    <x v="0"/>
    <x v="0"/>
    <x v="79"/>
    <n v="13905"/>
    <x v="11"/>
    <n v="1159"/>
  </r>
  <r>
    <n v="81"/>
    <x v="2"/>
    <x v="0"/>
    <x v="0"/>
    <x v="0"/>
    <x v="80"/>
    <n v="22142"/>
    <x v="0"/>
    <n v="1071"/>
  </r>
  <r>
    <n v="81"/>
    <x v="2"/>
    <x v="0"/>
    <x v="0"/>
    <x v="0"/>
    <x v="80"/>
    <n v="22142"/>
    <x v="1"/>
    <n v="1071"/>
  </r>
  <r>
    <n v="81"/>
    <x v="2"/>
    <x v="0"/>
    <x v="0"/>
    <x v="0"/>
    <x v="80"/>
    <n v="22142"/>
    <x v="2"/>
    <n v="2000"/>
  </r>
  <r>
    <n v="81"/>
    <x v="2"/>
    <x v="0"/>
    <x v="0"/>
    <x v="0"/>
    <x v="80"/>
    <n v="22142"/>
    <x v="3"/>
    <n v="2000"/>
  </r>
  <r>
    <n v="81"/>
    <x v="2"/>
    <x v="0"/>
    <x v="0"/>
    <x v="0"/>
    <x v="80"/>
    <n v="22142"/>
    <x v="4"/>
    <n v="2000"/>
  </r>
  <r>
    <n v="81"/>
    <x v="2"/>
    <x v="0"/>
    <x v="0"/>
    <x v="0"/>
    <x v="80"/>
    <n v="22142"/>
    <x v="5"/>
    <n v="2000"/>
  </r>
  <r>
    <n v="81"/>
    <x v="2"/>
    <x v="0"/>
    <x v="0"/>
    <x v="0"/>
    <x v="80"/>
    <n v="22142"/>
    <x v="6"/>
    <n v="2000"/>
  </r>
  <r>
    <n v="81"/>
    <x v="2"/>
    <x v="0"/>
    <x v="0"/>
    <x v="0"/>
    <x v="80"/>
    <n v="22142"/>
    <x v="7"/>
    <n v="2000"/>
  </r>
  <r>
    <n v="81"/>
    <x v="2"/>
    <x v="0"/>
    <x v="0"/>
    <x v="0"/>
    <x v="80"/>
    <n v="22142"/>
    <x v="8"/>
    <n v="2000"/>
  </r>
  <r>
    <n v="81"/>
    <x v="2"/>
    <x v="0"/>
    <x v="0"/>
    <x v="0"/>
    <x v="80"/>
    <n v="22142"/>
    <x v="9"/>
    <n v="2000"/>
  </r>
  <r>
    <n v="81"/>
    <x v="2"/>
    <x v="0"/>
    <x v="0"/>
    <x v="0"/>
    <x v="80"/>
    <n v="22142"/>
    <x v="10"/>
    <n v="2000"/>
  </r>
  <r>
    <n v="81"/>
    <x v="2"/>
    <x v="0"/>
    <x v="0"/>
    <x v="0"/>
    <x v="80"/>
    <n v="22142"/>
    <x v="11"/>
    <n v="2000"/>
  </r>
  <r>
    <n v="82"/>
    <x v="1"/>
    <x v="1"/>
    <x v="0"/>
    <x v="0"/>
    <x v="81"/>
    <n v="86684"/>
    <x v="0"/>
    <n v="7224"/>
  </r>
  <r>
    <n v="82"/>
    <x v="1"/>
    <x v="1"/>
    <x v="0"/>
    <x v="0"/>
    <x v="81"/>
    <n v="86684"/>
    <x v="1"/>
    <n v="7224"/>
  </r>
  <r>
    <n v="82"/>
    <x v="1"/>
    <x v="1"/>
    <x v="0"/>
    <x v="0"/>
    <x v="81"/>
    <n v="86684"/>
    <x v="2"/>
    <n v="7224"/>
  </r>
  <r>
    <n v="82"/>
    <x v="1"/>
    <x v="1"/>
    <x v="0"/>
    <x v="0"/>
    <x v="81"/>
    <n v="86684"/>
    <x v="3"/>
    <n v="7224"/>
  </r>
  <r>
    <n v="82"/>
    <x v="1"/>
    <x v="1"/>
    <x v="0"/>
    <x v="0"/>
    <x v="81"/>
    <n v="86684"/>
    <x v="4"/>
    <n v="7224"/>
  </r>
  <r>
    <n v="82"/>
    <x v="1"/>
    <x v="1"/>
    <x v="0"/>
    <x v="0"/>
    <x v="81"/>
    <n v="86684"/>
    <x v="5"/>
    <n v="7224"/>
  </r>
  <r>
    <n v="82"/>
    <x v="1"/>
    <x v="1"/>
    <x v="0"/>
    <x v="0"/>
    <x v="81"/>
    <n v="86684"/>
    <x v="6"/>
    <n v="7224"/>
  </r>
  <r>
    <n v="82"/>
    <x v="1"/>
    <x v="1"/>
    <x v="0"/>
    <x v="0"/>
    <x v="81"/>
    <n v="86684"/>
    <x v="7"/>
    <n v="7224"/>
  </r>
  <r>
    <n v="82"/>
    <x v="1"/>
    <x v="1"/>
    <x v="0"/>
    <x v="0"/>
    <x v="81"/>
    <n v="86684"/>
    <x v="8"/>
    <n v="7224"/>
  </r>
  <r>
    <n v="82"/>
    <x v="1"/>
    <x v="1"/>
    <x v="0"/>
    <x v="0"/>
    <x v="81"/>
    <n v="86684"/>
    <x v="9"/>
    <n v="7224"/>
  </r>
  <r>
    <n v="82"/>
    <x v="1"/>
    <x v="1"/>
    <x v="0"/>
    <x v="0"/>
    <x v="81"/>
    <n v="86684"/>
    <x v="10"/>
    <n v="7224"/>
  </r>
  <r>
    <n v="82"/>
    <x v="1"/>
    <x v="1"/>
    <x v="0"/>
    <x v="0"/>
    <x v="81"/>
    <n v="86684"/>
    <x v="11"/>
    <n v="7224"/>
  </r>
  <r>
    <n v="83"/>
    <x v="2"/>
    <x v="2"/>
    <x v="0"/>
    <x v="0"/>
    <x v="82"/>
    <n v="14400"/>
    <x v="0"/>
    <n v="1200"/>
  </r>
  <r>
    <n v="83"/>
    <x v="2"/>
    <x v="2"/>
    <x v="0"/>
    <x v="0"/>
    <x v="82"/>
    <n v="14400"/>
    <x v="1"/>
    <n v="1200"/>
  </r>
  <r>
    <n v="83"/>
    <x v="2"/>
    <x v="2"/>
    <x v="0"/>
    <x v="0"/>
    <x v="82"/>
    <n v="14400"/>
    <x v="2"/>
    <n v="1200"/>
  </r>
  <r>
    <n v="83"/>
    <x v="2"/>
    <x v="2"/>
    <x v="0"/>
    <x v="0"/>
    <x v="82"/>
    <n v="14400"/>
    <x v="3"/>
    <n v="1200"/>
  </r>
  <r>
    <n v="83"/>
    <x v="2"/>
    <x v="2"/>
    <x v="0"/>
    <x v="0"/>
    <x v="82"/>
    <n v="14400"/>
    <x v="4"/>
    <n v="1200"/>
  </r>
  <r>
    <n v="83"/>
    <x v="2"/>
    <x v="2"/>
    <x v="0"/>
    <x v="0"/>
    <x v="82"/>
    <n v="14400"/>
    <x v="5"/>
    <n v="1200"/>
  </r>
  <r>
    <n v="83"/>
    <x v="2"/>
    <x v="2"/>
    <x v="0"/>
    <x v="0"/>
    <x v="82"/>
    <n v="14400"/>
    <x v="6"/>
    <n v="1200"/>
  </r>
  <r>
    <n v="83"/>
    <x v="2"/>
    <x v="2"/>
    <x v="0"/>
    <x v="0"/>
    <x v="82"/>
    <n v="14400"/>
    <x v="7"/>
    <n v="1200"/>
  </r>
  <r>
    <n v="83"/>
    <x v="2"/>
    <x v="2"/>
    <x v="0"/>
    <x v="0"/>
    <x v="82"/>
    <n v="14400"/>
    <x v="8"/>
    <n v="1200"/>
  </r>
  <r>
    <n v="83"/>
    <x v="2"/>
    <x v="2"/>
    <x v="0"/>
    <x v="0"/>
    <x v="82"/>
    <n v="14400"/>
    <x v="9"/>
    <n v="1200"/>
  </r>
  <r>
    <n v="83"/>
    <x v="2"/>
    <x v="2"/>
    <x v="0"/>
    <x v="0"/>
    <x v="82"/>
    <n v="14400"/>
    <x v="10"/>
    <n v="1200"/>
  </r>
  <r>
    <n v="83"/>
    <x v="2"/>
    <x v="2"/>
    <x v="0"/>
    <x v="0"/>
    <x v="82"/>
    <n v="14400"/>
    <x v="11"/>
    <n v="1200"/>
  </r>
  <r>
    <n v="84"/>
    <x v="0"/>
    <x v="3"/>
    <x v="0"/>
    <x v="0"/>
    <x v="83"/>
    <n v="16000"/>
    <x v="0"/>
    <n v="1000"/>
  </r>
  <r>
    <n v="84"/>
    <x v="0"/>
    <x v="3"/>
    <x v="0"/>
    <x v="0"/>
    <x v="83"/>
    <n v="16000"/>
    <x v="1"/>
    <n v="2000"/>
  </r>
  <r>
    <n v="84"/>
    <x v="0"/>
    <x v="3"/>
    <x v="0"/>
    <x v="0"/>
    <x v="83"/>
    <n v="16000"/>
    <x v="2"/>
    <n v="1500"/>
  </r>
  <r>
    <n v="84"/>
    <x v="0"/>
    <x v="3"/>
    <x v="0"/>
    <x v="0"/>
    <x v="83"/>
    <n v="16000"/>
    <x v="3"/>
    <n v="1500"/>
  </r>
  <r>
    <n v="84"/>
    <x v="0"/>
    <x v="3"/>
    <x v="0"/>
    <x v="0"/>
    <x v="83"/>
    <n v="16000"/>
    <x v="4"/>
    <n v="1000"/>
  </r>
  <r>
    <n v="84"/>
    <x v="0"/>
    <x v="3"/>
    <x v="0"/>
    <x v="0"/>
    <x v="83"/>
    <n v="16000"/>
    <x v="5"/>
    <n v="1000"/>
  </r>
  <r>
    <n v="84"/>
    <x v="0"/>
    <x v="3"/>
    <x v="0"/>
    <x v="0"/>
    <x v="83"/>
    <n v="16000"/>
    <x v="6"/>
    <n v="1000"/>
  </r>
  <r>
    <n v="84"/>
    <x v="0"/>
    <x v="3"/>
    <x v="0"/>
    <x v="0"/>
    <x v="83"/>
    <n v="16000"/>
    <x v="7"/>
    <n v="1000"/>
  </r>
  <r>
    <n v="84"/>
    <x v="0"/>
    <x v="3"/>
    <x v="0"/>
    <x v="0"/>
    <x v="83"/>
    <n v="16000"/>
    <x v="8"/>
    <n v="1000"/>
  </r>
  <r>
    <n v="84"/>
    <x v="0"/>
    <x v="3"/>
    <x v="0"/>
    <x v="0"/>
    <x v="83"/>
    <n v="16000"/>
    <x v="9"/>
    <n v="3000"/>
  </r>
  <r>
    <n v="84"/>
    <x v="0"/>
    <x v="3"/>
    <x v="0"/>
    <x v="0"/>
    <x v="83"/>
    <n v="16000"/>
    <x v="10"/>
    <n v="1000"/>
  </r>
  <r>
    <n v="84"/>
    <x v="0"/>
    <x v="3"/>
    <x v="0"/>
    <x v="0"/>
    <x v="83"/>
    <n v="16000"/>
    <x v="11"/>
    <n v="1000"/>
  </r>
  <r>
    <n v="85"/>
    <x v="2"/>
    <x v="1"/>
    <x v="0"/>
    <x v="0"/>
    <x v="84"/>
    <n v="36000"/>
    <x v="0"/>
    <n v="3000"/>
  </r>
  <r>
    <n v="85"/>
    <x v="2"/>
    <x v="1"/>
    <x v="0"/>
    <x v="0"/>
    <x v="84"/>
    <n v="36000"/>
    <x v="1"/>
    <n v="3000"/>
  </r>
  <r>
    <n v="85"/>
    <x v="2"/>
    <x v="1"/>
    <x v="0"/>
    <x v="0"/>
    <x v="84"/>
    <n v="36000"/>
    <x v="2"/>
    <n v="3000"/>
  </r>
  <r>
    <n v="85"/>
    <x v="2"/>
    <x v="1"/>
    <x v="0"/>
    <x v="0"/>
    <x v="84"/>
    <n v="36000"/>
    <x v="3"/>
    <n v="3000"/>
  </r>
  <r>
    <n v="85"/>
    <x v="2"/>
    <x v="1"/>
    <x v="0"/>
    <x v="0"/>
    <x v="84"/>
    <n v="36000"/>
    <x v="4"/>
    <n v="3000"/>
  </r>
  <r>
    <n v="85"/>
    <x v="2"/>
    <x v="1"/>
    <x v="0"/>
    <x v="0"/>
    <x v="84"/>
    <n v="36000"/>
    <x v="5"/>
    <n v="3000"/>
  </r>
  <r>
    <n v="85"/>
    <x v="2"/>
    <x v="1"/>
    <x v="0"/>
    <x v="0"/>
    <x v="84"/>
    <n v="36000"/>
    <x v="6"/>
    <n v="3000"/>
  </r>
  <r>
    <n v="85"/>
    <x v="2"/>
    <x v="1"/>
    <x v="0"/>
    <x v="0"/>
    <x v="84"/>
    <n v="36000"/>
    <x v="7"/>
    <n v="3000"/>
  </r>
  <r>
    <n v="85"/>
    <x v="2"/>
    <x v="1"/>
    <x v="0"/>
    <x v="0"/>
    <x v="84"/>
    <n v="36000"/>
    <x v="8"/>
    <n v="3000"/>
  </r>
  <r>
    <n v="85"/>
    <x v="2"/>
    <x v="1"/>
    <x v="0"/>
    <x v="0"/>
    <x v="84"/>
    <n v="36000"/>
    <x v="9"/>
    <n v="3000"/>
  </r>
  <r>
    <n v="85"/>
    <x v="2"/>
    <x v="1"/>
    <x v="0"/>
    <x v="0"/>
    <x v="84"/>
    <n v="36000"/>
    <x v="10"/>
    <n v="3000"/>
  </r>
  <r>
    <n v="85"/>
    <x v="2"/>
    <x v="1"/>
    <x v="0"/>
    <x v="0"/>
    <x v="84"/>
    <n v="36000"/>
    <x v="11"/>
    <n v="3000"/>
  </r>
  <r>
    <n v="86"/>
    <x v="2"/>
    <x v="2"/>
    <x v="0"/>
    <x v="0"/>
    <x v="85"/>
    <n v="45888"/>
    <x v="0"/>
    <n v="3824"/>
  </r>
  <r>
    <n v="86"/>
    <x v="2"/>
    <x v="2"/>
    <x v="0"/>
    <x v="0"/>
    <x v="85"/>
    <n v="45888"/>
    <x v="1"/>
    <n v="3824"/>
  </r>
  <r>
    <n v="86"/>
    <x v="2"/>
    <x v="2"/>
    <x v="0"/>
    <x v="0"/>
    <x v="85"/>
    <n v="45888"/>
    <x v="2"/>
    <n v="3824"/>
  </r>
  <r>
    <n v="86"/>
    <x v="2"/>
    <x v="2"/>
    <x v="0"/>
    <x v="0"/>
    <x v="85"/>
    <n v="45888"/>
    <x v="3"/>
    <n v="3824"/>
  </r>
  <r>
    <n v="86"/>
    <x v="2"/>
    <x v="2"/>
    <x v="0"/>
    <x v="0"/>
    <x v="85"/>
    <n v="45888"/>
    <x v="4"/>
    <n v="3824"/>
  </r>
  <r>
    <n v="86"/>
    <x v="2"/>
    <x v="2"/>
    <x v="0"/>
    <x v="0"/>
    <x v="85"/>
    <n v="45888"/>
    <x v="5"/>
    <n v="3824"/>
  </r>
  <r>
    <n v="86"/>
    <x v="2"/>
    <x v="2"/>
    <x v="0"/>
    <x v="0"/>
    <x v="85"/>
    <n v="45888"/>
    <x v="6"/>
    <n v="3824"/>
  </r>
  <r>
    <n v="86"/>
    <x v="2"/>
    <x v="2"/>
    <x v="0"/>
    <x v="0"/>
    <x v="85"/>
    <n v="45888"/>
    <x v="7"/>
    <n v="3824"/>
  </r>
  <r>
    <n v="86"/>
    <x v="2"/>
    <x v="2"/>
    <x v="0"/>
    <x v="0"/>
    <x v="85"/>
    <n v="45888"/>
    <x v="8"/>
    <n v="3824"/>
  </r>
  <r>
    <n v="86"/>
    <x v="2"/>
    <x v="2"/>
    <x v="0"/>
    <x v="0"/>
    <x v="85"/>
    <n v="45888"/>
    <x v="9"/>
    <n v="3824"/>
  </r>
  <r>
    <n v="86"/>
    <x v="2"/>
    <x v="2"/>
    <x v="0"/>
    <x v="0"/>
    <x v="85"/>
    <n v="45888"/>
    <x v="10"/>
    <n v="3824"/>
  </r>
  <r>
    <n v="86"/>
    <x v="2"/>
    <x v="2"/>
    <x v="0"/>
    <x v="0"/>
    <x v="85"/>
    <n v="45888"/>
    <x v="11"/>
    <n v="3824"/>
  </r>
  <r>
    <n v="87"/>
    <x v="2"/>
    <x v="2"/>
    <x v="0"/>
    <x v="0"/>
    <x v="86"/>
    <n v="7428"/>
    <x v="0"/>
    <n v="2476"/>
  </r>
  <r>
    <n v="87"/>
    <x v="2"/>
    <x v="2"/>
    <x v="0"/>
    <x v="0"/>
    <x v="86"/>
    <n v="7428"/>
    <x v="1"/>
    <n v="2476"/>
  </r>
  <r>
    <n v="87"/>
    <x v="2"/>
    <x v="2"/>
    <x v="0"/>
    <x v="0"/>
    <x v="86"/>
    <n v="7428"/>
    <x v="2"/>
    <n v="2476"/>
  </r>
  <r>
    <n v="87"/>
    <x v="2"/>
    <x v="2"/>
    <x v="0"/>
    <x v="0"/>
    <x v="86"/>
    <n v="7428"/>
    <x v="3"/>
    <n v="0"/>
  </r>
  <r>
    <n v="87"/>
    <x v="2"/>
    <x v="2"/>
    <x v="0"/>
    <x v="0"/>
    <x v="86"/>
    <n v="7428"/>
    <x v="4"/>
    <n v="0"/>
  </r>
  <r>
    <n v="87"/>
    <x v="2"/>
    <x v="2"/>
    <x v="0"/>
    <x v="0"/>
    <x v="86"/>
    <n v="7428"/>
    <x v="5"/>
    <n v="0"/>
  </r>
  <r>
    <n v="87"/>
    <x v="2"/>
    <x v="2"/>
    <x v="0"/>
    <x v="0"/>
    <x v="86"/>
    <n v="7428"/>
    <x v="6"/>
    <n v="0"/>
  </r>
  <r>
    <n v="87"/>
    <x v="2"/>
    <x v="2"/>
    <x v="0"/>
    <x v="0"/>
    <x v="86"/>
    <n v="7428"/>
    <x v="7"/>
    <n v="0"/>
  </r>
  <r>
    <n v="87"/>
    <x v="2"/>
    <x v="2"/>
    <x v="0"/>
    <x v="0"/>
    <x v="86"/>
    <n v="7428"/>
    <x v="8"/>
    <n v="0"/>
  </r>
  <r>
    <n v="87"/>
    <x v="2"/>
    <x v="2"/>
    <x v="0"/>
    <x v="0"/>
    <x v="86"/>
    <n v="7428"/>
    <x v="9"/>
    <n v="0"/>
  </r>
  <r>
    <n v="87"/>
    <x v="2"/>
    <x v="2"/>
    <x v="0"/>
    <x v="0"/>
    <x v="86"/>
    <n v="7428"/>
    <x v="10"/>
    <n v="0"/>
  </r>
  <r>
    <n v="87"/>
    <x v="2"/>
    <x v="2"/>
    <x v="0"/>
    <x v="0"/>
    <x v="86"/>
    <n v="7428"/>
    <x v="11"/>
    <n v="0"/>
  </r>
  <r>
    <n v="88"/>
    <x v="1"/>
    <x v="3"/>
    <x v="0"/>
    <x v="0"/>
    <x v="87"/>
    <n v="700"/>
    <x v="0"/>
    <n v="0"/>
  </r>
  <r>
    <n v="88"/>
    <x v="1"/>
    <x v="3"/>
    <x v="0"/>
    <x v="0"/>
    <x v="87"/>
    <n v="700"/>
    <x v="1"/>
    <n v="500"/>
  </r>
  <r>
    <n v="88"/>
    <x v="1"/>
    <x v="3"/>
    <x v="0"/>
    <x v="0"/>
    <x v="87"/>
    <n v="700"/>
    <x v="2"/>
    <n v="0"/>
  </r>
  <r>
    <n v="88"/>
    <x v="1"/>
    <x v="3"/>
    <x v="0"/>
    <x v="0"/>
    <x v="87"/>
    <n v="700"/>
    <x v="3"/>
    <n v="0"/>
  </r>
  <r>
    <n v="88"/>
    <x v="1"/>
    <x v="3"/>
    <x v="0"/>
    <x v="0"/>
    <x v="87"/>
    <n v="700"/>
    <x v="4"/>
    <n v="0"/>
  </r>
  <r>
    <n v="88"/>
    <x v="1"/>
    <x v="3"/>
    <x v="0"/>
    <x v="0"/>
    <x v="87"/>
    <n v="700"/>
    <x v="5"/>
    <n v="0"/>
  </r>
  <r>
    <n v="88"/>
    <x v="1"/>
    <x v="3"/>
    <x v="0"/>
    <x v="0"/>
    <x v="87"/>
    <n v="700"/>
    <x v="6"/>
    <n v="0"/>
  </r>
  <r>
    <n v="88"/>
    <x v="1"/>
    <x v="3"/>
    <x v="0"/>
    <x v="0"/>
    <x v="87"/>
    <n v="700"/>
    <x v="7"/>
    <n v="0"/>
  </r>
  <r>
    <n v="88"/>
    <x v="1"/>
    <x v="3"/>
    <x v="0"/>
    <x v="0"/>
    <x v="87"/>
    <n v="700"/>
    <x v="8"/>
    <n v="200"/>
  </r>
  <r>
    <n v="88"/>
    <x v="1"/>
    <x v="3"/>
    <x v="0"/>
    <x v="0"/>
    <x v="87"/>
    <n v="700"/>
    <x v="9"/>
    <n v="0"/>
  </r>
  <r>
    <n v="88"/>
    <x v="1"/>
    <x v="3"/>
    <x v="0"/>
    <x v="0"/>
    <x v="87"/>
    <n v="700"/>
    <x v="10"/>
    <n v="0"/>
  </r>
  <r>
    <n v="88"/>
    <x v="1"/>
    <x v="3"/>
    <x v="0"/>
    <x v="0"/>
    <x v="87"/>
    <n v="700"/>
    <x v="11"/>
    <n v="0"/>
  </r>
  <r>
    <n v="89"/>
    <x v="1"/>
    <x v="0"/>
    <x v="0"/>
    <x v="0"/>
    <x v="88"/>
    <n v="97573"/>
    <x v="0"/>
    <n v="8131"/>
  </r>
  <r>
    <n v="89"/>
    <x v="1"/>
    <x v="0"/>
    <x v="0"/>
    <x v="0"/>
    <x v="88"/>
    <n v="97573"/>
    <x v="1"/>
    <n v="8131"/>
  </r>
  <r>
    <n v="89"/>
    <x v="1"/>
    <x v="0"/>
    <x v="0"/>
    <x v="0"/>
    <x v="88"/>
    <n v="97573"/>
    <x v="2"/>
    <n v="8131"/>
  </r>
  <r>
    <n v="89"/>
    <x v="1"/>
    <x v="0"/>
    <x v="0"/>
    <x v="0"/>
    <x v="88"/>
    <n v="97573"/>
    <x v="3"/>
    <n v="8131"/>
  </r>
  <r>
    <n v="89"/>
    <x v="1"/>
    <x v="0"/>
    <x v="0"/>
    <x v="0"/>
    <x v="88"/>
    <n v="97573"/>
    <x v="4"/>
    <n v="8131"/>
  </r>
  <r>
    <n v="89"/>
    <x v="1"/>
    <x v="0"/>
    <x v="0"/>
    <x v="0"/>
    <x v="88"/>
    <n v="97573"/>
    <x v="5"/>
    <n v="8131"/>
  </r>
  <r>
    <n v="89"/>
    <x v="1"/>
    <x v="0"/>
    <x v="0"/>
    <x v="0"/>
    <x v="88"/>
    <n v="97573"/>
    <x v="6"/>
    <n v="8131"/>
  </r>
  <r>
    <n v="89"/>
    <x v="1"/>
    <x v="0"/>
    <x v="0"/>
    <x v="0"/>
    <x v="88"/>
    <n v="97573"/>
    <x v="7"/>
    <n v="8131"/>
  </r>
  <r>
    <n v="89"/>
    <x v="1"/>
    <x v="0"/>
    <x v="0"/>
    <x v="0"/>
    <x v="88"/>
    <n v="97573"/>
    <x v="8"/>
    <n v="8131"/>
  </r>
  <r>
    <n v="89"/>
    <x v="1"/>
    <x v="0"/>
    <x v="0"/>
    <x v="0"/>
    <x v="88"/>
    <n v="97573"/>
    <x v="9"/>
    <n v="8131"/>
  </r>
  <r>
    <n v="89"/>
    <x v="1"/>
    <x v="0"/>
    <x v="0"/>
    <x v="0"/>
    <x v="88"/>
    <n v="97573"/>
    <x v="10"/>
    <n v="8131"/>
  </r>
  <r>
    <n v="89"/>
    <x v="1"/>
    <x v="0"/>
    <x v="0"/>
    <x v="0"/>
    <x v="88"/>
    <n v="97573"/>
    <x v="11"/>
    <n v="8131"/>
  </r>
  <r>
    <n v="90"/>
    <x v="1"/>
    <x v="1"/>
    <x v="0"/>
    <x v="0"/>
    <x v="89"/>
    <n v="0"/>
    <x v="0"/>
    <n v="0"/>
  </r>
  <r>
    <n v="90"/>
    <x v="1"/>
    <x v="1"/>
    <x v="0"/>
    <x v="0"/>
    <x v="89"/>
    <n v="0"/>
    <x v="1"/>
    <n v="0"/>
  </r>
  <r>
    <n v="90"/>
    <x v="1"/>
    <x v="1"/>
    <x v="0"/>
    <x v="0"/>
    <x v="89"/>
    <n v="0"/>
    <x v="2"/>
    <n v="0"/>
  </r>
  <r>
    <n v="90"/>
    <x v="1"/>
    <x v="1"/>
    <x v="0"/>
    <x v="0"/>
    <x v="89"/>
    <n v="0"/>
    <x v="3"/>
    <n v="0"/>
  </r>
  <r>
    <n v="90"/>
    <x v="1"/>
    <x v="1"/>
    <x v="0"/>
    <x v="0"/>
    <x v="89"/>
    <n v="0"/>
    <x v="4"/>
    <n v="0"/>
  </r>
  <r>
    <n v="90"/>
    <x v="1"/>
    <x v="1"/>
    <x v="0"/>
    <x v="0"/>
    <x v="89"/>
    <n v="0"/>
    <x v="5"/>
    <n v="0"/>
  </r>
  <r>
    <n v="90"/>
    <x v="1"/>
    <x v="1"/>
    <x v="0"/>
    <x v="0"/>
    <x v="89"/>
    <n v="0"/>
    <x v="6"/>
    <n v="0"/>
  </r>
  <r>
    <n v="90"/>
    <x v="1"/>
    <x v="1"/>
    <x v="0"/>
    <x v="0"/>
    <x v="89"/>
    <n v="0"/>
    <x v="7"/>
    <n v="0"/>
  </r>
  <r>
    <n v="90"/>
    <x v="1"/>
    <x v="1"/>
    <x v="0"/>
    <x v="0"/>
    <x v="89"/>
    <n v="0"/>
    <x v="8"/>
    <n v="0"/>
  </r>
  <r>
    <n v="90"/>
    <x v="1"/>
    <x v="1"/>
    <x v="0"/>
    <x v="0"/>
    <x v="89"/>
    <n v="0"/>
    <x v="9"/>
    <n v="0"/>
  </r>
  <r>
    <n v="90"/>
    <x v="1"/>
    <x v="1"/>
    <x v="0"/>
    <x v="0"/>
    <x v="89"/>
    <n v="0"/>
    <x v="10"/>
    <n v="0"/>
  </r>
  <r>
    <n v="90"/>
    <x v="1"/>
    <x v="1"/>
    <x v="0"/>
    <x v="0"/>
    <x v="89"/>
    <n v="0"/>
    <x v="11"/>
    <n v="0"/>
  </r>
  <r>
    <n v="91"/>
    <x v="1"/>
    <x v="0"/>
    <x v="0"/>
    <x v="0"/>
    <x v="90"/>
    <n v="46000"/>
    <x v="0"/>
    <n v="2000"/>
  </r>
  <r>
    <n v="91"/>
    <x v="1"/>
    <x v="0"/>
    <x v="0"/>
    <x v="0"/>
    <x v="90"/>
    <n v="46000"/>
    <x v="1"/>
    <n v="4000"/>
  </r>
  <r>
    <n v="91"/>
    <x v="1"/>
    <x v="0"/>
    <x v="0"/>
    <x v="0"/>
    <x v="90"/>
    <n v="46000"/>
    <x v="2"/>
    <n v="4000"/>
  </r>
  <r>
    <n v="91"/>
    <x v="1"/>
    <x v="0"/>
    <x v="0"/>
    <x v="0"/>
    <x v="90"/>
    <n v="46000"/>
    <x v="3"/>
    <n v="4000"/>
  </r>
  <r>
    <n v="91"/>
    <x v="1"/>
    <x v="0"/>
    <x v="0"/>
    <x v="0"/>
    <x v="90"/>
    <n v="46000"/>
    <x v="4"/>
    <n v="4000"/>
  </r>
  <r>
    <n v="91"/>
    <x v="1"/>
    <x v="0"/>
    <x v="0"/>
    <x v="0"/>
    <x v="90"/>
    <n v="46000"/>
    <x v="5"/>
    <n v="4000"/>
  </r>
  <r>
    <n v="91"/>
    <x v="1"/>
    <x v="0"/>
    <x v="0"/>
    <x v="0"/>
    <x v="90"/>
    <n v="46000"/>
    <x v="6"/>
    <n v="4000"/>
  </r>
  <r>
    <n v="91"/>
    <x v="1"/>
    <x v="0"/>
    <x v="0"/>
    <x v="0"/>
    <x v="90"/>
    <n v="46000"/>
    <x v="7"/>
    <n v="4000"/>
  </r>
  <r>
    <n v="91"/>
    <x v="1"/>
    <x v="0"/>
    <x v="0"/>
    <x v="0"/>
    <x v="90"/>
    <n v="46000"/>
    <x v="8"/>
    <n v="4000"/>
  </r>
  <r>
    <n v="91"/>
    <x v="1"/>
    <x v="0"/>
    <x v="0"/>
    <x v="0"/>
    <x v="90"/>
    <n v="46000"/>
    <x v="9"/>
    <n v="4000"/>
  </r>
  <r>
    <n v="91"/>
    <x v="1"/>
    <x v="0"/>
    <x v="0"/>
    <x v="0"/>
    <x v="90"/>
    <n v="46000"/>
    <x v="10"/>
    <n v="4000"/>
  </r>
  <r>
    <n v="91"/>
    <x v="1"/>
    <x v="0"/>
    <x v="0"/>
    <x v="0"/>
    <x v="90"/>
    <n v="46000"/>
    <x v="11"/>
    <n v="4000"/>
  </r>
  <r>
    <n v="92"/>
    <x v="1"/>
    <x v="4"/>
    <x v="0"/>
    <x v="0"/>
    <x v="91"/>
    <n v="25000"/>
    <x v="0"/>
    <n v="0"/>
  </r>
  <r>
    <n v="92"/>
    <x v="1"/>
    <x v="4"/>
    <x v="0"/>
    <x v="0"/>
    <x v="91"/>
    <n v="25000"/>
    <x v="1"/>
    <n v="0"/>
  </r>
  <r>
    <n v="92"/>
    <x v="1"/>
    <x v="4"/>
    <x v="0"/>
    <x v="0"/>
    <x v="91"/>
    <n v="25000"/>
    <x v="2"/>
    <n v="2500"/>
  </r>
  <r>
    <n v="92"/>
    <x v="1"/>
    <x v="4"/>
    <x v="0"/>
    <x v="0"/>
    <x v="91"/>
    <n v="25000"/>
    <x v="3"/>
    <n v="2500"/>
  </r>
  <r>
    <n v="92"/>
    <x v="1"/>
    <x v="4"/>
    <x v="0"/>
    <x v="0"/>
    <x v="91"/>
    <n v="25000"/>
    <x v="4"/>
    <n v="2500"/>
  </r>
  <r>
    <n v="92"/>
    <x v="1"/>
    <x v="4"/>
    <x v="0"/>
    <x v="0"/>
    <x v="91"/>
    <n v="25000"/>
    <x v="5"/>
    <n v="2500"/>
  </r>
  <r>
    <n v="92"/>
    <x v="1"/>
    <x v="4"/>
    <x v="0"/>
    <x v="0"/>
    <x v="91"/>
    <n v="25000"/>
    <x v="6"/>
    <n v="2500"/>
  </r>
  <r>
    <n v="92"/>
    <x v="1"/>
    <x v="4"/>
    <x v="0"/>
    <x v="0"/>
    <x v="91"/>
    <n v="25000"/>
    <x v="7"/>
    <n v="2500"/>
  </r>
  <r>
    <n v="92"/>
    <x v="1"/>
    <x v="4"/>
    <x v="0"/>
    <x v="0"/>
    <x v="91"/>
    <n v="25000"/>
    <x v="8"/>
    <n v="2500"/>
  </r>
  <r>
    <n v="92"/>
    <x v="1"/>
    <x v="4"/>
    <x v="0"/>
    <x v="0"/>
    <x v="91"/>
    <n v="25000"/>
    <x v="9"/>
    <n v="2500"/>
  </r>
  <r>
    <n v="92"/>
    <x v="1"/>
    <x v="4"/>
    <x v="0"/>
    <x v="0"/>
    <x v="91"/>
    <n v="25000"/>
    <x v="10"/>
    <n v="2500"/>
  </r>
  <r>
    <n v="92"/>
    <x v="1"/>
    <x v="4"/>
    <x v="0"/>
    <x v="0"/>
    <x v="91"/>
    <n v="25000"/>
    <x v="11"/>
    <n v="2500"/>
  </r>
  <r>
    <n v="93"/>
    <x v="1"/>
    <x v="2"/>
    <x v="0"/>
    <x v="0"/>
    <x v="92"/>
    <n v="29163"/>
    <x v="0"/>
    <n v="2430"/>
  </r>
  <r>
    <n v="93"/>
    <x v="1"/>
    <x v="2"/>
    <x v="0"/>
    <x v="0"/>
    <x v="92"/>
    <n v="29163"/>
    <x v="1"/>
    <n v="2430"/>
  </r>
  <r>
    <n v="93"/>
    <x v="1"/>
    <x v="2"/>
    <x v="0"/>
    <x v="0"/>
    <x v="92"/>
    <n v="29163"/>
    <x v="2"/>
    <n v="2430"/>
  </r>
  <r>
    <n v="93"/>
    <x v="1"/>
    <x v="2"/>
    <x v="0"/>
    <x v="0"/>
    <x v="92"/>
    <n v="29163"/>
    <x v="3"/>
    <n v="2430"/>
  </r>
  <r>
    <n v="93"/>
    <x v="1"/>
    <x v="2"/>
    <x v="0"/>
    <x v="0"/>
    <x v="92"/>
    <n v="29163"/>
    <x v="4"/>
    <n v="2430"/>
  </r>
  <r>
    <n v="93"/>
    <x v="1"/>
    <x v="2"/>
    <x v="0"/>
    <x v="0"/>
    <x v="92"/>
    <n v="29163"/>
    <x v="5"/>
    <n v="2430"/>
  </r>
  <r>
    <n v="93"/>
    <x v="1"/>
    <x v="2"/>
    <x v="0"/>
    <x v="0"/>
    <x v="92"/>
    <n v="29163"/>
    <x v="6"/>
    <n v="2430"/>
  </r>
  <r>
    <n v="93"/>
    <x v="1"/>
    <x v="2"/>
    <x v="0"/>
    <x v="0"/>
    <x v="92"/>
    <n v="29163"/>
    <x v="7"/>
    <n v="2430"/>
  </r>
  <r>
    <n v="93"/>
    <x v="1"/>
    <x v="2"/>
    <x v="0"/>
    <x v="0"/>
    <x v="92"/>
    <n v="29163"/>
    <x v="8"/>
    <n v="2430"/>
  </r>
  <r>
    <n v="93"/>
    <x v="1"/>
    <x v="2"/>
    <x v="0"/>
    <x v="0"/>
    <x v="92"/>
    <n v="29163"/>
    <x v="9"/>
    <n v="2430"/>
  </r>
  <r>
    <n v="93"/>
    <x v="1"/>
    <x v="2"/>
    <x v="0"/>
    <x v="0"/>
    <x v="92"/>
    <n v="29163"/>
    <x v="10"/>
    <n v="2430"/>
  </r>
  <r>
    <n v="93"/>
    <x v="1"/>
    <x v="2"/>
    <x v="0"/>
    <x v="0"/>
    <x v="92"/>
    <n v="29163"/>
    <x v="11"/>
    <n v="243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0">
  <r>
    <s v="USA"/>
    <s v="Ingeniería"/>
    <x v="0"/>
    <x v="0"/>
    <x v="0"/>
    <x v="0"/>
  </r>
  <r>
    <s v="Chile"/>
    <s v="Ingeniería"/>
    <x v="1"/>
    <x v="1"/>
    <x v="1"/>
    <x v="1"/>
  </r>
  <r>
    <s v="Chile"/>
    <s v="Ingeniería"/>
    <x v="2"/>
    <x v="1"/>
    <x v="1"/>
    <x v="1"/>
  </r>
  <r>
    <s v="Chile"/>
    <s v="Ingeniería"/>
    <x v="3"/>
    <x v="2"/>
    <x v="2"/>
    <x v="2"/>
  </r>
  <r>
    <s v="Chile"/>
    <s v="Geomecánica"/>
    <x v="4"/>
    <x v="1"/>
    <x v="1"/>
    <x v="1"/>
  </r>
  <r>
    <s v="Chile"/>
    <s v="Geomecánica"/>
    <x v="5"/>
    <x v="3"/>
    <x v="3"/>
    <x v="2"/>
  </r>
  <r>
    <s v="Chile"/>
    <s v="Ingeniería"/>
    <x v="6"/>
    <x v="1"/>
    <x v="1"/>
    <x v="1"/>
  </r>
  <r>
    <s v="Chile"/>
    <s v="Ingeniería"/>
    <x v="7"/>
    <x v="3"/>
    <x v="3"/>
    <x v="2"/>
  </r>
  <r>
    <s v="Chile"/>
    <s v="Ingeniería"/>
    <x v="8"/>
    <x v="2"/>
    <x v="2"/>
    <x v="3"/>
  </r>
  <r>
    <s v="Chile"/>
    <s v="Geomecánica"/>
    <x v="9"/>
    <x v="2"/>
    <x v="2"/>
    <x v="2"/>
  </r>
  <r>
    <s v="Chile"/>
    <s v="Ingeniería"/>
    <x v="10"/>
    <x v="2"/>
    <x v="2"/>
    <x v="2"/>
  </r>
  <r>
    <s v="Chile"/>
    <s v="Ingeniería"/>
    <x v="11"/>
    <x v="2"/>
    <x v="2"/>
    <x v="3"/>
  </r>
  <r>
    <s v="Chile"/>
    <s v="Ingeniería"/>
    <x v="12"/>
    <x v="3"/>
    <x v="3"/>
    <x v="3"/>
  </r>
  <r>
    <s v="Chile"/>
    <s v="Ingeniería"/>
    <x v="13"/>
    <x v="3"/>
    <x v="3"/>
    <x v="2"/>
  </r>
  <r>
    <s v="Chile"/>
    <s v="Ingeniería"/>
    <x v="14"/>
    <x v="4"/>
    <x v="4"/>
    <x v="4"/>
  </r>
  <r>
    <s v="Perú"/>
    <s v="Ingeniería"/>
    <x v="15"/>
    <x v="3"/>
    <x v="3"/>
    <x v="3"/>
  </r>
  <r>
    <s v="USA"/>
    <s v="Ingeniería"/>
    <x v="16"/>
    <x v="4"/>
    <x v="4"/>
    <x v="4"/>
  </r>
  <r>
    <s v="Chile"/>
    <s v="Ingeniería"/>
    <x v="17"/>
    <x v="5"/>
    <x v="5"/>
    <x v="2"/>
  </r>
  <r>
    <s v="Chile"/>
    <s v="Ingeniería"/>
    <x v="18"/>
    <x v="5"/>
    <x v="5"/>
    <x v="2"/>
  </r>
  <r>
    <s v="Chile"/>
    <s v="Ingeniería"/>
    <x v="19"/>
    <x v="6"/>
    <x v="3"/>
    <x v="3"/>
  </r>
  <r>
    <s v="Chile"/>
    <s v="Ingeniería"/>
    <x v="20"/>
    <x v="5"/>
    <x v="5"/>
    <x v="2"/>
  </r>
  <r>
    <s v="Chile"/>
    <s v="Ingeniería"/>
    <x v="21"/>
    <x v="5"/>
    <x v="5"/>
    <x v="2"/>
  </r>
  <r>
    <s v="Chile"/>
    <s v="Ingeniería"/>
    <x v="22"/>
    <x v="5"/>
    <x v="5"/>
    <x v="2"/>
  </r>
  <r>
    <s v="Chile"/>
    <s v="Ingeniería"/>
    <x v="23"/>
    <x v="6"/>
    <x v="3"/>
    <x v="3"/>
  </r>
  <r>
    <s v="Chile"/>
    <s v="Ingeniería"/>
    <x v="24"/>
    <x v="5"/>
    <x v="5"/>
    <x v="2"/>
  </r>
  <r>
    <s v="Chile"/>
    <s v="Ingeniería"/>
    <x v="25"/>
    <x v="5"/>
    <x v="5"/>
    <x v="2"/>
  </r>
  <r>
    <s v="Chile"/>
    <s v="Ingeniería"/>
    <x v="26"/>
    <x v="5"/>
    <x v="5"/>
    <x v="2"/>
  </r>
  <r>
    <s v="Chile"/>
    <s v="Ingeniería"/>
    <x v="27"/>
    <x v="5"/>
    <x v="5"/>
    <x v="2"/>
  </r>
  <r>
    <s v="Perú"/>
    <s v="Ingeniería"/>
    <x v="28"/>
    <x v="5"/>
    <x v="5"/>
    <x v="2"/>
  </r>
  <r>
    <s v="Chile"/>
    <s v="Ingeniería"/>
    <x v="29"/>
    <x v="5"/>
    <x v="5"/>
    <x v="2"/>
  </r>
  <r>
    <s v="Chile"/>
    <s v="Geomecánica"/>
    <x v="30"/>
    <x v="4"/>
    <x v="4"/>
    <x v="4"/>
  </r>
  <r>
    <s v="Perú"/>
    <s v="Ingeniería"/>
    <x v="31"/>
    <x v="6"/>
    <x v="3"/>
    <x v="3"/>
  </r>
  <r>
    <s v="Chile"/>
    <s v="Ingeniería"/>
    <x v="32"/>
    <x v="5"/>
    <x v="5"/>
    <x v="2"/>
  </r>
  <r>
    <s v="Chile"/>
    <s v="Ingeniería"/>
    <x v="33"/>
    <x v="5"/>
    <x v="5"/>
    <x v="2"/>
  </r>
  <r>
    <s v="Perú"/>
    <s v="Geomecánica"/>
    <x v="34"/>
    <x v="6"/>
    <x v="3"/>
    <x v="2"/>
  </r>
  <r>
    <s v="Perú"/>
    <s v="Geomecánica"/>
    <x v="35"/>
    <x v="5"/>
    <x v="5"/>
    <x v="2"/>
  </r>
  <r>
    <s v="Perú"/>
    <s v="Geomecánica"/>
    <x v="36"/>
    <x v="5"/>
    <x v="5"/>
    <x v="2"/>
  </r>
  <r>
    <s v="Perú"/>
    <s v="Geomecánica"/>
    <x v="37"/>
    <x v="5"/>
    <x v="5"/>
    <x v="2"/>
  </r>
  <r>
    <s v="Chile"/>
    <s v="Ingeniería"/>
    <x v="38"/>
    <x v="5"/>
    <x v="5"/>
    <x v="2"/>
  </r>
  <r>
    <s v="Chile"/>
    <s v="Ingeniería"/>
    <x v="39"/>
    <x v="5"/>
    <x v="5"/>
    <x v="2"/>
  </r>
  <r>
    <s v="Chile"/>
    <s v="Geomecánica"/>
    <x v="40"/>
    <x v="5"/>
    <x v="5"/>
    <x v="2"/>
  </r>
  <r>
    <s v="Chile"/>
    <s v="Ingeniería"/>
    <x v="41"/>
    <x v="5"/>
    <x v="5"/>
    <x v="2"/>
  </r>
  <r>
    <s v="Perú"/>
    <s v="Ingeniería"/>
    <x v="42"/>
    <x v="5"/>
    <x v="5"/>
    <x v="2"/>
  </r>
  <r>
    <s v="Chile"/>
    <s v="Ingeniería"/>
    <x v="43"/>
    <x v="5"/>
    <x v="5"/>
    <x v="2"/>
  </r>
  <r>
    <s v="Chile"/>
    <s v="Ingeniería"/>
    <x v="44"/>
    <x v="5"/>
    <x v="5"/>
    <x v="2"/>
  </r>
  <r>
    <s v="Chile"/>
    <s v="Geomecánica"/>
    <x v="45"/>
    <x v="5"/>
    <x v="5"/>
    <x v="2"/>
  </r>
  <r>
    <s v="Chile"/>
    <s v="Ingeniería"/>
    <x v="46"/>
    <x v="5"/>
    <x v="5"/>
    <x v="2"/>
  </r>
  <r>
    <s v="Chile"/>
    <s v="Ingeniería"/>
    <x v="47"/>
    <x v="5"/>
    <x v="5"/>
    <x v="2"/>
  </r>
  <r>
    <s v="Chile"/>
    <s v="Ingeniería"/>
    <x v="48"/>
    <x v="5"/>
    <x v="5"/>
    <x v="2"/>
  </r>
  <r>
    <s v="Perú"/>
    <s v="Ingeniería"/>
    <x v="49"/>
    <x v="5"/>
    <x v="5"/>
    <x v="2"/>
  </r>
  <r>
    <s v="Chile"/>
    <s v="Ingeniería"/>
    <x v="50"/>
    <x v="5"/>
    <x v="5"/>
    <x v="2"/>
  </r>
  <r>
    <s v="Chile"/>
    <s v="Ingeniería"/>
    <x v="51"/>
    <x v="5"/>
    <x v="5"/>
    <x v="2"/>
  </r>
  <r>
    <s v="Chile"/>
    <s v="Geomecánica"/>
    <x v="52"/>
    <x v="5"/>
    <x v="5"/>
    <x v="2"/>
  </r>
  <r>
    <s v="Chile"/>
    <s v="Ingeniería"/>
    <x v="53"/>
    <x v="5"/>
    <x v="5"/>
    <x v="2"/>
  </r>
  <r>
    <s v="Chile"/>
    <s v="Ingeniería"/>
    <x v="54"/>
    <x v="5"/>
    <x v="5"/>
    <x v="2"/>
  </r>
  <r>
    <s v="Perú"/>
    <s v="Ingeniería"/>
    <x v="55"/>
    <x v="6"/>
    <x v="3"/>
    <x v="3"/>
  </r>
  <r>
    <s v="Chile"/>
    <s v="Ingeniería"/>
    <x v="56"/>
    <x v="5"/>
    <x v="5"/>
    <x v="2"/>
  </r>
  <r>
    <s v="Perú"/>
    <s v="Geomecánica"/>
    <x v="57"/>
    <x v="5"/>
    <x v="5"/>
    <x v="2"/>
  </r>
  <r>
    <s v="Perú"/>
    <s v="Ingeniería"/>
    <x v="58"/>
    <x v="5"/>
    <x v="5"/>
    <x v="2"/>
  </r>
  <r>
    <s v="Chile"/>
    <s v="Ingeniería"/>
    <x v="59"/>
    <x v="5"/>
    <x v="5"/>
    <x v="2"/>
  </r>
  <r>
    <s v="Perú"/>
    <s v="Ingeniería"/>
    <x v="60"/>
    <x v="5"/>
    <x v="5"/>
    <x v="2"/>
  </r>
  <r>
    <s v="Chile"/>
    <s v="Ingeniería"/>
    <x v="61"/>
    <x v="5"/>
    <x v="5"/>
    <x v="2"/>
  </r>
  <r>
    <s v="Perú"/>
    <s v="Geomecánica"/>
    <x v="62"/>
    <x v="5"/>
    <x v="5"/>
    <x v="2"/>
  </r>
  <r>
    <s v="Perú"/>
    <s v="Ingeniería"/>
    <x v="63"/>
    <x v="5"/>
    <x v="5"/>
    <x v="2"/>
  </r>
  <r>
    <s v="Perú"/>
    <s v="Geomecánica"/>
    <x v="64"/>
    <x v="5"/>
    <x v="5"/>
    <x v="2"/>
  </r>
  <r>
    <s v="Perú"/>
    <s v="Geomecánica"/>
    <x v="65"/>
    <x v="5"/>
    <x v="5"/>
    <x v="2"/>
  </r>
  <r>
    <s v="Perú"/>
    <s v="Geomecánica"/>
    <x v="66"/>
    <x v="5"/>
    <x v="5"/>
    <x v="2"/>
  </r>
  <r>
    <s v="Chile"/>
    <s v="Ingeniería"/>
    <x v="67"/>
    <x v="2"/>
    <x v="2"/>
    <x v="2"/>
  </r>
  <r>
    <s v="Chile"/>
    <s v="Ingeniería"/>
    <x v="68"/>
    <x v="5"/>
    <x v="5"/>
    <x v="2"/>
  </r>
  <r>
    <s v="Chile"/>
    <s v="Geomecánica"/>
    <x v="69"/>
    <x v="5"/>
    <x v="5"/>
    <x v="2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6">
  <r>
    <x v="0"/>
    <x v="0"/>
    <x v="0"/>
    <x v="0"/>
    <x v="0"/>
    <x v="0"/>
    <x v="0"/>
    <x v="0"/>
  </r>
  <r>
    <x v="0"/>
    <x v="0"/>
    <x v="0"/>
    <x v="0"/>
    <x v="0"/>
    <x v="0"/>
    <x v="1"/>
    <x v="1"/>
  </r>
  <r>
    <x v="0"/>
    <x v="0"/>
    <x v="0"/>
    <x v="0"/>
    <x v="0"/>
    <x v="0"/>
    <x v="2"/>
    <x v="2"/>
  </r>
  <r>
    <x v="0"/>
    <x v="0"/>
    <x v="0"/>
    <x v="0"/>
    <x v="0"/>
    <x v="0"/>
    <x v="3"/>
    <x v="2"/>
  </r>
  <r>
    <x v="0"/>
    <x v="0"/>
    <x v="0"/>
    <x v="0"/>
    <x v="0"/>
    <x v="0"/>
    <x v="4"/>
    <x v="2"/>
  </r>
  <r>
    <x v="0"/>
    <x v="0"/>
    <x v="0"/>
    <x v="0"/>
    <x v="0"/>
    <x v="0"/>
    <x v="5"/>
    <x v="2"/>
  </r>
  <r>
    <x v="0"/>
    <x v="0"/>
    <x v="0"/>
    <x v="0"/>
    <x v="0"/>
    <x v="0"/>
    <x v="6"/>
    <x v="2"/>
  </r>
  <r>
    <x v="0"/>
    <x v="0"/>
    <x v="0"/>
    <x v="0"/>
    <x v="0"/>
    <x v="0"/>
    <x v="7"/>
    <x v="2"/>
  </r>
  <r>
    <x v="0"/>
    <x v="0"/>
    <x v="0"/>
    <x v="0"/>
    <x v="0"/>
    <x v="0"/>
    <x v="8"/>
    <x v="2"/>
  </r>
  <r>
    <x v="0"/>
    <x v="0"/>
    <x v="0"/>
    <x v="0"/>
    <x v="0"/>
    <x v="0"/>
    <x v="9"/>
    <x v="2"/>
  </r>
  <r>
    <x v="0"/>
    <x v="0"/>
    <x v="0"/>
    <x v="0"/>
    <x v="0"/>
    <x v="0"/>
    <x v="10"/>
    <x v="2"/>
  </r>
  <r>
    <x v="0"/>
    <x v="0"/>
    <x v="0"/>
    <x v="0"/>
    <x v="0"/>
    <x v="0"/>
    <x v="11"/>
    <x v="2"/>
  </r>
  <r>
    <x v="1"/>
    <x v="1"/>
    <x v="0"/>
    <x v="0"/>
    <x v="0"/>
    <x v="1"/>
    <x v="0"/>
    <x v="2"/>
  </r>
  <r>
    <x v="1"/>
    <x v="1"/>
    <x v="0"/>
    <x v="0"/>
    <x v="0"/>
    <x v="1"/>
    <x v="1"/>
    <x v="3"/>
  </r>
  <r>
    <x v="1"/>
    <x v="1"/>
    <x v="0"/>
    <x v="0"/>
    <x v="0"/>
    <x v="1"/>
    <x v="2"/>
    <x v="4"/>
  </r>
  <r>
    <x v="1"/>
    <x v="1"/>
    <x v="0"/>
    <x v="0"/>
    <x v="0"/>
    <x v="1"/>
    <x v="3"/>
    <x v="5"/>
  </r>
  <r>
    <x v="1"/>
    <x v="1"/>
    <x v="0"/>
    <x v="0"/>
    <x v="0"/>
    <x v="1"/>
    <x v="4"/>
    <x v="2"/>
  </r>
  <r>
    <x v="1"/>
    <x v="1"/>
    <x v="0"/>
    <x v="0"/>
    <x v="0"/>
    <x v="1"/>
    <x v="5"/>
    <x v="2"/>
  </r>
  <r>
    <x v="1"/>
    <x v="1"/>
    <x v="0"/>
    <x v="0"/>
    <x v="0"/>
    <x v="1"/>
    <x v="6"/>
    <x v="2"/>
  </r>
  <r>
    <x v="1"/>
    <x v="1"/>
    <x v="0"/>
    <x v="0"/>
    <x v="0"/>
    <x v="1"/>
    <x v="7"/>
    <x v="2"/>
  </r>
  <r>
    <x v="1"/>
    <x v="1"/>
    <x v="0"/>
    <x v="0"/>
    <x v="0"/>
    <x v="1"/>
    <x v="8"/>
    <x v="2"/>
  </r>
  <r>
    <x v="1"/>
    <x v="1"/>
    <x v="0"/>
    <x v="0"/>
    <x v="0"/>
    <x v="1"/>
    <x v="9"/>
    <x v="2"/>
  </r>
  <r>
    <x v="1"/>
    <x v="1"/>
    <x v="0"/>
    <x v="0"/>
    <x v="0"/>
    <x v="1"/>
    <x v="10"/>
    <x v="2"/>
  </r>
  <r>
    <x v="1"/>
    <x v="1"/>
    <x v="0"/>
    <x v="0"/>
    <x v="0"/>
    <x v="1"/>
    <x v="11"/>
    <x v="2"/>
  </r>
  <r>
    <x v="2"/>
    <x v="2"/>
    <x v="0"/>
    <x v="0"/>
    <x v="0"/>
    <x v="2"/>
    <x v="0"/>
    <x v="2"/>
  </r>
  <r>
    <x v="2"/>
    <x v="2"/>
    <x v="0"/>
    <x v="0"/>
    <x v="0"/>
    <x v="2"/>
    <x v="1"/>
    <x v="6"/>
  </r>
  <r>
    <x v="2"/>
    <x v="2"/>
    <x v="0"/>
    <x v="0"/>
    <x v="0"/>
    <x v="2"/>
    <x v="2"/>
    <x v="7"/>
  </r>
  <r>
    <x v="2"/>
    <x v="2"/>
    <x v="0"/>
    <x v="0"/>
    <x v="0"/>
    <x v="2"/>
    <x v="3"/>
    <x v="2"/>
  </r>
  <r>
    <x v="2"/>
    <x v="2"/>
    <x v="0"/>
    <x v="0"/>
    <x v="0"/>
    <x v="2"/>
    <x v="4"/>
    <x v="2"/>
  </r>
  <r>
    <x v="2"/>
    <x v="2"/>
    <x v="0"/>
    <x v="0"/>
    <x v="0"/>
    <x v="2"/>
    <x v="5"/>
    <x v="2"/>
  </r>
  <r>
    <x v="2"/>
    <x v="2"/>
    <x v="0"/>
    <x v="0"/>
    <x v="0"/>
    <x v="2"/>
    <x v="6"/>
    <x v="2"/>
  </r>
  <r>
    <x v="2"/>
    <x v="2"/>
    <x v="0"/>
    <x v="0"/>
    <x v="0"/>
    <x v="2"/>
    <x v="7"/>
    <x v="2"/>
  </r>
  <r>
    <x v="2"/>
    <x v="2"/>
    <x v="0"/>
    <x v="0"/>
    <x v="0"/>
    <x v="2"/>
    <x v="8"/>
    <x v="2"/>
  </r>
  <r>
    <x v="2"/>
    <x v="2"/>
    <x v="0"/>
    <x v="0"/>
    <x v="0"/>
    <x v="2"/>
    <x v="9"/>
    <x v="2"/>
  </r>
  <r>
    <x v="2"/>
    <x v="2"/>
    <x v="0"/>
    <x v="0"/>
    <x v="0"/>
    <x v="2"/>
    <x v="10"/>
    <x v="2"/>
  </r>
  <r>
    <x v="2"/>
    <x v="2"/>
    <x v="0"/>
    <x v="0"/>
    <x v="0"/>
    <x v="2"/>
    <x v="11"/>
    <x v="2"/>
  </r>
  <r>
    <x v="3"/>
    <x v="1"/>
    <x v="0"/>
    <x v="0"/>
    <x v="0"/>
    <x v="3"/>
    <x v="0"/>
    <x v="8"/>
  </r>
  <r>
    <x v="3"/>
    <x v="1"/>
    <x v="0"/>
    <x v="0"/>
    <x v="0"/>
    <x v="3"/>
    <x v="1"/>
    <x v="9"/>
  </r>
  <r>
    <x v="3"/>
    <x v="1"/>
    <x v="0"/>
    <x v="0"/>
    <x v="0"/>
    <x v="3"/>
    <x v="2"/>
    <x v="10"/>
  </r>
  <r>
    <x v="3"/>
    <x v="1"/>
    <x v="0"/>
    <x v="0"/>
    <x v="0"/>
    <x v="3"/>
    <x v="3"/>
    <x v="11"/>
  </r>
  <r>
    <x v="3"/>
    <x v="1"/>
    <x v="0"/>
    <x v="0"/>
    <x v="0"/>
    <x v="3"/>
    <x v="4"/>
    <x v="12"/>
  </r>
  <r>
    <x v="3"/>
    <x v="1"/>
    <x v="0"/>
    <x v="0"/>
    <x v="0"/>
    <x v="3"/>
    <x v="5"/>
    <x v="13"/>
  </r>
  <r>
    <x v="3"/>
    <x v="1"/>
    <x v="0"/>
    <x v="0"/>
    <x v="0"/>
    <x v="3"/>
    <x v="6"/>
    <x v="14"/>
  </r>
  <r>
    <x v="3"/>
    <x v="1"/>
    <x v="0"/>
    <x v="0"/>
    <x v="0"/>
    <x v="3"/>
    <x v="7"/>
    <x v="2"/>
  </r>
  <r>
    <x v="3"/>
    <x v="1"/>
    <x v="0"/>
    <x v="0"/>
    <x v="0"/>
    <x v="3"/>
    <x v="8"/>
    <x v="2"/>
  </r>
  <r>
    <x v="3"/>
    <x v="1"/>
    <x v="0"/>
    <x v="0"/>
    <x v="0"/>
    <x v="3"/>
    <x v="9"/>
    <x v="2"/>
  </r>
  <r>
    <x v="3"/>
    <x v="1"/>
    <x v="0"/>
    <x v="0"/>
    <x v="0"/>
    <x v="3"/>
    <x v="10"/>
    <x v="2"/>
  </r>
  <r>
    <x v="3"/>
    <x v="1"/>
    <x v="0"/>
    <x v="0"/>
    <x v="0"/>
    <x v="3"/>
    <x v="11"/>
    <x v="2"/>
  </r>
  <r>
    <x v="4"/>
    <x v="0"/>
    <x v="0"/>
    <x v="0"/>
    <x v="0"/>
    <x v="4"/>
    <x v="0"/>
    <x v="15"/>
  </r>
  <r>
    <x v="4"/>
    <x v="0"/>
    <x v="0"/>
    <x v="0"/>
    <x v="0"/>
    <x v="4"/>
    <x v="1"/>
    <x v="16"/>
  </r>
  <r>
    <x v="4"/>
    <x v="0"/>
    <x v="0"/>
    <x v="0"/>
    <x v="0"/>
    <x v="4"/>
    <x v="2"/>
    <x v="17"/>
  </r>
  <r>
    <x v="4"/>
    <x v="0"/>
    <x v="0"/>
    <x v="0"/>
    <x v="0"/>
    <x v="4"/>
    <x v="3"/>
    <x v="2"/>
  </r>
  <r>
    <x v="4"/>
    <x v="0"/>
    <x v="0"/>
    <x v="0"/>
    <x v="0"/>
    <x v="4"/>
    <x v="4"/>
    <x v="2"/>
  </r>
  <r>
    <x v="4"/>
    <x v="0"/>
    <x v="0"/>
    <x v="0"/>
    <x v="0"/>
    <x v="4"/>
    <x v="5"/>
    <x v="2"/>
  </r>
  <r>
    <x v="4"/>
    <x v="0"/>
    <x v="0"/>
    <x v="0"/>
    <x v="0"/>
    <x v="4"/>
    <x v="6"/>
    <x v="2"/>
  </r>
  <r>
    <x v="4"/>
    <x v="0"/>
    <x v="0"/>
    <x v="0"/>
    <x v="0"/>
    <x v="4"/>
    <x v="7"/>
    <x v="2"/>
  </r>
  <r>
    <x v="4"/>
    <x v="0"/>
    <x v="0"/>
    <x v="0"/>
    <x v="0"/>
    <x v="4"/>
    <x v="8"/>
    <x v="2"/>
  </r>
  <r>
    <x v="4"/>
    <x v="0"/>
    <x v="0"/>
    <x v="0"/>
    <x v="0"/>
    <x v="4"/>
    <x v="9"/>
    <x v="2"/>
  </r>
  <r>
    <x v="4"/>
    <x v="0"/>
    <x v="0"/>
    <x v="0"/>
    <x v="0"/>
    <x v="4"/>
    <x v="10"/>
    <x v="2"/>
  </r>
  <r>
    <x v="4"/>
    <x v="0"/>
    <x v="0"/>
    <x v="0"/>
    <x v="0"/>
    <x v="4"/>
    <x v="11"/>
    <x v="2"/>
  </r>
  <r>
    <x v="5"/>
    <x v="3"/>
    <x v="0"/>
    <x v="0"/>
    <x v="0"/>
    <x v="5"/>
    <x v="0"/>
    <x v="2"/>
  </r>
  <r>
    <x v="5"/>
    <x v="3"/>
    <x v="0"/>
    <x v="0"/>
    <x v="0"/>
    <x v="5"/>
    <x v="1"/>
    <x v="18"/>
  </r>
  <r>
    <x v="5"/>
    <x v="3"/>
    <x v="0"/>
    <x v="0"/>
    <x v="0"/>
    <x v="5"/>
    <x v="2"/>
    <x v="19"/>
  </r>
  <r>
    <x v="5"/>
    <x v="3"/>
    <x v="0"/>
    <x v="0"/>
    <x v="0"/>
    <x v="5"/>
    <x v="3"/>
    <x v="2"/>
  </r>
  <r>
    <x v="5"/>
    <x v="3"/>
    <x v="0"/>
    <x v="0"/>
    <x v="0"/>
    <x v="5"/>
    <x v="4"/>
    <x v="2"/>
  </r>
  <r>
    <x v="5"/>
    <x v="3"/>
    <x v="0"/>
    <x v="0"/>
    <x v="0"/>
    <x v="5"/>
    <x v="5"/>
    <x v="2"/>
  </r>
  <r>
    <x v="5"/>
    <x v="3"/>
    <x v="0"/>
    <x v="0"/>
    <x v="0"/>
    <x v="5"/>
    <x v="6"/>
    <x v="2"/>
  </r>
  <r>
    <x v="5"/>
    <x v="3"/>
    <x v="0"/>
    <x v="0"/>
    <x v="0"/>
    <x v="5"/>
    <x v="7"/>
    <x v="2"/>
  </r>
  <r>
    <x v="5"/>
    <x v="3"/>
    <x v="0"/>
    <x v="0"/>
    <x v="0"/>
    <x v="5"/>
    <x v="8"/>
    <x v="2"/>
  </r>
  <r>
    <x v="5"/>
    <x v="3"/>
    <x v="0"/>
    <x v="0"/>
    <x v="0"/>
    <x v="5"/>
    <x v="9"/>
    <x v="2"/>
  </r>
  <r>
    <x v="5"/>
    <x v="3"/>
    <x v="0"/>
    <x v="0"/>
    <x v="0"/>
    <x v="5"/>
    <x v="10"/>
    <x v="2"/>
  </r>
  <r>
    <x v="5"/>
    <x v="3"/>
    <x v="0"/>
    <x v="0"/>
    <x v="0"/>
    <x v="5"/>
    <x v="11"/>
    <x v="2"/>
  </r>
  <r>
    <x v="6"/>
    <x v="0"/>
    <x v="0"/>
    <x v="0"/>
    <x v="0"/>
    <x v="6"/>
    <x v="0"/>
    <x v="20"/>
  </r>
  <r>
    <x v="6"/>
    <x v="0"/>
    <x v="0"/>
    <x v="0"/>
    <x v="0"/>
    <x v="6"/>
    <x v="1"/>
    <x v="21"/>
  </r>
  <r>
    <x v="6"/>
    <x v="0"/>
    <x v="0"/>
    <x v="0"/>
    <x v="0"/>
    <x v="6"/>
    <x v="2"/>
    <x v="22"/>
  </r>
  <r>
    <x v="6"/>
    <x v="0"/>
    <x v="0"/>
    <x v="0"/>
    <x v="0"/>
    <x v="6"/>
    <x v="3"/>
    <x v="23"/>
  </r>
  <r>
    <x v="6"/>
    <x v="0"/>
    <x v="0"/>
    <x v="0"/>
    <x v="0"/>
    <x v="6"/>
    <x v="4"/>
    <x v="24"/>
  </r>
  <r>
    <x v="6"/>
    <x v="0"/>
    <x v="0"/>
    <x v="0"/>
    <x v="0"/>
    <x v="6"/>
    <x v="5"/>
    <x v="24"/>
  </r>
  <r>
    <x v="6"/>
    <x v="0"/>
    <x v="0"/>
    <x v="0"/>
    <x v="0"/>
    <x v="6"/>
    <x v="6"/>
    <x v="2"/>
  </r>
  <r>
    <x v="6"/>
    <x v="0"/>
    <x v="0"/>
    <x v="0"/>
    <x v="0"/>
    <x v="6"/>
    <x v="7"/>
    <x v="2"/>
  </r>
  <r>
    <x v="6"/>
    <x v="0"/>
    <x v="0"/>
    <x v="0"/>
    <x v="0"/>
    <x v="6"/>
    <x v="8"/>
    <x v="2"/>
  </r>
  <r>
    <x v="6"/>
    <x v="0"/>
    <x v="0"/>
    <x v="0"/>
    <x v="0"/>
    <x v="6"/>
    <x v="9"/>
    <x v="2"/>
  </r>
  <r>
    <x v="6"/>
    <x v="0"/>
    <x v="0"/>
    <x v="0"/>
    <x v="0"/>
    <x v="6"/>
    <x v="10"/>
    <x v="2"/>
  </r>
  <r>
    <x v="6"/>
    <x v="0"/>
    <x v="0"/>
    <x v="0"/>
    <x v="0"/>
    <x v="6"/>
    <x v="11"/>
    <x v="2"/>
  </r>
  <r>
    <x v="7"/>
    <x v="2"/>
    <x v="0"/>
    <x v="0"/>
    <x v="0"/>
    <x v="7"/>
    <x v="0"/>
    <x v="25"/>
  </r>
  <r>
    <x v="7"/>
    <x v="2"/>
    <x v="0"/>
    <x v="0"/>
    <x v="0"/>
    <x v="7"/>
    <x v="1"/>
    <x v="26"/>
  </r>
  <r>
    <x v="7"/>
    <x v="2"/>
    <x v="0"/>
    <x v="0"/>
    <x v="0"/>
    <x v="7"/>
    <x v="2"/>
    <x v="27"/>
  </r>
  <r>
    <x v="7"/>
    <x v="2"/>
    <x v="0"/>
    <x v="0"/>
    <x v="0"/>
    <x v="7"/>
    <x v="3"/>
    <x v="28"/>
  </r>
  <r>
    <x v="7"/>
    <x v="2"/>
    <x v="0"/>
    <x v="0"/>
    <x v="0"/>
    <x v="7"/>
    <x v="4"/>
    <x v="29"/>
  </r>
  <r>
    <x v="7"/>
    <x v="2"/>
    <x v="0"/>
    <x v="0"/>
    <x v="0"/>
    <x v="7"/>
    <x v="5"/>
    <x v="30"/>
  </r>
  <r>
    <x v="7"/>
    <x v="2"/>
    <x v="0"/>
    <x v="0"/>
    <x v="0"/>
    <x v="7"/>
    <x v="6"/>
    <x v="31"/>
  </r>
  <r>
    <x v="7"/>
    <x v="2"/>
    <x v="0"/>
    <x v="0"/>
    <x v="0"/>
    <x v="7"/>
    <x v="7"/>
    <x v="2"/>
  </r>
  <r>
    <x v="7"/>
    <x v="2"/>
    <x v="0"/>
    <x v="0"/>
    <x v="0"/>
    <x v="7"/>
    <x v="8"/>
    <x v="2"/>
  </r>
  <r>
    <x v="7"/>
    <x v="2"/>
    <x v="0"/>
    <x v="0"/>
    <x v="0"/>
    <x v="7"/>
    <x v="9"/>
    <x v="2"/>
  </r>
  <r>
    <x v="7"/>
    <x v="2"/>
    <x v="0"/>
    <x v="0"/>
    <x v="0"/>
    <x v="7"/>
    <x v="10"/>
    <x v="2"/>
  </r>
  <r>
    <x v="7"/>
    <x v="2"/>
    <x v="0"/>
    <x v="0"/>
    <x v="0"/>
    <x v="7"/>
    <x v="11"/>
    <x v="2"/>
  </r>
  <r>
    <x v="8"/>
    <x v="3"/>
    <x v="0"/>
    <x v="0"/>
    <x v="0"/>
    <x v="8"/>
    <x v="0"/>
    <x v="2"/>
  </r>
  <r>
    <x v="8"/>
    <x v="3"/>
    <x v="0"/>
    <x v="0"/>
    <x v="0"/>
    <x v="8"/>
    <x v="1"/>
    <x v="32"/>
  </r>
  <r>
    <x v="8"/>
    <x v="3"/>
    <x v="0"/>
    <x v="0"/>
    <x v="0"/>
    <x v="8"/>
    <x v="2"/>
    <x v="33"/>
  </r>
  <r>
    <x v="8"/>
    <x v="3"/>
    <x v="0"/>
    <x v="0"/>
    <x v="0"/>
    <x v="8"/>
    <x v="3"/>
    <x v="2"/>
  </r>
  <r>
    <x v="8"/>
    <x v="3"/>
    <x v="0"/>
    <x v="0"/>
    <x v="0"/>
    <x v="8"/>
    <x v="4"/>
    <x v="2"/>
  </r>
  <r>
    <x v="8"/>
    <x v="3"/>
    <x v="0"/>
    <x v="0"/>
    <x v="0"/>
    <x v="8"/>
    <x v="5"/>
    <x v="2"/>
  </r>
  <r>
    <x v="8"/>
    <x v="3"/>
    <x v="0"/>
    <x v="0"/>
    <x v="0"/>
    <x v="8"/>
    <x v="6"/>
    <x v="2"/>
  </r>
  <r>
    <x v="8"/>
    <x v="3"/>
    <x v="0"/>
    <x v="0"/>
    <x v="0"/>
    <x v="8"/>
    <x v="7"/>
    <x v="2"/>
  </r>
  <r>
    <x v="8"/>
    <x v="3"/>
    <x v="0"/>
    <x v="0"/>
    <x v="0"/>
    <x v="8"/>
    <x v="8"/>
    <x v="2"/>
  </r>
  <r>
    <x v="8"/>
    <x v="3"/>
    <x v="0"/>
    <x v="0"/>
    <x v="0"/>
    <x v="8"/>
    <x v="9"/>
    <x v="2"/>
  </r>
  <r>
    <x v="8"/>
    <x v="3"/>
    <x v="0"/>
    <x v="0"/>
    <x v="0"/>
    <x v="8"/>
    <x v="10"/>
    <x v="2"/>
  </r>
  <r>
    <x v="8"/>
    <x v="3"/>
    <x v="0"/>
    <x v="0"/>
    <x v="0"/>
    <x v="8"/>
    <x v="11"/>
    <x v="2"/>
  </r>
  <r>
    <x v="9"/>
    <x v="1"/>
    <x v="0"/>
    <x v="0"/>
    <x v="0"/>
    <x v="9"/>
    <x v="0"/>
    <x v="34"/>
  </r>
  <r>
    <x v="9"/>
    <x v="1"/>
    <x v="0"/>
    <x v="0"/>
    <x v="0"/>
    <x v="9"/>
    <x v="1"/>
    <x v="35"/>
  </r>
  <r>
    <x v="9"/>
    <x v="1"/>
    <x v="0"/>
    <x v="0"/>
    <x v="0"/>
    <x v="9"/>
    <x v="2"/>
    <x v="36"/>
  </r>
  <r>
    <x v="9"/>
    <x v="1"/>
    <x v="0"/>
    <x v="0"/>
    <x v="0"/>
    <x v="9"/>
    <x v="3"/>
    <x v="2"/>
  </r>
  <r>
    <x v="9"/>
    <x v="1"/>
    <x v="0"/>
    <x v="0"/>
    <x v="0"/>
    <x v="9"/>
    <x v="4"/>
    <x v="2"/>
  </r>
  <r>
    <x v="9"/>
    <x v="1"/>
    <x v="0"/>
    <x v="0"/>
    <x v="0"/>
    <x v="9"/>
    <x v="5"/>
    <x v="2"/>
  </r>
  <r>
    <x v="9"/>
    <x v="1"/>
    <x v="0"/>
    <x v="0"/>
    <x v="0"/>
    <x v="9"/>
    <x v="6"/>
    <x v="2"/>
  </r>
  <r>
    <x v="9"/>
    <x v="1"/>
    <x v="0"/>
    <x v="0"/>
    <x v="0"/>
    <x v="9"/>
    <x v="7"/>
    <x v="2"/>
  </r>
  <r>
    <x v="9"/>
    <x v="1"/>
    <x v="0"/>
    <x v="0"/>
    <x v="0"/>
    <x v="9"/>
    <x v="8"/>
    <x v="2"/>
  </r>
  <r>
    <x v="9"/>
    <x v="1"/>
    <x v="0"/>
    <x v="0"/>
    <x v="0"/>
    <x v="9"/>
    <x v="9"/>
    <x v="2"/>
  </r>
  <r>
    <x v="9"/>
    <x v="1"/>
    <x v="0"/>
    <x v="0"/>
    <x v="0"/>
    <x v="9"/>
    <x v="10"/>
    <x v="2"/>
  </r>
  <r>
    <x v="9"/>
    <x v="1"/>
    <x v="0"/>
    <x v="0"/>
    <x v="0"/>
    <x v="9"/>
    <x v="11"/>
    <x v="2"/>
  </r>
  <r>
    <x v="10"/>
    <x v="1"/>
    <x v="0"/>
    <x v="0"/>
    <x v="0"/>
    <x v="10"/>
    <x v="0"/>
    <x v="37"/>
  </r>
  <r>
    <x v="10"/>
    <x v="1"/>
    <x v="0"/>
    <x v="0"/>
    <x v="0"/>
    <x v="10"/>
    <x v="1"/>
    <x v="38"/>
  </r>
  <r>
    <x v="10"/>
    <x v="1"/>
    <x v="0"/>
    <x v="0"/>
    <x v="0"/>
    <x v="10"/>
    <x v="2"/>
    <x v="39"/>
  </r>
  <r>
    <x v="10"/>
    <x v="1"/>
    <x v="0"/>
    <x v="0"/>
    <x v="0"/>
    <x v="10"/>
    <x v="3"/>
    <x v="40"/>
  </r>
  <r>
    <x v="10"/>
    <x v="1"/>
    <x v="0"/>
    <x v="0"/>
    <x v="0"/>
    <x v="10"/>
    <x v="4"/>
    <x v="2"/>
  </r>
  <r>
    <x v="10"/>
    <x v="1"/>
    <x v="0"/>
    <x v="0"/>
    <x v="0"/>
    <x v="10"/>
    <x v="5"/>
    <x v="2"/>
  </r>
  <r>
    <x v="10"/>
    <x v="1"/>
    <x v="0"/>
    <x v="0"/>
    <x v="0"/>
    <x v="10"/>
    <x v="6"/>
    <x v="2"/>
  </r>
  <r>
    <x v="10"/>
    <x v="1"/>
    <x v="0"/>
    <x v="0"/>
    <x v="0"/>
    <x v="10"/>
    <x v="7"/>
    <x v="2"/>
  </r>
  <r>
    <x v="10"/>
    <x v="1"/>
    <x v="0"/>
    <x v="0"/>
    <x v="0"/>
    <x v="10"/>
    <x v="8"/>
    <x v="2"/>
  </r>
  <r>
    <x v="10"/>
    <x v="1"/>
    <x v="0"/>
    <x v="0"/>
    <x v="0"/>
    <x v="10"/>
    <x v="9"/>
    <x v="2"/>
  </r>
  <r>
    <x v="10"/>
    <x v="1"/>
    <x v="0"/>
    <x v="0"/>
    <x v="0"/>
    <x v="10"/>
    <x v="10"/>
    <x v="2"/>
  </r>
  <r>
    <x v="10"/>
    <x v="1"/>
    <x v="0"/>
    <x v="0"/>
    <x v="0"/>
    <x v="10"/>
    <x v="11"/>
    <x v="2"/>
  </r>
  <r>
    <x v="11"/>
    <x v="2"/>
    <x v="0"/>
    <x v="0"/>
    <x v="0"/>
    <x v="11"/>
    <x v="0"/>
    <x v="2"/>
  </r>
  <r>
    <x v="11"/>
    <x v="2"/>
    <x v="0"/>
    <x v="0"/>
    <x v="0"/>
    <x v="11"/>
    <x v="1"/>
    <x v="41"/>
  </r>
  <r>
    <x v="11"/>
    <x v="2"/>
    <x v="0"/>
    <x v="0"/>
    <x v="0"/>
    <x v="11"/>
    <x v="2"/>
    <x v="41"/>
  </r>
  <r>
    <x v="11"/>
    <x v="2"/>
    <x v="0"/>
    <x v="0"/>
    <x v="0"/>
    <x v="11"/>
    <x v="3"/>
    <x v="41"/>
  </r>
  <r>
    <x v="11"/>
    <x v="2"/>
    <x v="0"/>
    <x v="0"/>
    <x v="0"/>
    <x v="11"/>
    <x v="4"/>
    <x v="2"/>
  </r>
  <r>
    <x v="11"/>
    <x v="2"/>
    <x v="0"/>
    <x v="0"/>
    <x v="0"/>
    <x v="11"/>
    <x v="5"/>
    <x v="2"/>
  </r>
  <r>
    <x v="11"/>
    <x v="2"/>
    <x v="0"/>
    <x v="0"/>
    <x v="0"/>
    <x v="11"/>
    <x v="6"/>
    <x v="2"/>
  </r>
  <r>
    <x v="11"/>
    <x v="2"/>
    <x v="0"/>
    <x v="0"/>
    <x v="0"/>
    <x v="11"/>
    <x v="7"/>
    <x v="2"/>
  </r>
  <r>
    <x v="11"/>
    <x v="2"/>
    <x v="0"/>
    <x v="0"/>
    <x v="0"/>
    <x v="11"/>
    <x v="8"/>
    <x v="2"/>
  </r>
  <r>
    <x v="11"/>
    <x v="2"/>
    <x v="0"/>
    <x v="0"/>
    <x v="0"/>
    <x v="11"/>
    <x v="9"/>
    <x v="2"/>
  </r>
  <r>
    <x v="11"/>
    <x v="2"/>
    <x v="0"/>
    <x v="0"/>
    <x v="0"/>
    <x v="11"/>
    <x v="10"/>
    <x v="2"/>
  </r>
  <r>
    <x v="11"/>
    <x v="2"/>
    <x v="0"/>
    <x v="0"/>
    <x v="0"/>
    <x v="11"/>
    <x v="11"/>
    <x v="2"/>
  </r>
  <r>
    <x v="12"/>
    <x v="1"/>
    <x v="0"/>
    <x v="0"/>
    <x v="0"/>
    <x v="12"/>
    <x v="0"/>
    <x v="42"/>
  </r>
  <r>
    <x v="12"/>
    <x v="1"/>
    <x v="0"/>
    <x v="0"/>
    <x v="0"/>
    <x v="12"/>
    <x v="1"/>
    <x v="43"/>
  </r>
  <r>
    <x v="12"/>
    <x v="1"/>
    <x v="0"/>
    <x v="0"/>
    <x v="0"/>
    <x v="12"/>
    <x v="2"/>
    <x v="2"/>
  </r>
  <r>
    <x v="12"/>
    <x v="1"/>
    <x v="0"/>
    <x v="0"/>
    <x v="0"/>
    <x v="12"/>
    <x v="3"/>
    <x v="2"/>
  </r>
  <r>
    <x v="12"/>
    <x v="1"/>
    <x v="0"/>
    <x v="0"/>
    <x v="0"/>
    <x v="12"/>
    <x v="4"/>
    <x v="2"/>
  </r>
  <r>
    <x v="12"/>
    <x v="1"/>
    <x v="0"/>
    <x v="0"/>
    <x v="0"/>
    <x v="12"/>
    <x v="5"/>
    <x v="2"/>
  </r>
  <r>
    <x v="12"/>
    <x v="1"/>
    <x v="0"/>
    <x v="0"/>
    <x v="0"/>
    <x v="12"/>
    <x v="6"/>
    <x v="2"/>
  </r>
  <r>
    <x v="12"/>
    <x v="1"/>
    <x v="0"/>
    <x v="0"/>
    <x v="0"/>
    <x v="12"/>
    <x v="7"/>
    <x v="2"/>
  </r>
  <r>
    <x v="12"/>
    <x v="1"/>
    <x v="0"/>
    <x v="0"/>
    <x v="0"/>
    <x v="12"/>
    <x v="8"/>
    <x v="2"/>
  </r>
  <r>
    <x v="12"/>
    <x v="1"/>
    <x v="0"/>
    <x v="0"/>
    <x v="0"/>
    <x v="12"/>
    <x v="9"/>
    <x v="2"/>
  </r>
  <r>
    <x v="12"/>
    <x v="1"/>
    <x v="0"/>
    <x v="0"/>
    <x v="0"/>
    <x v="12"/>
    <x v="10"/>
    <x v="2"/>
  </r>
  <r>
    <x v="12"/>
    <x v="1"/>
    <x v="0"/>
    <x v="0"/>
    <x v="0"/>
    <x v="12"/>
    <x v="11"/>
    <x v="2"/>
  </r>
  <r>
    <x v="13"/>
    <x v="1"/>
    <x v="0"/>
    <x v="0"/>
    <x v="0"/>
    <x v="13"/>
    <x v="0"/>
    <x v="44"/>
  </r>
  <r>
    <x v="13"/>
    <x v="1"/>
    <x v="0"/>
    <x v="0"/>
    <x v="0"/>
    <x v="13"/>
    <x v="1"/>
    <x v="45"/>
  </r>
  <r>
    <x v="13"/>
    <x v="1"/>
    <x v="0"/>
    <x v="0"/>
    <x v="0"/>
    <x v="13"/>
    <x v="2"/>
    <x v="2"/>
  </r>
  <r>
    <x v="13"/>
    <x v="1"/>
    <x v="0"/>
    <x v="0"/>
    <x v="0"/>
    <x v="13"/>
    <x v="3"/>
    <x v="2"/>
  </r>
  <r>
    <x v="13"/>
    <x v="1"/>
    <x v="0"/>
    <x v="0"/>
    <x v="0"/>
    <x v="13"/>
    <x v="4"/>
    <x v="2"/>
  </r>
  <r>
    <x v="13"/>
    <x v="1"/>
    <x v="0"/>
    <x v="0"/>
    <x v="0"/>
    <x v="13"/>
    <x v="5"/>
    <x v="2"/>
  </r>
  <r>
    <x v="13"/>
    <x v="1"/>
    <x v="0"/>
    <x v="0"/>
    <x v="0"/>
    <x v="13"/>
    <x v="6"/>
    <x v="2"/>
  </r>
  <r>
    <x v="13"/>
    <x v="1"/>
    <x v="0"/>
    <x v="0"/>
    <x v="0"/>
    <x v="13"/>
    <x v="7"/>
    <x v="2"/>
  </r>
  <r>
    <x v="13"/>
    <x v="1"/>
    <x v="0"/>
    <x v="0"/>
    <x v="0"/>
    <x v="13"/>
    <x v="8"/>
    <x v="2"/>
  </r>
  <r>
    <x v="13"/>
    <x v="1"/>
    <x v="0"/>
    <x v="0"/>
    <x v="0"/>
    <x v="13"/>
    <x v="9"/>
    <x v="2"/>
  </r>
  <r>
    <x v="13"/>
    <x v="1"/>
    <x v="0"/>
    <x v="0"/>
    <x v="0"/>
    <x v="13"/>
    <x v="10"/>
    <x v="2"/>
  </r>
  <r>
    <x v="13"/>
    <x v="1"/>
    <x v="0"/>
    <x v="0"/>
    <x v="0"/>
    <x v="13"/>
    <x v="11"/>
    <x v="2"/>
  </r>
  <r>
    <x v="14"/>
    <x v="3"/>
    <x v="0"/>
    <x v="0"/>
    <x v="0"/>
    <x v="14"/>
    <x v="0"/>
    <x v="46"/>
  </r>
  <r>
    <x v="14"/>
    <x v="3"/>
    <x v="0"/>
    <x v="0"/>
    <x v="0"/>
    <x v="14"/>
    <x v="1"/>
    <x v="2"/>
  </r>
  <r>
    <x v="14"/>
    <x v="3"/>
    <x v="0"/>
    <x v="0"/>
    <x v="0"/>
    <x v="14"/>
    <x v="2"/>
    <x v="2"/>
  </r>
  <r>
    <x v="14"/>
    <x v="3"/>
    <x v="0"/>
    <x v="0"/>
    <x v="0"/>
    <x v="14"/>
    <x v="3"/>
    <x v="2"/>
  </r>
  <r>
    <x v="14"/>
    <x v="3"/>
    <x v="0"/>
    <x v="0"/>
    <x v="0"/>
    <x v="14"/>
    <x v="4"/>
    <x v="2"/>
  </r>
  <r>
    <x v="14"/>
    <x v="3"/>
    <x v="0"/>
    <x v="0"/>
    <x v="0"/>
    <x v="14"/>
    <x v="5"/>
    <x v="2"/>
  </r>
  <r>
    <x v="14"/>
    <x v="3"/>
    <x v="0"/>
    <x v="0"/>
    <x v="0"/>
    <x v="14"/>
    <x v="6"/>
    <x v="2"/>
  </r>
  <r>
    <x v="14"/>
    <x v="3"/>
    <x v="0"/>
    <x v="0"/>
    <x v="0"/>
    <x v="14"/>
    <x v="7"/>
    <x v="2"/>
  </r>
  <r>
    <x v="14"/>
    <x v="3"/>
    <x v="0"/>
    <x v="0"/>
    <x v="0"/>
    <x v="14"/>
    <x v="8"/>
    <x v="2"/>
  </r>
  <r>
    <x v="14"/>
    <x v="3"/>
    <x v="0"/>
    <x v="0"/>
    <x v="0"/>
    <x v="14"/>
    <x v="9"/>
    <x v="2"/>
  </r>
  <r>
    <x v="14"/>
    <x v="3"/>
    <x v="0"/>
    <x v="0"/>
    <x v="0"/>
    <x v="14"/>
    <x v="10"/>
    <x v="2"/>
  </r>
  <r>
    <x v="14"/>
    <x v="3"/>
    <x v="0"/>
    <x v="0"/>
    <x v="0"/>
    <x v="14"/>
    <x v="11"/>
    <x v="2"/>
  </r>
  <r>
    <x v="15"/>
    <x v="2"/>
    <x v="0"/>
    <x v="0"/>
    <x v="0"/>
    <x v="15"/>
    <x v="0"/>
    <x v="47"/>
  </r>
  <r>
    <x v="15"/>
    <x v="2"/>
    <x v="0"/>
    <x v="0"/>
    <x v="0"/>
    <x v="15"/>
    <x v="1"/>
    <x v="48"/>
  </r>
  <r>
    <x v="15"/>
    <x v="2"/>
    <x v="0"/>
    <x v="0"/>
    <x v="0"/>
    <x v="15"/>
    <x v="2"/>
    <x v="49"/>
  </r>
  <r>
    <x v="15"/>
    <x v="2"/>
    <x v="0"/>
    <x v="0"/>
    <x v="0"/>
    <x v="15"/>
    <x v="3"/>
    <x v="2"/>
  </r>
  <r>
    <x v="15"/>
    <x v="2"/>
    <x v="0"/>
    <x v="0"/>
    <x v="0"/>
    <x v="15"/>
    <x v="4"/>
    <x v="2"/>
  </r>
  <r>
    <x v="15"/>
    <x v="2"/>
    <x v="0"/>
    <x v="0"/>
    <x v="0"/>
    <x v="15"/>
    <x v="5"/>
    <x v="2"/>
  </r>
  <r>
    <x v="15"/>
    <x v="2"/>
    <x v="0"/>
    <x v="0"/>
    <x v="0"/>
    <x v="15"/>
    <x v="6"/>
    <x v="2"/>
  </r>
  <r>
    <x v="15"/>
    <x v="2"/>
    <x v="0"/>
    <x v="0"/>
    <x v="0"/>
    <x v="15"/>
    <x v="7"/>
    <x v="2"/>
  </r>
  <r>
    <x v="15"/>
    <x v="2"/>
    <x v="0"/>
    <x v="0"/>
    <x v="0"/>
    <x v="15"/>
    <x v="8"/>
    <x v="2"/>
  </r>
  <r>
    <x v="15"/>
    <x v="2"/>
    <x v="0"/>
    <x v="0"/>
    <x v="0"/>
    <x v="15"/>
    <x v="9"/>
    <x v="2"/>
  </r>
  <r>
    <x v="15"/>
    <x v="2"/>
    <x v="0"/>
    <x v="0"/>
    <x v="0"/>
    <x v="15"/>
    <x v="10"/>
    <x v="2"/>
  </r>
  <r>
    <x v="15"/>
    <x v="2"/>
    <x v="0"/>
    <x v="0"/>
    <x v="0"/>
    <x v="15"/>
    <x v="11"/>
    <x v="2"/>
  </r>
  <r>
    <x v="16"/>
    <x v="4"/>
    <x v="0"/>
    <x v="0"/>
    <x v="0"/>
    <x v="16"/>
    <x v="0"/>
    <x v="50"/>
  </r>
  <r>
    <x v="16"/>
    <x v="4"/>
    <x v="0"/>
    <x v="0"/>
    <x v="0"/>
    <x v="16"/>
    <x v="1"/>
    <x v="51"/>
  </r>
  <r>
    <x v="16"/>
    <x v="4"/>
    <x v="0"/>
    <x v="0"/>
    <x v="0"/>
    <x v="16"/>
    <x v="2"/>
    <x v="2"/>
  </r>
  <r>
    <x v="16"/>
    <x v="4"/>
    <x v="0"/>
    <x v="0"/>
    <x v="0"/>
    <x v="16"/>
    <x v="3"/>
    <x v="2"/>
  </r>
  <r>
    <x v="16"/>
    <x v="4"/>
    <x v="0"/>
    <x v="0"/>
    <x v="0"/>
    <x v="16"/>
    <x v="4"/>
    <x v="2"/>
  </r>
  <r>
    <x v="16"/>
    <x v="4"/>
    <x v="0"/>
    <x v="0"/>
    <x v="0"/>
    <x v="16"/>
    <x v="5"/>
    <x v="2"/>
  </r>
  <r>
    <x v="16"/>
    <x v="4"/>
    <x v="0"/>
    <x v="0"/>
    <x v="0"/>
    <x v="16"/>
    <x v="6"/>
    <x v="2"/>
  </r>
  <r>
    <x v="16"/>
    <x v="4"/>
    <x v="0"/>
    <x v="0"/>
    <x v="0"/>
    <x v="16"/>
    <x v="7"/>
    <x v="2"/>
  </r>
  <r>
    <x v="16"/>
    <x v="4"/>
    <x v="0"/>
    <x v="0"/>
    <x v="0"/>
    <x v="16"/>
    <x v="8"/>
    <x v="2"/>
  </r>
  <r>
    <x v="16"/>
    <x v="4"/>
    <x v="0"/>
    <x v="0"/>
    <x v="0"/>
    <x v="16"/>
    <x v="9"/>
    <x v="2"/>
  </r>
  <r>
    <x v="16"/>
    <x v="4"/>
    <x v="0"/>
    <x v="0"/>
    <x v="0"/>
    <x v="16"/>
    <x v="10"/>
    <x v="2"/>
  </r>
  <r>
    <x v="16"/>
    <x v="4"/>
    <x v="0"/>
    <x v="0"/>
    <x v="0"/>
    <x v="16"/>
    <x v="11"/>
    <x v="2"/>
  </r>
  <r>
    <x v="17"/>
    <x v="2"/>
    <x v="0"/>
    <x v="0"/>
    <x v="0"/>
    <x v="17"/>
    <x v="0"/>
    <x v="52"/>
  </r>
  <r>
    <x v="17"/>
    <x v="2"/>
    <x v="0"/>
    <x v="0"/>
    <x v="0"/>
    <x v="17"/>
    <x v="1"/>
    <x v="2"/>
  </r>
  <r>
    <x v="17"/>
    <x v="2"/>
    <x v="0"/>
    <x v="0"/>
    <x v="0"/>
    <x v="17"/>
    <x v="2"/>
    <x v="2"/>
  </r>
  <r>
    <x v="17"/>
    <x v="2"/>
    <x v="0"/>
    <x v="0"/>
    <x v="0"/>
    <x v="17"/>
    <x v="3"/>
    <x v="2"/>
  </r>
  <r>
    <x v="17"/>
    <x v="2"/>
    <x v="0"/>
    <x v="0"/>
    <x v="0"/>
    <x v="17"/>
    <x v="4"/>
    <x v="2"/>
  </r>
  <r>
    <x v="17"/>
    <x v="2"/>
    <x v="0"/>
    <x v="0"/>
    <x v="0"/>
    <x v="17"/>
    <x v="5"/>
    <x v="2"/>
  </r>
  <r>
    <x v="17"/>
    <x v="2"/>
    <x v="0"/>
    <x v="0"/>
    <x v="0"/>
    <x v="17"/>
    <x v="6"/>
    <x v="2"/>
  </r>
  <r>
    <x v="17"/>
    <x v="2"/>
    <x v="0"/>
    <x v="0"/>
    <x v="0"/>
    <x v="17"/>
    <x v="7"/>
    <x v="2"/>
  </r>
  <r>
    <x v="17"/>
    <x v="2"/>
    <x v="0"/>
    <x v="0"/>
    <x v="0"/>
    <x v="17"/>
    <x v="8"/>
    <x v="2"/>
  </r>
  <r>
    <x v="17"/>
    <x v="2"/>
    <x v="0"/>
    <x v="0"/>
    <x v="0"/>
    <x v="17"/>
    <x v="9"/>
    <x v="2"/>
  </r>
  <r>
    <x v="17"/>
    <x v="2"/>
    <x v="0"/>
    <x v="0"/>
    <x v="0"/>
    <x v="17"/>
    <x v="10"/>
    <x v="2"/>
  </r>
  <r>
    <x v="17"/>
    <x v="2"/>
    <x v="0"/>
    <x v="0"/>
    <x v="0"/>
    <x v="17"/>
    <x v="11"/>
    <x v="2"/>
  </r>
  <r>
    <x v="18"/>
    <x v="2"/>
    <x v="0"/>
    <x v="0"/>
    <x v="0"/>
    <x v="18"/>
    <x v="0"/>
    <x v="53"/>
  </r>
  <r>
    <x v="18"/>
    <x v="2"/>
    <x v="0"/>
    <x v="0"/>
    <x v="0"/>
    <x v="18"/>
    <x v="1"/>
    <x v="2"/>
  </r>
  <r>
    <x v="18"/>
    <x v="2"/>
    <x v="0"/>
    <x v="0"/>
    <x v="0"/>
    <x v="18"/>
    <x v="2"/>
    <x v="2"/>
  </r>
  <r>
    <x v="18"/>
    <x v="2"/>
    <x v="0"/>
    <x v="0"/>
    <x v="0"/>
    <x v="18"/>
    <x v="3"/>
    <x v="2"/>
  </r>
  <r>
    <x v="18"/>
    <x v="2"/>
    <x v="0"/>
    <x v="0"/>
    <x v="0"/>
    <x v="18"/>
    <x v="4"/>
    <x v="2"/>
  </r>
  <r>
    <x v="18"/>
    <x v="2"/>
    <x v="0"/>
    <x v="0"/>
    <x v="0"/>
    <x v="18"/>
    <x v="5"/>
    <x v="2"/>
  </r>
  <r>
    <x v="18"/>
    <x v="2"/>
    <x v="0"/>
    <x v="0"/>
    <x v="0"/>
    <x v="18"/>
    <x v="6"/>
    <x v="2"/>
  </r>
  <r>
    <x v="18"/>
    <x v="2"/>
    <x v="0"/>
    <x v="0"/>
    <x v="0"/>
    <x v="18"/>
    <x v="7"/>
    <x v="2"/>
  </r>
  <r>
    <x v="18"/>
    <x v="2"/>
    <x v="0"/>
    <x v="0"/>
    <x v="0"/>
    <x v="18"/>
    <x v="8"/>
    <x v="2"/>
  </r>
  <r>
    <x v="18"/>
    <x v="2"/>
    <x v="0"/>
    <x v="0"/>
    <x v="0"/>
    <x v="18"/>
    <x v="9"/>
    <x v="2"/>
  </r>
  <r>
    <x v="18"/>
    <x v="2"/>
    <x v="0"/>
    <x v="0"/>
    <x v="0"/>
    <x v="18"/>
    <x v="10"/>
    <x v="2"/>
  </r>
  <r>
    <x v="18"/>
    <x v="2"/>
    <x v="0"/>
    <x v="0"/>
    <x v="0"/>
    <x v="18"/>
    <x v="11"/>
    <x v="2"/>
  </r>
  <r>
    <x v="19"/>
    <x v="0"/>
    <x v="0"/>
    <x v="0"/>
    <x v="0"/>
    <x v="19"/>
    <x v="0"/>
    <x v="54"/>
  </r>
  <r>
    <x v="19"/>
    <x v="0"/>
    <x v="0"/>
    <x v="0"/>
    <x v="0"/>
    <x v="19"/>
    <x v="1"/>
    <x v="55"/>
  </r>
  <r>
    <x v="19"/>
    <x v="0"/>
    <x v="0"/>
    <x v="0"/>
    <x v="0"/>
    <x v="19"/>
    <x v="2"/>
    <x v="2"/>
  </r>
  <r>
    <x v="19"/>
    <x v="0"/>
    <x v="0"/>
    <x v="0"/>
    <x v="0"/>
    <x v="19"/>
    <x v="3"/>
    <x v="2"/>
  </r>
  <r>
    <x v="19"/>
    <x v="0"/>
    <x v="0"/>
    <x v="0"/>
    <x v="0"/>
    <x v="19"/>
    <x v="4"/>
    <x v="2"/>
  </r>
  <r>
    <x v="19"/>
    <x v="0"/>
    <x v="0"/>
    <x v="0"/>
    <x v="0"/>
    <x v="19"/>
    <x v="5"/>
    <x v="2"/>
  </r>
  <r>
    <x v="19"/>
    <x v="0"/>
    <x v="0"/>
    <x v="0"/>
    <x v="0"/>
    <x v="19"/>
    <x v="6"/>
    <x v="2"/>
  </r>
  <r>
    <x v="19"/>
    <x v="0"/>
    <x v="0"/>
    <x v="0"/>
    <x v="0"/>
    <x v="19"/>
    <x v="7"/>
    <x v="2"/>
  </r>
  <r>
    <x v="19"/>
    <x v="0"/>
    <x v="0"/>
    <x v="0"/>
    <x v="0"/>
    <x v="19"/>
    <x v="8"/>
    <x v="2"/>
  </r>
  <r>
    <x v="19"/>
    <x v="0"/>
    <x v="0"/>
    <x v="0"/>
    <x v="0"/>
    <x v="19"/>
    <x v="9"/>
    <x v="2"/>
  </r>
  <r>
    <x v="19"/>
    <x v="0"/>
    <x v="0"/>
    <x v="0"/>
    <x v="0"/>
    <x v="19"/>
    <x v="10"/>
    <x v="2"/>
  </r>
  <r>
    <x v="19"/>
    <x v="0"/>
    <x v="0"/>
    <x v="0"/>
    <x v="0"/>
    <x v="19"/>
    <x v="11"/>
    <x v="2"/>
  </r>
  <r>
    <x v="20"/>
    <x v="1"/>
    <x v="0"/>
    <x v="0"/>
    <x v="0"/>
    <x v="20"/>
    <x v="0"/>
    <x v="56"/>
  </r>
  <r>
    <x v="20"/>
    <x v="1"/>
    <x v="0"/>
    <x v="0"/>
    <x v="0"/>
    <x v="20"/>
    <x v="1"/>
    <x v="2"/>
  </r>
  <r>
    <x v="20"/>
    <x v="1"/>
    <x v="0"/>
    <x v="0"/>
    <x v="0"/>
    <x v="20"/>
    <x v="2"/>
    <x v="2"/>
  </r>
  <r>
    <x v="20"/>
    <x v="1"/>
    <x v="0"/>
    <x v="0"/>
    <x v="0"/>
    <x v="20"/>
    <x v="3"/>
    <x v="2"/>
  </r>
  <r>
    <x v="20"/>
    <x v="1"/>
    <x v="0"/>
    <x v="0"/>
    <x v="0"/>
    <x v="20"/>
    <x v="4"/>
    <x v="2"/>
  </r>
  <r>
    <x v="20"/>
    <x v="1"/>
    <x v="0"/>
    <x v="0"/>
    <x v="0"/>
    <x v="20"/>
    <x v="5"/>
    <x v="2"/>
  </r>
  <r>
    <x v="20"/>
    <x v="1"/>
    <x v="0"/>
    <x v="0"/>
    <x v="0"/>
    <x v="20"/>
    <x v="6"/>
    <x v="2"/>
  </r>
  <r>
    <x v="20"/>
    <x v="1"/>
    <x v="0"/>
    <x v="0"/>
    <x v="0"/>
    <x v="20"/>
    <x v="7"/>
    <x v="2"/>
  </r>
  <r>
    <x v="20"/>
    <x v="1"/>
    <x v="0"/>
    <x v="0"/>
    <x v="0"/>
    <x v="20"/>
    <x v="8"/>
    <x v="2"/>
  </r>
  <r>
    <x v="20"/>
    <x v="1"/>
    <x v="0"/>
    <x v="0"/>
    <x v="0"/>
    <x v="20"/>
    <x v="9"/>
    <x v="2"/>
  </r>
  <r>
    <x v="20"/>
    <x v="1"/>
    <x v="0"/>
    <x v="0"/>
    <x v="0"/>
    <x v="20"/>
    <x v="10"/>
    <x v="2"/>
  </r>
  <r>
    <x v="20"/>
    <x v="1"/>
    <x v="0"/>
    <x v="0"/>
    <x v="0"/>
    <x v="20"/>
    <x v="11"/>
    <x v="2"/>
  </r>
  <r>
    <x v="21"/>
    <x v="4"/>
    <x v="0"/>
    <x v="0"/>
    <x v="0"/>
    <x v="21"/>
    <x v="0"/>
    <x v="2"/>
  </r>
  <r>
    <x v="21"/>
    <x v="4"/>
    <x v="0"/>
    <x v="0"/>
    <x v="0"/>
    <x v="21"/>
    <x v="1"/>
    <x v="57"/>
  </r>
  <r>
    <x v="21"/>
    <x v="4"/>
    <x v="0"/>
    <x v="0"/>
    <x v="0"/>
    <x v="21"/>
    <x v="2"/>
    <x v="58"/>
  </r>
  <r>
    <x v="21"/>
    <x v="4"/>
    <x v="0"/>
    <x v="0"/>
    <x v="0"/>
    <x v="21"/>
    <x v="3"/>
    <x v="59"/>
  </r>
  <r>
    <x v="21"/>
    <x v="4"/>
    <x v="0"/>
    <x v="0"/>
    <x v="0"/>
    <x v="21"/>
    <x v="4"/>
    <x v="60"/>
  </r>
  <r>
    <x v="21"/>
    <x v="4"/>
    <x v="0"/>
    <x v="0"/>
    <x v="0"/>
    <x v="21"/>
    <x v="5"/>
    <x v="2"/>
  </r>
  <r>
    <x v="21"/>
    <x v="4"/>
    <x v="0"/>
    <x v="0"/>
    <x v="0"/>
    <x v="21"/>
    <x v="6"/>
    <x v="61"/>
  </r>
  <r>
    <x v="21"/>
    <x v="4"/>
    <x v="0"/>
    <x v="0"/>
    <x v="0"/>
    <x v="21"/>
    <x v="7"/>
    <x v="2"/>
  </r>
  <r>
    <x v="21"/>
    <x v="4"/>
    <x v="0"/>
    <x v="0"/>
    <x v="0"/>
    <x v="21"/>
    <x v="8"/>
    <x v="2"/>
  </r>
  <r>
    <x v="21"/>
    <x v="4"/>
    <x v="0"/>
    <x v="0"/>
    <x v="0"/>
    <x v="21"/>
    <x v="9"/>
    <x v="2"/>
  </r>
  <r>
    <x v="21"/>
    <x v="4"/>
    <x v="0"/>
    <x v="0"/>
    <x v="0"/>
    <x v="21"/>
    <x v="10"/>
    <x v="2"/>
  </r>
  <r>
    <x v="21"/>
    <x v="4"/>
    <x v="0"/>
    <x v="0"/>
    <x v="0"/>
    <x v="21"/>
    <x v="11"/>
    <x v="2"/>
  </r>
  <r>
    <x v="22"/>
    <x v="2"/>
    <x v="0"/>
    <x v="0"/>
    <x v="0"/>
    <x v="22"/>
    <x v="0"/>
    <x v="62"/>
  </r>
  <r>
    <x v="22"/>
    <x v="2"/>
    <x v="0"/>
    <x v="0"/>
    <x v="0"/>
    <x v="22"/>
    <x v="1"/>
    <x v="63"/>
  </r>
  <r>
    <x v="22"/>
    <x v="2"/>
    <x v="0"/>
    <x v="0"/>
    <x v="0"/>
    <x v="22"/>
    <x v="2"/>
    <x v="64"/>
  </r>
  <r>
    <x v="22"/>
    <x v="2"/>
    <x v="0"/>
    <x v="0"/>
    <x v="0"/>
    <x v="22"/>
    <x v="3"/>
    <x v="65"/>
  </r>
  <r>
    <x v="22"/>
    <x v="2"/>
    <x v="0"/>
    <x v="0"/>
    <x v="0"/>
    <x v="22"/>
    <x v="4"/>
    <x v="2"/>
  </r>
  <r>
    <x v="22"/>
    <x v="2"/>
    <x v="0"/>
    <x v="0"/>
    <x v="0"/>
    <x v="22"/>
    <x v="5"/>
    <x v="2"/>
  </r>
  <r>
    <x v="22"/>
    <x v="2"/>
    <x v="0"/>
    <x v="0"/>
    <x v="0"/>
    <x v="22"/>
    <x v="6"/>
    <x v="2"/>
  </r>
  <r>
    <x v="22"/>
    <x v="2"/>
    <x v="0"/>
    <x v="0"/>
    <x v="0"/>
    <x v="22"/>
    <x v="7"/>
    <x v="2"/>
  </r>
  <r>
    <x v="22"/>
    <x v="2"/>
    <x v="0"/>
    <x v="0"/>
    <x v="0"/>
    <x v="22"/>
    <x v="8"/>
    <x v="2"/>
  </r>
  <r>
    <x v="22"/>
    <x v="2"/>
    <x v="0"/>
    <x v="0"/>
    <x v="0"/>
    <x v="22"/>
    <x v="9"/>
    <x v="2"/>
  </r>
  <r>
    <x v="22"/>
    <x v="2"/>
    <x v="0"/>
    <x v="0"/>
    <x v="0"/>
    <x v="22"/>
    <x v="10"/>
    <x v="2"/>
  </r>
  <r>
    <x v="22"/>
    <x v="2"/>
    <x v="0"/>
    <x v="0"/>
    <x v="0"/>
    <x v="22"/>
    <x v="11"/>
    <x v="2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144">
  <r>
    <x v="0"/>
    <x v="0"/>
    <x v="0"/>
    <x v="0"/>
    <x v="0"/>
    <x v="0"/>
    <n v="22945"/>
  </r>
  <r>
    <x v="0"/>
    <x v="0"/>
    <x v="0"/>
    <x v="0"/>
    <x v="0"/>
    <x v="1"/>
    <n v="3275"/>
  </r>
  <r>
    <x v="0"/>
    <x v="0"/>
    <x v="0"/>
    <x v="0"/>
    <x v="0"/>
    <x v="2"/>
    <n v="0"/>
  </r>
  <r>
    <x v="0"/>
    <x v="0"/>
    <x v="0"/>
    <x v="0"/>
    <x v="0"/>
    <x v="3"/>
    <n v="0"/>
  </r>
  <r>
    <x v="0"/>
    <x v="0"/>
    <x v="0"/>
    <x v="0"/>
    <x v="0"/>
    <x v="4"/>
    <n v="0"/>
  </r>
  <r>
    <x v="0"/>
    <x v="0"/>
    <x v="0"/>
    <x v="0"/>
    <x v="0"/>
    <x v="5"/>
    <n v="0"/>
  </r>
  <r>
    <x v="0"/>
    <x v="0"/>
    <x v="0"/>
    <x v="0"/>
    <x v="0"/>
    <x v="6"/>
    <n v="0"/>
  </r>
  <r>
    <x v="0"/>
    <x v="0"/>
    <x v="0"/>
    <x v="0"/>
    <x v="0"/>
    <x v="7"/>
    <n v="0"/>
  </r>
  <r>
    <x v="0"/>
    <x v="0"/>
    <x v="0"/>
    <x v="0"/>
    <x v="0"/>
    <x v="8"/>
    <n v="0"/>
  </r>
  <r>
    <x v="0"/>
    <x v="0"/>
    <x v="0"/>
    <x v="0"/>
    <x v="0"/>
    <x v="9"/>
    <n v="0"/>
  </r>
  <r>
    <x v="0"/>
    <x v="0"/>
    <x v="0"/>
    <x v="0"/>
    <x v="0"/>
    <x v="10"/>
    <n v="0"/>
  </r>
  <r>
    <x v="0"/>
    <x v="0"/>
    <x v="0"/>
    <x v="0"/>
    <x v="0"/>
    <x v="11"/>
    <n v="0"/>
  </r>
  <r>
    <x v="0"/>
    <x v="0"/>
    <x v="0"/>
    <x v="0"/>
    <x v="1"/>
    <x v="0"/>
    <n v="3880"/>
  </r>
  <r>
    <x v="0"/>
    <x v="0"/>
    <x v="0"/>
    <x v="0"/>
    <x v="1"/>
    <x v="1"/>
    <n v="1469"/>
  </r>
  <r>
    <x v="0"/>
    <x v="0"/>
    <x v="0"/>
    <x v="0"/>
    <x v="1"/>
    <x v="2"/>
    <n v="1320"/>
  </r>
  <r>
    <x v="0"/>
    <x v="0"/>
    <x v="0"/>
    <x v="0"/>
    <x v="1"/>
    <x v="3"/>
    <n v="0"/>
  </r>
  <r>
    <x v="0"/>
    <x v="0"/>
    <x v="0"/>
    <x v="0"/>
    <x v="1"/>
    <x v="4"/>
    <n v="0"/>
  </r>
  <r>
    <x v="0"/>
    <x v="0"/>
    <x v="0"/>
    <x v="0"/>
    <x v="1"/>
    <x v="5"/>
    <n v="0"/>
  </r>
  <r>
    <x v="0"/>
    <x v="0"/>
    <x v="0"/>
    <x v="0"/>
    <x v="1"/>
    <x v="6"/>
    <n v="0"/>
  </r>
  <r>
    <x v="0"/>
    <x v="0"/>
    <x v="0"/>
    <x v="0"/>
    <x v="1"/>
    <x v="7"/>
    <n v="0"/>
  </r>
  <r>
    <x v="0"/>
    <x v="0"/>
    <x v="0"/>
    <x v="0"/>
    <x v="1"/>
    <x v="8"/>
    <n v="0"/>
  </r>
  <r>
    <x v="0"/>
    <x v="0"/>
    <x v="0"/>
    <x v="0"/>
    <x v="1"/>
    <x v="9"/>
    <n v="0"/>
  </r>
  <r>
    <x v="0"/>
    <x v="0"/>
    <x v="0"/>
    <x v="0"/>
    <x v="1"/>
    <x v="10"/>
    <n v="0"/>
  </r>
  <r>
    <x v="0"/>
    <x v="0"/>
    <x v="0"/>
    <x v="0"/>
    <x v="1"/>
    <x v="11"/>
    <n v="0"/>
  </r>
  <r>
    <x v="1"/>
    <x v="0"/>
    <x v="0"/>
    <x v="0"/>
    <x v="2"/>
    <x v="0"/>
    <n v="0"/>
  </r>
  <r>
    <x v="1"/>
    <x v="0"/>
    <x v="0"/>
    <x v="0"/>
    <x v="2"/>
    <x v="1"/>
    <n v="0"/>
  </r>
  <r>
    <x v="1"/>
    <x v="0"/>
    <x v="0"/>
    <x v="0"/>
    <x v="2"/>
    <x v="2"/>
    <n v="0"/>
  </r>
  <r>
    <x v="1"/>
    <x v="0"/>
    <x v="0"/>
    <x v="0"/>
    <x v="2"/>
    <x v="3"/>
    <n v="0"/>
  </r>
  <r>
    <x v="1"/>
    <x v="0"/>
    <x v="0"/>
    <x v="0"/>
    <x v="2"/>
    <x v="4"/>
    <n v="0"/>
  </r>
  <r>
    <x v="1"/>
    <x v="0"/>
    <x v="0"/>
    <x v="0"/>
    <x v="2"/>
    <x v="5"/>
    <n v="0"/>
  </r>
  <r>
    <x v="1"/>
    <x v="0"/>
    <x v="0"/>
    <x v="0"/>
    <x v="2"/>
    <x v="6"/>
    <n v="0"/>
  </r>
  <r>
    <x v="1"/>
    <x v="0"/>
    <x v="0"/>
    <x v="0"/>
    <x v="2"/>
    <x v="7"/>
    <n v="0"/>
  </r>
  <r>
    <x v="1"/>
    <x v="0"/>
    <x v="0"/>
    <x v="0"/>
    <x v="2"/>
    <x v="8"/>
    <n v="0"/>
  </r>
  <r>
    <x v="1"/>
    <x v="0"/>
    <x v="0"/>
    <x v="0"/>
    <x v="2"/>
    <x v="9"/>
    <n v="0"/>
  </r>
  <r>
    <x v="1"/>
    <x v="0"/>
    <x v="0"/>
    <x v="0"/>
    <x v="2"/>
    <x v="10"/>
    <n v="0"/>
  </r>
  <r>
    <x v="1"/>
    <x v="0"/>
    <x v="0"/>
    <x v="0"/>
    <x v="2"/>
    <x v="11"/>
    <n v="0"/>
  </r>
  <r>
    <x v="0"/>
    <x v="0"/>
    <x v="0"/>
    <x v="0"/>
    <x v="3"/>
    <x v="0"/>
    <n v="0"/>
  </r>
  <r>
    <x v="0"/>
    <x v="0"/>
    <x v="0"/>
    <x v="0"/>
    <x v="3"/>
    <x v="1"/>
    <n v="979"/>
  </r>
  <r>
    <x v="0"/>
    <x v="0"/>
    <x v="0"/>
    <x v="0"/>
    <x v="3"/>
    <x v="2"/>
    <n v="510"/>
  </r>
  <r>
    <x v="0"/>
    <x v="0"/>
    <x v="0"/>
    <x v="0"/>
    <x v="3"/>
    <x v="3"/>
    <n v="220"/>
  </r>
  <r>
    <x v="0"/>
    <x v="0"/>
    <x v="0"/>
    <x v="0"/>
    <x v="3"/>
    <x v="4"/>
    <n v="560"/>
  </r>
  <r>
    <x v="0"/>
    <x v="0"/>
    <x v="0"/>
    <x v="0"/>
    <x v="3"/>
    <x v="5"/>
    <n v="0"/>
  </r>
  <r>
    <x v="0"/>
    <x v="0"/>
    <x v="0"/>
    <x v="0"/>
    <x v="3"/>
    <x v="6"/>
    <n v="0"/>
  </r>
  <r>
    <x v="0"/>
    <x v="0"/>
    <x v="0"/>
    <x v="0"/>
    <x v="3"/>
    <x v="7"/>
    <n v="0"/>
  </r>
  <r>
    <x v="0"/>
    <x v="0"/>
    <x v="0"/>
    <x v="0"/>
    <x v="3"/>
    <x v="8"/>
    <n v="0"/>
  </r>
  <r>
    <x v="0"/>
    <x v="0"/>
    <x v="0"/>
    <x v="0"/>
    <x v="3"/>
    <x v="9"/>
    <n v="0"/>
  </r>
  <r>
    <x v="0"/>
    <x v="0"/>
    <x v="0"/>
    <x v="0"/>
    <x v="3"/>
    <x v="10"/>
    <n v="0"/>
  </r>
  <r>
    <x v="0"/>
    <x v="0"/>
    <x v="0"/>
    <x v="0"/>
    <x v="3"/>
    <x v="11"/>
    <n v="0"/>
  </r>
  <r>
    <x v="1"/>
    <x v="0"/>
    <x v="0"/>
    <x v="0"/>
    <x v="4"/>
    <x v="0"/>
    <n v="0"/>
  </r>
  <r>
    <x v="1"/>
    <x v="0"/>
    <x v="0"/>
    <x v="0"/>
    <x v="4"/>
    <x v="1"/>
    <n v="0"/>
  </r>
  <r>
    <x v="1"/>
    <x v="0"/>
    <x v="0"/>
    <x v="0"/>
    <x v="4"/>
    <x v="2"/>
    <n v="0"/>
  </r>
  <r>
    <x v="1"/>
    <x v="0"/>
    <x v="0"/>
    <x v="0"/>
    <x v="4"/>
    <x v="3"/>
    <n v="800"/>
  </r>
  <r>
    <x v="1"/>
    <x v="0"/>
    <x v="0"/>
    <x v="0"/>
    <x v="4"/>
    <x v="4"/>
    <n v="320"/>
  </r>
  <r>
    <x v="1"/>
    <x v="0"/>
    <x v="0"/>
    <x v="0"/>
    <x v="4"/>
    <x v="5"/>
    <n v="0"/>
  </r>
  <r>
    <x v="1"/>
    <x v="0"/>
    <x v="0"/>
    <x v="0"/>
    <x v="4"/>
    <x v="6"/>
    <n v="0"/>
  </r>
  <r>
    <x v="1"/>
    <x v="0"/>
    <x v="0"/>
    <x v="0"/>
    <x v="4"/>
    <x v="7"/>
    <n v="0"/>
  </r>
  <r>
    <x v="1"/>
    <x v="0"/>
    <x v="0"/>
    <x v="0"/>
    <x v="4"/>
    <x v="8"/>
    <n v="0"/>
  </r>
  <r>
    <x v="1"/>
    <x v="0"/>
    <x v="0"/>
    <x v="0"/>
    <x v="4"/>
    <x v="9"/>
    <n v="0"/>
  </r>
  <r>
    <x v="1"/>
    <x v="0"/>
    <x v="0"/>
    <x v="0"/>
    <x v="4"/>
    <x v="10"/>
    <n v="0"/>
  </r>
  <r>
    <x v="1"/>
    <x v="0"/>
    <x v="0"/>
    <x v="0"/>
    <x v="4"/>
    <x v="11"/>
    <n v="0"/>
  </r>
  <r>
    <x v="1"/>
    <x v="0"/>
    <x v="0"/>
    <x v="0"/>
    <x v="5"/>
    <x v="0"/>
    <n v="0"/>
  </r>
  <r>
    <x v="1"/>
    <x v="0"/>
    <x v="0"/>
    <x v="0"/>
    <x v="5"/>
    <x v="1"/>
    <n v="0"/>
  </r>
  <r>
    <x v="1"/>
    <x v="0"/>
    <x v="0"/>
    <x v="0"/>
    <x v="5"/>
    <x v="2"/>
    <n v="0"/>
  </r>
  <r>
    <x v="1"/>
    <x v="0"/>
    <x v="0"/>
    <x v="0"/>
    <x v="5"/>
    <x v="3"/>
    <n v="1200"/>
  </r>
  <r>
    <x v="1"/>
    <x v="0"/>
    <x v="0"/>
    <x v="0"/>
    <x v="5"/>
    <x v="4"/>
    <n v="837"/>
  </r>
  <r>
    <x v="1"/>
    <x v="0"/>
    <x v="0"/>
    <x v="0"/>
    <x v="5"/>
    <x v="5"/>
    <n v="275"/>
  </r>
  <r>
    <x v="1"/>
    <x v="0"/>
    <x v="0"/>
    <x v="0"/>
    <x v="5"/>
    <x v="6"/>
    <n v="0"/>
  </r>
  <r>
    <x v="1"/>
    <x v="0"/>
    <x v="0"/>
    <x v="0"/>
    <x v="5"/>
    <x v="7"/>
    <n v="0"/>
  </r>
  <r>
    <x v="1"/>
    <x v="0"/>
    <x v="0"/>
    <x v="0"/>
    <x v="5"/>
    <x v="8"/>
    <n v="0"/>
  </r>
  <r>
    <x v="1"/>
    <x v="0"/>
    <x v="0"/>
    <x v="0"/>
    <x v="5"/>
    <x v="9"/>
    <n v="0"/>
  </r>
  <r>
    <x v="1"/>
    <x v="0"/>
    <x v="0"/>
    <x v="0"/>
    <x v="5"/>
    <x v="10"/>
    <n v="0"/>
  </r>
  <r>
    <x v="1"/>
    <x v="0"/>
    <x v="0"/>
    <x v="0"/>
    <x v="5"/>
    <x v="11"/>
    <n v="0"/>
  </r>
  <r>
    <x v="1"/>
    <x v="0"/>
    <x v="0"/>
    <x v="0"/>
    <x v="6"/>
    <x v="0"/>
    <n v="0"/>
  </r>
  <r>
    <x v="1"/>
    <x v="0"/>
    <x v="0"/>
    <x v="0"/>
    <x v="6"/>
    <x v="1"/>
    <n v="0"/>
  </r>
  <r>
    <x v="1"/>
    <x v="0"/>
    <x v="0"/>
    <x v="0"/>
    <x v="6"/>
    <x v="2"/>
    <n v="15332"/>
  </r>
  <r>
    <x v="1"/>
    <x v="0"/>
    <x v="0"/>
    <x v="0"/>
    <x v="6"/>
    <x v="3"/>
    <n v="0"/>
  </r>
  <r>
    <x v="1"/>
    <x v="0"/>
    <x v="0"/>
    <x v="0"/>
    <x v="6"/>
    <x v="4"/>
    <n v="7000"/>
  </r>
  <r>
    <x v="1"/>
    <x v="0"/>
    <x v="0"/>
    <x v="0"/>
    <x v="6"/>
    <x v="5"/>
    <n v="0"/>
  </r>
  <r>
    <x v="1"/>
    <x v="0"/>
    <x v="0"/>
    <x v="0"/>
    <x v="6"/>
    <x v="6"/>
    <n v="0"/>
  </r>
  <r>
    <x v="1"/>
    <x v="0"/>
    <x v="0"/>
    <x v="0"/>
    <x v="6"/>
    <x v="7"/>
    <n v="1860"/>
  </r>
  <r>
    <x v="1"/>
    <x v="0"/>
    <x v="0"/>
    <x v="0"/>
    <x v="6"/>
    <x v="8"/>
    <n v="0"/>
  </r>
  <r>
    <x v="1"/>
    <x v="0"/>
    <x v="0"/>
    <x v="0"/>
    <x v="6"/>
    <x v="9"/>
    <n v="0"/>
  </r>
  <r>
    <x v="1"/>
    <x v="0"/>
    <x v="0"/>
    <x v="0"/>
    <x v="6"/>
    <x v="10"/>
    <n v="0"/>
  </r>
  <r>
    <x v="1"/>
    <x v="0"/>
    <x v="0"/>
    <x v="0"/>
    <x v="6"/>
    <x v="11"/>
    <n v="0"/>
  </r>
  <r>
    <x v="2"/>
    <x v="0"/>
    <x v="0"/>
    <x v="0"/>
    <x v="7"/>
    <x v="0"/>
    <n v="0"/>
  </r>
  <r>
    <x v="2"/>
    <x v="0"/>
    <x v="0"/>
    <x v="0"/>
    <x v="7"/>
    <x v="1"/>
    <n v="0"/>
  </r>
  <r>
    <x v="2"/>
    <x v="0"/>
    <x v="0"/>
    <x v="0"/>
    <x v="7"/>
    <x v="2"/>
    <n v="0"/>
  </r>
  <r>
    <x v="2"/>
    <x v="0"/>
    <x v="0"/>
    <x v="0"/>
    <x v="7"/>
    <x v="3"/>
    <n v="3964"/>
  </r>
  <r>
    <x v="2"/>
    <x v="0"/>
    <x v="0"/>
    <x v="0"/>
    <x v="7"/>
    <x v="4"/>
    <n v="0"/>
  </r>
  <r>
    <x v="2"/>
    <x v="0"/>
    <x v="0"/>
    <x v="0"/>
    <x v="7"/>
    <x v="5"/>
    <n v="9575"/>
  </r>
  <r>
    <x v="2"/>
    <x v="0"/>
    <x v="0"/>
    <x v="0"/>
    <x v="7"/>
    <x v="6"/>
    <n v="0"/>
  </r>
  <r>
    <x v="2"/>
    <x v="0"/>
    <x v="0"/>
    <x v="0"/>
    <x v="7"/>
    <x v="7"/>
    <n v="1470"/>
  </r>
  <r>
    <x v="2"/>
    <x v="0"/>
    <x v="0"/>
    <x v="0"/>
    <x v="7"/>
    <x v="8"/>
    <n v="0"/>
  </r>
  <r>
    <x v="2"/>
    <x v="0"/>
    <x v="0"/>
    <x v="0"/>
    <x v="7"/>
    <x v="9"/>
    <n v="0"/>
  </r>
  <r>
    <x v="2"/>
    <x v="0"/>
    <x v="0"/>
    <x v="0"/>
    <x v="7"/>
    <x v="10"/>
    <n v="0"/>
  </r>
  <r>
    <x v="2"/>
    <x v="0"/>
    <x v="0"/>
    <x v="0"/>
    <x v="7"/>
    <x v="11"/>
    <n v="0"/>
  </r>
  <r>
    <x v="1"/>
    <x v="0"/>
    <x v="0"/>
    <x v="0"/>
    <x v="8"/>
    <x v="0"/>
    <n v="0"/>
  </r>
  <r>
    <x v="1"/>
    <x v="0"/>
    <x v="0"/>
    <x v="0"/>
    <x v="8"/>
    <x v="1"/>
    <n v="0"/>
  </r>
  <r>
    <x v="1"/>
    <x v="0"/>
    <x v="0"/>
    <x v="0"/>
    <x v="8"/>
    <x v="2"/>
    <n v="0"/>
  </r>
  <r>
    <x v="1"/>
    <x v="0"/>
    <x v="0"/>
    <x v="0"/>
    <x v="8"/>
    <x v="3"/>
    <n v="0"/>
  </r>
  <r>
    <x v="1"/>
    <x v="0"/>
    <x v="0"/>
    <x v="0"/>
    <x v="8"/>
    <x v="4"/>
    <n v="0"/>
  </r>
  <r>
    <x v="1"/>
    <x v="0"/>
    <x v="0"/>
    <x v="0"/>
    <x v="8"/>
    <x v="5"/>
    <n v="0"/>
  </r>
  <r>
    <x v="1"/>
    <x v="0"/>
    <x v="0"/>
    <x v="0"/>
    <x v="8"/>
    <x v="6"/>
    <n v="230"/>
  </r>
  <r>
    <x v="1"/>
    <x v="0"/>
    <x v="0"/>
    <x v="0"/>
    <x v="8"/>
    <x v="7"/>
    <n v="320"/>
  </r>
  <r>
    <x v="1"/>
    <x v="0"/>
    <x v="0"/>
    <x v="0"/>
    <x v="8"/>
    <x v="8"/>
    <n v="0"/>
  </r>
  <r>
    <x v="1"/>
    <x v="0"/>
    <x v="0"/>
    <x v="0"/>
    <x v="8"/>
    <x v="9"/>
    <n v="0"/>
  </r>
  <r>
    <x v="1"/>
    <x v="0"/>
    <x v="0"/>
    <x v="0"/>
    <x v="8"/>
    <x v="10"/>
    <n v="0"/>
  </r>
  <r>
    <x v="1"/>
    <x v="0"/>
    <x v="0"/>
    <x v="0"/>
    <x v="8"/>
    <x v="11"/>
    <n v="0"/>
  </r>
  <r>
    <x v="3"/>
    <x v="0"/>
    <x v="0"/>
    <x v="0"/>
    <x v="9"/>
    <x v="0"/>
    <n v="0"/>
  </r>
  <r>
    <x v="3"/>
    <x v="0"/>
    <x v="0"/>
    <x v="0"/>
    <x v="9"/>
    <x v="1"/>
    <n v="0"/>
  </r>
  <r>
    <x v="3"/>
    <x v="0"/>
    <x v="0"/>
    <x v="0"/>
    <x v="9"/>
    <x v="2"/>
    <n v="0"/>
  </r>
  <r>
    <x v="3"/>
    <x v="0"/>
    <x v="0"/>
    <x v="0"/>
    <x v="9"/>
    <x v="3"/>
    <n v="0"/>
  </r>
  <r>
    <x v="3"/>
    <x v="0"/>
    <x v="0"/>
    <x v="0"/>
    <x v="9"/>
    <x v="4"/>
    <n v="0"/>
  </r>
  <r>
    <x v="3"/>
    <x v="0"/>
    <x v="0"/>
    <x v="0"/>
    <x v="9"/>
    <x v="5"/>
    <n v="0"/>
  </r>
  <r>
    <x v="3"/>
    <x v="0"/>
    <x v="0"/>
    <x v="0"/>
    <x v="9"/>
    <x v="6"/>
    <n v="0"/>
  </r>
  <r>
    <x v="3"/>
    <x v="0"/>
    <x v="0"/>
    <x v="0"/>
    <x v="9"/>
    <x v="7"/>
    <n v="3208"/>
  </r>
  <r>
    <x v="3"/>
    <x v="0"/>
    <x v="0"/>
    <x v="0"/>
    <x v="9"/>
    <x v="8"/>
    <n v="0"/>
  </r>
  <r>
    <x v="3"/>
    <x v="0"/>
    <x v="0"/>
    <x v="0"/>
    <x v="9"/>
    <x v="9"/>
    <n v="605"/>
  </r>
  <r>
    <x v="3"/>
    <x v="0"/>
    <x v="0"/>
    <x v="0"/>
    <x v="9"/>
    <x v="10"/>
    <n v="0"/>
  </r>
  <r>
    <x v="3"/>
    <x v="0"/>
    <x v="0"/>
    <x v="0"/>
    <x v="9"/>
    <x v="11"/>
    <n v="0"/>
  </r>
  <r>
    <x v="1"/>
    <x v="0"/>
    <x v="0"/>
    <x v="0"/>
    <x v="10"/>
    <x v="0"/>
    <n v="0"/>
  </r>
  <r>
    <x v="1"/>
    <x v="0"/>
    <x v="0"/>
    <x v="0"/>
    <x v="10"/>
    <x v="1"/>
    <n v="0"/>
  </r>
  <r>
    <x v="1"/>
    <x v="0"/>
    <x v="0"/>
    <x v="0"/>
    <x v="10"/>
    <x v="2"/>
    <n v="0"/>
  </r>
  <r>
    <x v="1"/>
    <x v="0"/>
    <x v="0"/>
    <x v="0"/>
    <x v="10"/>
    <x v="3"/>
    <n v="0"/>
  </r>
  <r>
    <x v="1"/>
    <x v="0"/>
    <x v="0"/>
    <x v="0"/>
    <x v="10"/>
    <x v="4"/>
    <n v="0"/>
  </r>
  <r>
    <x v="1"/>
    <x v="0"/>
    <x v="0"/>
    <x v="0"/>
    <x v="10"/>
    <x v="5"/>
    <n v="0"/>
  </r>
  <r>
    <x v="1"/>
    <x v="0"/>
    <x v="0"/>
    <x v="0"/>
    <x v="10"/>
    <x v="6"/>
    <n v="0"/>
  </r>
  <r>
    <x v="1"/>
    <x v="0"/>
    <x v="0"/>
    <x v="0"/>
    <x v="10"/>
    <x v="7"/>
    <n v="0"/>
  </r>
  <r>
    <x v="1"/>
    <x v="0"/>
    <x v="0"/>
    <x v="0"/>
    <x v="10"/>
    <x v="8"/>
    <n v="1650"/>
  </r>
  <r>
    <x v="1"/>
    <x v="0"/>
    <x v="0"/>
    <x v="0"/>
    <x v="10"/>
    <x v="9"/>
    <n v="350"/>
  </r>
  <r>
    <x v="1"/>
    <x v="0"/>
    <x v="0"/>
    <x v="0"/>
    <x v="10"/>
    <x v="10"/>
    <n v="0"/>
  </r>
  <r>
    <x v="1"/>
    <x v="0"/>
    <x v="0"/>
    <x v="0"/>
    <x v="10"/>
    <x v="11"/>
    <n v="0"/>
  </r>
  <r>
    <x v="0"/>
    <x v="0"/>
    <x v="0"/>
    <x v="0"/>
    <x v="11"/>
    <x v="0"/>
    <n v="0"/>
  </r>
  <r>
    <x v="0"/>
    <x v="0"/>
    <x v="0"/>
    <x v="0"/>
    <x v="11"/>
    <x v="1"/>
    <n v="0"/>
  </r>
  <r>
    <x v="0"/>
    <x v="0"/>
    <x v="0"/>
    <x v="0"/>
    <x v="11"/>
    <x v="2"/>
    <n v="0"/>
  </r>
  <r>
    <x v="0"/>
    <x v="0"/>
    <x v="0"/>
    <x v="0"/>
    <x v="11"/>
    <x v="3"/>
    <n v="0"/>
  </r>
  <r>
    <x v="0"/>
    <x v="0"/>
    <x v="0"/>
    <x v="0"/>
    <x v="11"/>
    <x v="4"/>
    <n v="2500"/>
  </r>
  <r>
    <x v="0"/>
    <x v="0"/>
    <x v="0"/>
    <x v="0"/>
    <x v="11"/>
    <x v="5"/>
    <n v="0"/>
  </r>
  <r>
    <x v="0"/>
    <x v="0"/>
    <x v="0"/>
    <x v="0"/>
    <x v="11"/>
    <x v="6"/>
    <n v="6460"/>
  </r>
  <r>
    <x v="0"/>
    <x v="0"/>
    <x v="0"/>
    <x v="0"/>
    <x v="11"/>
    <x v="7"/>
    <n v="0"/>
  </r>
  <r>
    <x v="0"/>
    <x v="0"/>
    <x v="0"/>
    <x v="0"/>
    <x v="11"/>
    <x v="8"/>
    <n v="7803"/>
  </r>
  <r>
    <x v="0"/>
    <x v="0"/>
    <x v="0"/>
    <x v="0"/>
    <x v="11"/>
    <x v="9"/>
    <n v="0"/>
  </r>
  <r>
    <x v="0"/>
    <x v="0"/>
    <x v="0"/>
    <x v="0"/>
    <x v="11"/>
    <x v="10"/>
    <n v="2280"/>
  </r>
  <r>
    <x v="0"/>
    <x v="0"/>
    <x v="0"/>
    <x v="0"/>
    <x v="11"/>
    <x v="11"/>
    <n v="0"/>
  </r>
  <r>
    <x v="1"/>
    <x v="0"/>
    <x v="0"/>
    <x v="0"/>
    <x v="12"/>
    <x v="0"/>
    <n v="0"/>
  </r>
  <r>
    <x v="1"/>
    <x v="0"/>
    <x v="0"/>
    <x v="0"/>
    <x v="12"/>
    <x v="1"/>
    <n v="0"/>
  </r>
  <r>
    <x v="1"/>
    <x v="0"/>
    <x v="0"/>
    <x v="0"/>
    <x v="12"/>
    <x v="2"/>
    <n v="0"/>
  </r>
  <r>
    <x v="1"/>
    <x v="0"/>
    <x v="0"/>
    <x v="0"/>
    <x v="12"/>
    <x v="3"/>
    <n v="0"/>
  </r>
  <r>
    <x v="1"/>
    <x v="0"/>
    <x v="0"/>
    <x v="0"/>
    <x v="12"/>
    <x v="4"/>
    <n v="0"/>
  </r>
  <r>
    <x v="1"/>
    <x v="0"/>
    <x v="0"/>
    <x v="0"/>
    <x v="12"/>
    <x v="5"/>
    <n v="0"/>
  </r>
  <r>
    <x v="1"/>
    <x v="0"/>
    <x v="0"/>
    <x v="0"/>
    <x v="12"/>
    <x v="6"/>
    <n v="0"/>
  </r>
  <r>
    <x v="1"/>
    <x v="0"/>
    <x v="0"/>
    <x v="0"/>
    <x v="12"/>
    <x v="7"/>
    <n v="0"/>
  </r>
  <r>
    <x v="1"/>
    <x v="0"/>
    <x v="0"/>
    <x v="0"/>
    <x v="12"/>
    <x v="8"/>
    <n v="1989"/>
  </r>
  <r>
    <x v="1"/>
    <x v="0"/>
    <x v="0"/>
    <x v="0"/>
    <x v="12"/>
    <x v="9"/>
    <n v="0"/>
  </r>
  <r>
    <x v="1"/>
    <x v="0"/>
    <x v="0"/>
    <x v="0"/>
    <x v="12"/>
    <x v="10"/>
    <n v="420"/>
  </r>
  <r>
    <x v="1"/>
    <x v="0"/>
    <x v="0"/>
    <x v="0"/>
    <x v="12"/>
    <x v="11"/>
    <n v="0"/>
  </r>
  <r>
    <x v="1"/>
    <x v="0"/>
    <x v="0"/>
    <x v="0"/>
    <x v="13"/>
    <x v="0"/>
    <n v="0"/>
  </r>
  <r>
    <x v="1"/>
    <x v="0"/>
    <x v="0"/>
    <x v="0"/>
    <x v="13"/>
    <x v="1"/>
    <n v="0"/>
  </r>
  <r>
    <x v="1"/>
    <x v="0"/>
    <x v="0"/>
    <x v="0"/>
    <x v="13"/>
    <x v="2"/>
    <n v="0"/>
  </r>
  <r>
    <x v="1"/>
    <x v="0"/>
    <x v="0"/>
    <x v="0"/>
    <x v="13"/>
    <x v="3"/>
    <n v="0"/>
  </r>
  <r>
    <x v="1"/>
    <x v="0"/>
    <x v="0"/>
    <x v="0"/>
    <x v="13"/>
    <x v="4"/>
    <n v="0"/>
  </r>
  <r>
    <x v="1"/>
    <x v="0"/>
    <x v="0"/>
    <x v="0"/>
    <x v="13"/>
    <x v="5"/>
    <n v="0"/>
  </r>
  <r>
    <x v="1"/>
    <x v="0"/>
    <x v="0"/>
    <x v="0"/>
    <x v="13"/>
    <x v="6"/>
    <n v="0"/>
  </r>
  <r>
    <x v="1"/>
    <x v="0"/>
    <x v="0"/>
    <x v="0"/>
    <x v="13"/>
    <x v="7"/>
    <n v="0"/>
  </r>
  <r>
    <x v="1"/>
    <x v="0"/>
    <x v="0"/>
    <x v="0"/>
    <x v="13"/>
    <x v="8"/>
    <n v="4813"/>
  </r>
  <r>
    <x v="1"/>
    <x v="0"/>
    <x v="0"/>
    <x v="0"/>
    <x v="13"/>
    <x v="9"/>
    <n v="5900"/>
  </r>
  <r>
    <x v="1"/>
    <x v="0"/>
    <x v="0"/>
    <x v="0"/>
    <x v="13"/>
    <x v="10"/>
    <n v="0"/>
  </r>
  <r>
    <x v="1"/>
    <x v="0"/>
    <x v="0"/>
    <x v="0"/>
    <x v="13"/>
    <x v="11"/>
    <n v="1550"/>
  </r>
  <r>
    <x v="0"/>
    <x v="0"/>
    <x v="0"/>
    <x v="0"/>
    <x v="14"/>
    <x v="0"/>
    <n v="0"/>
  </r>
  <r>
    <x v="0"/>
    <x v="0"/>
    <x v="0"/>
    <x v="0"/>
    <x v="14"/>
    <x v="1"/>
    <n v="0"/>
  </r>
  <r>
    <x v="0"/>
    <x v="0"/>
    <x v="0"/>
    <x v="0"/>
    <x v="14"/>
    <x v="2"/>
    <n v="0"/>
  </r>
  <r>
    <x v="0"/>
    <x v="0"/>
    <x v="0"/>
    <x v="0"/>
    <x v="14"/>
    <x v="3"/>
    <n v="0"/>
  </r>
  <r>
    <x v="0"/>
    <x v="0"/>
    <x v="0"/>
    <x v="0"/>
    <x v="14"/>
    <x v="4"/>
    <n v="0"/>
  </r>
  <r>
    <x v="0"/>
    <x v="0"/>
    <x v="0"/>
    <x v="0"/>
    <x v="14"/>
    <x v="5"/>
    <n v="0"/>
  </r>
  <r>
    <x v="0"/>
    <x v="0"/>
    <x v="0"/>
    <x v="0"/>
    <x v="14"/>
    <x v="6"/>
    <n v="0"/>
  </r>
  <r>
    <x v="0"/>
    <x v="0"/>
    <x v="0"/>
    <x v="0"/>
    <x v="14"/>
    <x v="7"/>
    <n v="0"/>
  </r>
  <r>
    <x v="0"/>
    <x v="0"/>
    <x v="0"/>
    <x v="0"/>
    <x v="14"/>
    <x v="8"/>
    <n v="3545"/>
  </r>
  <r>
    <x v="0"/>
    <x v="0"/>
    <x v="0"/>
    <x v="0"/>
    <x v="14"/>
    <x v="9"/>
    <n v="0"/>
  </r>
  <r>
    <x v="0"/>
    <x v="0"/>
    <x v="0"/>
    <x v="0"/>
    <x v="14"/>
    <x v="10"/>
    <n v="0"/>
  </r>
  <r>
    <x v="0"/>
    <x v="0"/>
    <x v="0"/>
    <x v="0"/>
    <x v="14"/>
    <x v="11"/>
    <n v="0"/>
  </r>
  <r>
    <x v="1"/>
    <x v="0"/>
    <x v="0"/>
    <x v="0"/>
    <x v="15"/>
    <x v="0"/>
    <n v="0"/>
  </r>
  <r>
    <x v="1"/>
    <x v="0"/>
    <x v="0"/>
    <x v="0"/>
    <x v="15"/>
    <x v="1"/>
    <n v="0"/>
  </r>
  <r>
    <x v="1"/>
    <x v="0"/>
    <x v="0"/>
    <x v="0"/>
    <x v="15"/>
    <x v="2"/>
    <n v="0"/>
  </r>
  <r>
    <x v="1"/>
    <x v="0"/>
    <x v="0"/>
    <x v="0"/>
    <x v="15"/>
    <x v="3"/>
    <n v="0"/>
  </r>
  <r>
    <x v="1"/>
    <x v="0"/>
    <x v="0"/>
    <x v="0"/>
    <x v="15"/>
    <x v="4"/>
    <n v="0"/>
  </r>
  <r>
    <x v="1"/>
    <x v="0"/>
    <x v="0"/>
    <x v="0"/>
    <x v="15"/>
    <x v="5"/>
    <n v="0"/>
  </r>
  <r>
    <x v="1"/>
    <x v="0"/>
    <x v="0"/>
    <x v="0"/>
    <x v="15"/>
    <x v="6"/>
    <n v="0"/>
  </r>
  <r>
    <x v="1"/>
    <x v="0"/>
    <x v="0"/>
    <x v="0"/>
    <x v="15"/>
    <x v="7"/>
    <n v="0"/>
  </r>
  <r>
    <x v="1"/>
    <x v="0"/>
    <x v="0"/>
    <x v="0"/>
    <x v="15"/>
    <x v="8"/>
    <n v="0"/>
  </r>
  <r>
    <x v="1"/>
    <x v="0"/>
    <x v="0"/>
    <x v="0"/>
    <x v="15"/>
    <x v="9"/>
    <n v="0"/>
  </r>
  <r>
    <x v="1"/>
    <x v="0"/>
    <x v="0"/>
    <x v="0"/>
    <x v="15"/>
    <x v="10"/>
    <n v="0"/>
  </r>
  <r>
    <x v="1"/>
    <x v="0"/>
    <x v="0"/>
    <x v="0"/>
    <x v="15"/>
    <x v="11"/>
    <n v="3600"/>
  </r>
  <r>
    <x v="2"/>
    <x v="0"/>
    <x v="0"/>
    <x v="0"/>
    <x v="16"/>
    <x v="0"/>
    <n v="0"/>
  </r>
  <r>
    <x v="2"/>
    <x v="0"/>
    <x v="0"/>
    <x v="0"/>
    <x v="16"/>
    <x v="1"/>
    <n v="0"/>
  </r>
  <r>
    <x v="2"/>
    <x v="0"/>
    <x v="0"/>
    <x v="0"/>
    <x v="16"/>
    <x v="2"/>
    <n v="0"/>
  </r>
  <r>
    <x v="2"/>
    <x v="0"/>
    <x v="0"/>
    <x v="0"/>
    <x v="16"/>
    <x v="3"/>
    <n v="0"/>
  </r>
  <r>
    <x v="2"/>
    <x v="0"/>
    <x v="0"/>
    <x v="0"/>
    <x v="16"/>
    <x v="4"/>
    <n v="0"/>
  </r>
  <r>
    <x v="2"/>
    <x v="0"/>
    <x v="0"/>
    <x v="0"/>
    <x v="16"/>
    <x v="5"/>
    <n v="13967"/>
  </r>
  <r>
    <x v="2"/>
    <x v="0"/>
    <x v="0"/>
    <x v="0"/>
    <x v="16"/>
    <x v="6"/>
    <n v="0"/>
  </r>
  <r>
    <x v="2"/>
    <x v="0"/>
    <x v="0"/>
    <x v="0"/>
    <x v="16"/>
    <x v="7"/>
    <n v="0"/>
  </r>
  <r>
    <x v="2"/>
    <x v="0"/>
    <x v="0"/>
    <x v="0"/>
    <x v="16"/>
    <x v="8"/>
    <n v="0"/>
  </r>
  <r>
    <x v="2"/>
    <x v="0"/>
    <x v="0"/>
    <x v="0"/>
    <x v="16"/>
    <x v="9"/>
    <n v="0"/>
  </r>
  <r>
    <x v="2"/>
    <x v="0"/>
    <x v="0"/>
    <x v="0"/>
    <x v="16"/>
    <x v="10"/>
    <n v="0"/>
  </r>
  <r>
    <x v="2"/>
    <x v="0"/>
    <x v="0"/>
    <x v="0"/>
    <x v="16"/>
    <x v="11"/>
    <n v="0"/>
  </r>
  <r>
    <x v="3"/>
    <x v="0"/>
    <x v="0"/>
    <x v="0"/>
    <x v="17"/>
    <x v="0"/>
    <n v="0"/>
  </r>
  <r>
    <x v="3"/>
    <x v="0"/>
    <x v="0"/>
    <x v="0"/>
    <x v="17"/>
    <x v="1"/>
    <n v="0"/>
  </r>
  <r>
    <x v="3"/>
    <x v="0"/>
    <x v="0"/>
    <x v="0"/>
    <x v="17"/>
    <x v="2"/>
    <n v="0"/>
  </r>
  <r>
    <x v="3"/>
    <x v="0"/>
    <x v="0"/>
    <x v="0"/>
    <x v="17"/>
    <x v="3"/>
    <n v="0"/>
  </r>
  <r>
    <x v="3"/>
    <x v="0"/>
    <x v="0"/>
    <x v="0"/>
    <x v="17"/>
    <x v="4"/>
    <n v="0"/>
  </r>
  <r>
    <x v="3"/>
    <x v="0"/>
    <x v="0"/>
    <x v="0"/>
    <x v="17"/>
    <x v="5"/>
    <n v="0"/>
  </r>
  <r>
    <x v="3"/>
    <x v="0"/>
    <x v="0"/>
    <x v="0"/>
    <x v="17"/>
    <x v="6"/>
    <n v="0"/>
  </r>
  <r>
    <x v="3"/>
    <x v="0"/>
    <x v="0"/>
    <x v="0"/>
    <x v="17"/>
    <x v="7"/>
    <n v="0"/>
  </r>
  <r>
    <x v="3"/>
    <x v="0"/>
    <x v="0"/>
    <x v="0"/>
    <x v="17"/>
    <x v="8"/>
    <n v="0"/>
  </r>
  <r>
    <x v="3"/>
    <x v="0"/>
    <x v="0"/>
    <x v="0"/>
    <x v="17"/>
    <x v="9"/>
    <n v="0"/>
  </r>
  <r>
    <x v="3"/>
    <x v="0"/>
    <x v="0"/>
    <x v="0"/>
    <x v="17"/>
    <x v="10"/>
    <n v="0"/>
  </r>
  <r>
    <x v="3"/>
    <x v="0"/>
    <x v="0"/>
    <x v="0"/>
    <x v="17"/>
    <x v="11"/>
    <n v="7316"/>
  </r>
  <r>
    <x v="1"/>
    <x v="0"/>
    <x v="0"/>
    <x v="1"/>
    <x v="18"/>
    <x v="0"/>
    <n v="0"/>
  </r>
  <r>
    <x v="1"/>
    <x v="0"/>
    <x v="0"/>
    <x v="1"/>
    <x v="18"/>
    <x v="1"/>
    <n v="0"/>
  </r>
  <r>
    <x v="1"/>
    <x v="0"/>
    <x v="0"/>
    <x v="1"/>
    <x v="18"/>
    <x v="2"/>
    <n v="0"/>
  </r>
  <r>
    <x v="1"/>
    <x v="0"/>
    <x v="0"/>
    <x v="1"/>
    <x v="18"/>
    <x v="3"/>
    <n v="0"/>
  </r>
  <r>
    <x v="1"/>
    <x v="0"/>
    <x v="0"/>
    <x v="1"/>
    <x v="18"/>
    <x v="4"/>
    <n v="2500"/>
  </r>
  <r>
    <x v="1"/>
    <x v="0"/>
    <x v="0"/>
    <x v="1"/>
    <x v="18"/>
    <x v="5"/>
    <n v="0"/>
  </r>
  <r>
    <x v="1"/>
    <x v="0"/>
    <x v="0"/>
    <x v="1"/>
    <x v="18"/>
    <x v="6"/>
    <n v="0"/>
  </r>
  <r>
    <x v="1"/>
    <x v="0"/>
    <x v="0"/>
    <x v="1"/>
    <x v="18"/>
    <x v="7"/>
    <n v="0"/>
  </r>
  <r>
    <x v="1"/>
    <x v="0"/>
    <x v="0"/>
    <x v="1"/>
    <x v="18"/>
    <x v="8"/>
    <n v="0"/>
  </r>
  <r>
    <x v="1"/>
    <x v="0"/>
    <x v="0"/>
    <x v="1"/>
    <x v="18"/>
    <x v="9"/>
    <n v="0"/>
  </r>
  <r>
    <x v="1"/>
    <x v="0"/>
    <x v="0"/>
    <x v="1"/>
    <x v="18"/>
    <x v="10"/>
    <n v="0"/>
  </r>
  <r>
    <x v="1"/>
    <x v="0"/>
    <x v="0"/>
    <x v="1"/>
    <x v="18"/>
    <x v="11"/>
    <n v="0"/>
  </r>
  <r>
    <x v="1"/>
    <x v="0"/>
    <x v="0"/>
    <x v="1"/>
    <x v="19"/>
    <x v="0"/>
    <n v="0"/>
  </r>
  <r>
    <x v="1"/>
    <x v="0"/>
    <x v="0"/>
    <x v="1"/>
    <x v="19"/>
    <x v="1"/>
    <n v="0"/>
  </r>
  <r>
    <x v="1"/>
    <x v="0"/>
    <x v="0"/>
    <x v="1"/>
    <x v="19"/>
    <x v="2"/>
    <n v="3233"/>
  </r>
  <r>
    <x v="1"/>
    <x v="0"/>
    <x v="0"/>
    <x v="1"/>
    <x v="19"/>
    <x v="3"/>
    <n v="0"/>
  </r>
  <r>
    <x v="1"/>
    <x v="0"/>
    <x v="0"/>
    <x v="1"/>
    <x v="19"/>
    <x v="4"/>
    <n v="0"/>
  </r>
  <r>
    <x v="1"/>
    <x v="0"/>
    <x v="0"/>
    <x v="1"/>
    <x v="19"/>
    <x v="5"/>
    <n v="0"/>
  </r>
  <r>
    <x v="1"/>
    <x v="0"/>
    <x v="0"/>
    <x v="1"/>
    <x v="19"/>
    <x v="6"/>
    <n v="0"/>
  </r>
  <r>
    <x v="1"/>
    <x v="0"/>
    <x v="0"/>
    <x v="1"/>
    <x v="19"/>
    <x v="7"/>
    <n v="0"/>
  </r>
  <r>
    <x v="1"/>
    <x v="0"/>
    <x v="0"/>
    <x v="1"/>
    <x v="19"/>
    <x v="8"/>
    <n v="0"/>
  </r>
  <r>
    <x v="1"/>
    <x v="0"/>
    <x v="0"/>
    <x v="1"/>
    <x v="19"/>
    <x v="9"/>
    <n v="0"/>
  </r>
  <r>
    <x v="1"/>
    <x v="0"/>
    <x v="0"/>
    <x v="1"/>
    <x v="19"/>
    <x v="10"/>
    <n v="0"/>
  </r>
  <r>
    <x v="1"/>
    <x v="0"/>
    <x v="0"/>
    <x v="1"/>
    <x v="19"/>
    <x v="11"/>
    <n v="0"/>
  </r>
  <r>
    <x v="1"/>
    <x v="0"/>
    <x v="0"/>
    <x v="1"/>
    <x v="20"/>
    <x v="0"/>
    <n v="0"/>
  </r>
  <r>
    <x v="1"/>
    <x v="0"/>
    <x v="0"/>
    <x v="1"/>
    <x v="20"/>
    <x v="1"/>
    <n v="0"/>
  </r>
  <r>
    <x v="1"/>
    <x v="0"/>
    <x v="0"/>
    <x v="1"/>
    <x v="20"/>
    <x v="2"/>
    <n v="0"/>
  </r>
  <r>
    <x v="1"/>
    <x v="0"/>
    <x v="0"/>
    <x v="1"/>
    <x v="20"/>
    <x v="3"/>
    <n v="0"/>
  </r>
  <r>
    <x v="1"/>
    <x v="0"/>
    <x v="0"/>
    <x v="1"/>
    <x v="20"/>
    <x v="4"/>
    <n v="0"/>
  </r>
  <r>
    <x v="1"/>
    <x v="0"/>
    <x v="0"/>
    <x v="1"/>
    <x v="20"/>
    <x v="5"/>
    <n v="0"/>
  </r>
  <r>
    <x v="1"/>
    <x v="0"/>
    <x v="0"/>
    <x v="1"/>
    <x v="20"/>
    <x v="6"/>
    <n v="1685"/>
  </r>
  <r>
    <x v="1"/>
    <x v="0"/>
    <x v="0"/>
    <x v="1"/>
    <x v="20"/>
    <x v="7"/>
    <n v="0"/>
  </r>
  <r>
    <x v="1"/>
    <x v="0"/>
    <x v="0"/>
    <x v="1"/>
    <x v="20"/>
    <x v="8"/>
    <n v="0"/>
  </r>
  <r>
    <x v="1"/>
    <x v="0"/>
    <x v="0"/>
    <x v="1"/>
    <x v="20"/>
    <x v="9"/>
    <n v="0"/>
  </r>
  <r>
    <x v="1"/>
    <x v="0"/>
    <x v="0"/>
    <x v="1"/>
    <x v="20"/>
    <x v="10"/>
    <n v="0"/>
  </r>
  <r>
    <x v="1"/>
    <x v="0"/>
    <x v="0"/>
    <x v="1"/>
    <x v="20"/>
    <x v="11"/>
    <n v="0"/>
  </r>
  <r>
    <x v="1"/>
    <x v="0"/>
    <x v="0"/>
    <x v="1"/>
    <x v="21"/>
    <x v="0"/>
    <n v="0"/>
  </r>
  <r>
    <x v="1"/>
    <x v="0"/>
    <x v="0"/>
    <x v="1"/>
    <x v="21"/>
    <x v="1"/>
    <n v="0"/>
  </r>
  <r>
    <x v="1"/>
    <x v="0"/>
    <x v="0"/>
    <x v="1"/>
    <x v="21"/>
    <x v="2"/>
    <n v="499"/>
  </r>
  <r>
    <x v="1"/>
    <x v="0"/>
    <x v="0"/>
    <x v="1"/>
    <x v="21"/>
    <x v="3"/>
    <n v="0"/>
  </r>
  <r>
    <x v="1"/>
    <x v="0"/>
    <x v="0"/>
    <x v="1"/>
    <x v="21"/>
    <x v="4"/>
    <n v="0"/>
  </r>
  <r>
    <x v="1"/>
    <x v="0"/>
    <x v="0"/>
    <x v="1"/>
    <x v="21"/>
    <x v="5"/>
    <n v="0"/>
  </r>
  <r>
    <x v="1"/>
    <x v="0"/>
    <x v="0"/>
    <x v="1"/>
    <x v="21"/>
    <x v="6"/>
    <n v="0"/>
  </r>
  <r>
    <x v="1"/>
    <x v="0"/>
    <x v="0"/>
    <x v="1"/>
    <x v="21"/>
    <x v="7"/>
    <n v="0"/>
  </r>
  <r>
    <x v="1"/>
    <x v="0"/>
    <x v="0"/>
    <x v="1"/>
    <x v="21"/>
    <x v="8"/>
    <n v="0"/>
  </r>
  <r>
    <x v="1"/>
    <x v="0"/>
    <x v="0"/>
    <x v="1"/>
    <x v="21"/>
    <x v="9"/>
    <n v="0"/>
  </r>
  <r>
    <x v="1"/>
    <x v="0"/>
    <x v="0"/>
    <x v="1"/>
    <x v="21"/>
    <x v="10"/>
    <n v="0"/>
  </r>
  <r>
    <x v="1"/>
    <x v="0"/>
    <x v="0"/>
    <x v="1"/>
    <x v="21"/>
    <x v="11"/>
    <n v="0"/>
  </r>
  <r>
    <x v="1"/>
    <x v="0"/>
    <x v="0"/>
    <x v="1"/>
    <x v="22"/>
    <x v="0"/>
    <n v="0"/>
  </r>
  <r>
    <x v="1"/>
    <x v="0"/>
    <x v="0"/>
    <x v="1"/>
    <x v="22"/>
    <x v="1"/>
    <n v="0"/>
  </r>
  <r>
    <x v="1"/>
    <x v="0"/>
    <x v="0"/>
    <x v="1"/>
    <x v="22"/>
    <x v="2"/>
    <n v="1454"/>
  </r>
  <r>
    <x v="1"/>
    <x v="0"/>
    <x v="0"/>
    <x v="1"/>
    <x v="22"/>
    <x v="3"/>
    <n v="0"/>
  </r>
  <r>
    <x v="1"/>
    <x v="0"/>
    <x v="0"/>
    <x v="1"/>
    <x v="22"/>
    <x v="4"/>
    <n v="0"/>
  </r>
  <r>
    <x v="1"/>
    <x v="0"/>
    <x v="0"/>
    <x v="1"/>
    <x v="22"/>
    <x v="5"/>
    <n v="0"/>
  </r>
  <r>
    <x v="1"/>
    <x v="0"/>
    <x v="0"/>
    <x v="1"/>
    <x v="22"/>
    <x v="6"/>
    <n v="0"/>
  </r>
  <r>
    <x v="1"/>
    <x v="0"/>
    <x v="0"/>
    <x v="1"/>
    <x v="22"/>
    <x v="7"/>
    <n v="0"/>
  </r>
  <r>
    <x v="1"/>
    <x v="0"/>
    <x v="0"/>
    <x v="1"/>
    <x v="22"/>
    <x v="8"/>
    <n v="0"/>
  </r>
  <r>
    <x v="1"/>
    <x v="0"/>
    <x v="0"/>
    <x v="1"/>
    <x v="22"/>
    <x v="9"/>
    <n v="0"/>
  </r>
  <r>
    <x v="1"/>
    <x v="0"/>
    <x v="0"/>
    <x v="1"/>
    <x v="22"/>
    <x v="10"/>
    <n v="0"/>
  </r>
  <r>
    <x v="1"/>
    <x v="0"/>
    <x v="0"/>
    <x v="1"/>
    <x v="22"/>
    <x v="11"/>
    <n v="0"/>
  </r>
  <r>
    <x v="1"/>
    <x v="0"/>
    <x v="0"/>
    <x v="1"/>
    <x v="23"/>
    <x v="0"/>
    <n v="0"/>
  </r>
  <r>
    <x v="1"/>
    <x v="0"/>
    <x v="0"/>
    <x v="1"/>
    <x v="23"/>
    <x v="1"/>
    <n v="0"/>
  </r>
  <r>
    <x v="1"/>
    <x v="0"/>
    <x v="0"/>
    <x v="1"/>
    <x v="23"/>
    <x v="2"/>
    <n v="0"/>
  </r>
  <r>
    <x v="1"/>
    <x v="0"/>
    <x v="0"/>
    <x v="1"/>
    <x v="23"/>
    <x v="3"/>
    <n v="0"/>
  </r>
  <r>
    <x v="1"/>
    <x v="0"/>
    <x v="0"/>
    <x v="1"/>
    <x v="23"/>
    <x v="4"/>
    <n v="0"/>
  </r>
  <r>
    <x v="1"/>
    <x v="0"/>
    <x v="0"/>
    <x v="1"/>
    <x v="23"/>
    <x v="5"/>
    <n v="1500"/>
  </r>
  <r>
    <x v="1"/>
    <x v="0"/>
    <x v="0"/>
    <x v="1"/>
    <x v="23"/>
    <x v="6"/>
    <n v="0"/>
  </r>
  <r>
    <x v="1"/>
    <x v="0"/>
    <x v="0"/>
    <x v="1"/>
    <x v="23"/>
    <x v="7"/>
    <n v="0"/>
  </r>
  <r>
    <x v="1"/>
    <x v="0"/>
    <x v="0"/>
    <x v="1"/>
    <x v="23"/>
    <x v="8"/>
    <n v="0"/>
  </r>
  <r>
    <x v="1"/>
    <x v="0"/>
    <x v="0"/>
    <x v="1"/>
    <x v="23"/>
    <x v="9"/>
    <n v="0"/>
  </r>
  <r>
    <x v="1"/>
    <x v="0"/>
    <x v="0"/>
    <x v="1"/>
    <x v="23"/>
    <x v="10"/>
    <n v="0"/>
  </r>
  <r>
    <x v="1"/>
    <x v="0"/>
    <x v="0"/>
    <x v="1"/>
    <x v="23"/>
    <x v="11"/>
    <n v="0"/>
  </r>
  <r>
    <x v="1"/>
    <x v="0"/>
    <x v="0"/>
    <x v="1"/>
    <x v="24"/>
    <x v="0"/>
    <n v="0"/>
  </r>
  <r>
    <x v="1"/>
    <x v="0"/>
    <x v="0"/>
    <x v="1"/>
    <x v="24"/>
    <x v="1"/>
    <n v="0"/>
  </r>
  <r>
    <x v="1"/>
    <x v="0"/>
    <x v="0"/>
    <x v="1"/>
    <x v="24"/>
    <x v="2"/>
    <n v="250"/>
  </r>
  <r>
    <x v="1"/>
    <x v="0"/>
    <x v="0"/>
    <x v="1"/>
    <x v="24"/>
    <x v="3"/>
    <n v="0"/>
  </r>
  <r>
    <x v="1"/>
    <x v="0"/>
    <x v="0"/>
    <x v="1"/>
    <x v="24"/>
    <x v="4"/>
    <n v="0"/>
  </r>
  <r>
    <x v="1"/>
    <x v="0"/>
    <x v="0"/>
    <x v="1"/>
    <x v="24"/>
    <x v="5"/>
    <n v="0"/>
  </r>
  <r>
    <x v="1"/>
    <x v="0"/>
    <x v="0"/>
    <x v="1"/>
    <x v="24"/>
    <x v="6"/>
    <n v="250"/>
  </r>
  <r>
    <x v="1"/>
    <x v="0"/>
    <x v="0"/>
    <x v="1"/>
    <x v="24"/>
    <x v="7"/>
    <n v="0"/>
  </r>
  <r>
    <x v="1"/>
    <x v="0"/>
    <x v="0"/>
    <x v="1"/>
    <x v="24"/>
    <x v="8"/>
    <n v="0"/>
  </r>
  <r>
    <x v="1"/>
    <x v="0"/>
    <x v="0"/>
    <x v="1"/>
    <x v="24"/>
    <x v="9"/>
    <n v="0"/>
  </r>
  <r>
    <x v="1"/>
    <x v="0"/>
    <x v="0"/>
    <x v="1"/>
    <x v="24"/>
    <x v="10"/>
    <n v="250"/>
  </r>
  <r>
    <x v="1"/>
    <x v="0"/>
    <x v="0"/>
    <x v="1"/>
    <x v="24"/>
    <x v="11"/>
    <n v="0"/>
  </r>
  <r>
    <x v="1"/>
    <x v="0"/>
    <x v="0"/>
    <x v="1"/>
    <x v="25"/>
    <x v="0"/>
    <n v="0"/>
  </r>
  <r>
    <x v="1"/>
    <x v="0"/>
    <x v="0"/>
    <x v="1"/>
    <x v="25"/>
    <x v="1"/>
    <n v="0"/>
  </r>
  <r>
    <x v="1"/>
    <x v="0"/>
    <x v="0"/>
    <x v="1"/>
    <x v="25"/>
    <x v="2"/>
    <n v="0"/>
  </r>
  <r>
    <x v="1"/>
    <x v="0"/>
    <x v="0"/>
    <x v="1"/>
    <x v="25"/>
    <x v="3"/>
    <n v="0"/>
  </r>
  <r>
    <x v="1"/>
    <x v="0"/>
    <x v="0"/>
    <x v="1"/>
    <x v="25"/>
    <x v="4"/>
    <n v="0"/>
  </r>
  <r>
    <x v="1"/>
    <x v="0"/>
    <x v="0"/>
    <x v="1"/>
    <x v="25"/>
    <x v="5"/>
    <n v="770"/>
  </r>
  <r>
    <x v="1"/>
    <x v="0"/>
    <x v="0"/>
    <x v="1"/>
    <x v="25"/>
    <x v="6"/>
    <n v="0"/>
  </r>
  <r>
    <x v="1"/>
    <x v="0"/>
    <x v="0"/>
    <x v="1"/>
    <x v="25"/>
    <x v="7"/>
    <n v="0"/>
  </r>
  <r>
    <x v="1"/>
    <x v="0"/>
    <x v="0"/>
    <x v="1"/>
    <x v="25"/>
    <x v="8"/>
    <n v="0"/>
  </r>
  <r>
    <x v="1"/>
    <x v="0"/>
    <x v="0"/>
    <x v="1"/>
    <x v="25"/>
    <x v="9"/>
    <n v="0"/>
  </r>
  <r>
    <x v="1"/>
    <x v="0"/>
    <x v="0"/>
    <x v="1"/>
    <x v="25"/>
    <x v="10"/>
    <n v="0"/>
  </r>
  <r>
    <x v="1"/>
    <x v="0"/>
    <x v="0"/>
    <x v="1"/>
    <x v="25"/>
    <x v="11"/>
    <n v="0"/>
  </r>
  <r>
    <x v="1"/>
    <x v="0"/>
    <x v="1"/>
    <x v="2"/>
    <x v="26"/>
    <x v="0"/>
    <n v="2000"/>
  </r>
  <r>
    <x v="1"/>
    <x v="0"/>
    <x v="1"/>
    <x v="2"/>
    <x v="26"/>
    <x v="1"/>
    <n v="2000"/>
  </r>
  <r>
    <x v="1"/>
    <x v="0"/>
    <x v="1"/>
    <x v="2"/>
    <x v="26"/>
    <x v="2"/>
    <n v="2000"/>
  </r>
  <r>
    <x v="1"/>
    <x v="0"/>
    <x v="1"/>
    <x v="2"/>
    <x v="26"/>
    <x v="3"/>
    <n v="2000"/>
  </r>
  <r>
    <x v="1"/>
    <x v="0"/>
    <x v="1"/>
    <x v="2"/>
    <x v="26"/>
    <x v="4"/>
    <n v="2000"/>
  </r>
  <r>
    <x v="1"/>
    <x v="0"/>
    <x v="1"/>
    <x v="2"/>
    <x v="26"/>
    <x v="5"/>
    <n v="2000"/>
  </r>
  <r>
    <x v="1"/>
    <x v="0"/>
    <x v="1"/>
    <x v="2"/>
    <x v="26"/>
    <x v="6"/>
    <n v="2000"/>
  </r>
  <r>
    <x v="1"/>
    <x v="0"/>
    <x v="1"/>
    <x v="2"/>
    <x v="26"/>
    <x v="7"/>
    <n v="2000"/>
  </r>
  <r>
    <x v="1"/>
    <x v="0"/>
    <x v="1"/>
    <x v="2"/>
    <x v="26"/>
    <x v="8"/>
    <n v="2000"/>
  </r>
  <r>
    <x v="1"/>
    <x v="0"/>
    <x v="1"/>
    <x v="2"/>
    <x v="26"/>
    <x v="9"/>
    <n v="2000"/>
  </r>
  <r>
    <x v="1"/>
    <x v="0"/>
    <x v="1"/>
    <x v="2"/>
    <x v="26"/>
    <x v="10"/>
    <n v="2000"/>
  </r>
  <r>
    <x v="1"/>
    <x v="0"/>
    <x v="1"/>
    <x v="2"/>
    <x v="26"/>
    <x v="11"/>
    <n v="2000"/>
  </r>
  <r>
    <x v="1"/>
    <x v="0"/>
    <x v="0"/>
    <x v="3"/>
    <x v="27"/>
    <x v="0"/>
    <n v="1000"/>
  </r>
  <r>
    <x v="1"/>
    <x v="0"/>
    <x v="0"/>
    <x v="3"/>
    <x v="27"/>
    <x v="1"/>
    <n v="1000"/>
  </r>
  <r>
    <x v="1"/>
    <x v="0"/>
    <x v="0"/>
    <x v="3"/>
    <x v="27"/>
    <x v="2"/>
    <n v="1000"/>
  </r>
  <r>
    <x v="1"/>
    <x v="0"/>
    <x v="0"/>
    <x v="3"/>
    <x v="27"/>
    <x v="3"/>
    <n v="1000"/>
  </r>
  <r>
    <x v="1"/>
    <x v="0"/>
    <x v="0"/>
    <x v="3"/>
    <x v="27"/>
    <x v="4"/>
    <n v="1000"/>
  </r>
  <r>
    <x v="1"/>
    <x v="0"/>
    <x v="0"/>
    <x v="3"/>
    <x v="27"/>
    <x v="5"/>
    <n v="1000"/>
  </r>
  <r>
    <x v="1"/>
    <x v="0"/>
    <x v="0"/>
    <x v="3"/>
    <x v="27"/>
    <x v="6"/>
    <n v="1000"/>
  </r>
  <r>
    <x v="1"/>
    <x v="0"/>
    <x v="0"/>
    <x v="3"/>
    <x v="27"/>
    <x v="7"/>
    <n v="1000"/>
  </r>
  <r>
    <x v="1"/>
    <x v="0"/>
    <x v="0"/>
    <x v="3"/>
    <x v="27"/>
    <x v="8"/>
    <n v="1000"/>
  </r>
  <r>
    <x v="1"/>
    <x v="0"/>
    <x v="0"/>
    <x v="3"/>
    <x v="27"/>
    <x v="9"/>
    <n v="1000"/>
  </r>
  <r>
    <x v="1"/>
    <x v="0"/>
    <x v="0"/>
    <x v="3"/>
    <x v="27"/>
    <x v="10"/>
    <n v="1000"/>
  </r>
  <r>
    <x v="1"/>
    <x v="0"/>
    <x v="0"/>
    <x v="3"/>
    <x v="27"/>
    <x v="11"/>
    <n v="1000"/>
  </r>
  <r>
    <x v="1"/>
    <x v="0"/>
    <x v="1"/>
    <x v="4"/>
    <x v="28"/>
    <x v="0"/>
    <n v="500"/>
  </r>
  <r>
    <x v="1"/>
    <x v="0"/>
    <x v="1"/>
    <x v="4"/>
    <x v="28"/>
    <x v="1"/>
    <n v="500"/>
  </r>
  <r>
    <x v="1"/>
    <x v="0"/>
    <x v="1"/>
    <x v="4"/>
    <x v="28"/>
    <x v="2"/>
    <n v="500"/>
  </r>
  <r>
    <x v="1"/>
    <x v="0"/>
    <x v="1"/>
    <x v="4"/>
    <x v="28"/>
    <x v="3"/>
    <n v="500"/>
  </r>
  <r>
    <x v="1"/>
    <x v="0"/>
    <x v="1"/>
    <x v="4"/>
    <x v="28"/>
    <x v="4"/>
    <n v="500"/>
  </r>
  <r>
    <x v="1"/>
    <x v="0"/>
    <x v="1"/>
    <x v="4"/>
    <x v="28"/>
    <x v="5"/>
    <n v="500"/>
  </r>
  <r>
    <x v="1"/>
    <x v="0"/>
    <x v="1"/>
    <x v="4"/>
    <x v="28"/>
    <x v="6"/>
    <n v="500"/>
  </r>
  <r>
    <x v="1"/>
    <x v="0"/>
    <x v="1"/>
    <x v="4"/>
    <x v="28"/>
    <x v="7"/>
    <n v="500"/>
  </r>
  <r>
    <x v="1"/>
    <x v="0"/>
    <x v="1"/>
    <x v="4"/>
    <x v="28"/>
    <x v="8"/>
    <n v="500"/>
  </r>
  <r>
    <x v="1"/>
    <x v="0"/>
    <x v="1"/>
    <x v="4"/>
    <x v="28"/>
    <x v="9"/>
    <n v="500"/>
  </r>
  <r>
    <x v="1"/>
    <x v="0"/>
    <x v="1"/>
    <x v="4"/>
    <x v="28"/>
    <x v="10"/>
    <n v="500"/>
  </r>
  <r>
    <x v="1"/>
    <x v="0"/>
    <x v="1"/>
    <x v="4"/>
    <x v="28"/>
    <x v="11"/>
    <n v="500"/>
  </r>
  <r>
    <x v="1"/>
    <x v="0"/>
    <x v="1"/>
    <x v="5"/>
    <x v="29"/>
    <x v="0"/>
    <n v="0"/>
  </r>
  <r>
    <x v="1"/>
    <x v="0"/>
    <x v="1"/>
    <x v="5"/>
    <x v="29"/>
    <x v="1"/>
    <n v="0"/>
  </r>
  <r>
    <x v="1"/>
    <x v="0"/>
    <x v="1"/>
    <x v="5"/>
    <x v="29"/>
    <x v="2"/>
    <n v="7000"/>
  </r>
  <r>
    <x v="1"/>
    <x v="0"/>
    <x v="1"/>
    <x v="5"/>
    <x v="29"/>
    <x v="3"/>
    <n v="0"/>
  </r>
  <r>
    <x v="1"/>
    <x v="0"/>
    <x v="1"/>
    <x v="5"/>
    <x v="29"/>
    <x v="4"/>
    <n v="0"/>
  </r>
  <r>
    <x v="1"/>
    <x v="0"/>
    <x v="1"/>
    <x v="5"/>
    <x v="29"/>
    <x v="5"/>
    <n v="0"/>
  </r>
  <r>
    <x v="1"/>
    <x v="0"/>
    <x v="1"/>
    <x v="5"/>
    <x v="29"/>
    <x v="6"/>
    <n v="0"/>
  </r>
  <r>
    <x v="1"/>
    <x v="0"/>
    <x v="1"/>
    <x v="5"/>
    <x v="29"/>
    <x v="7"/>
    <n v="0"/>
  </r>
  <r>
    <x v="1"/>
    <x v="0"/>
    <x v="1"/>
    <x v="5"/>
    <x v="29"/>
    <x v="8"/>
    <n v="0"/>
  </r>
  <r>
    <x v="1"/>
    <x v="0"/>
    <x v="1"/>
    <x v="5"/>
    <x v="29"/>
    <x v="9"/>
    <n v="0"/>
  </r>
  <r>
    <x v="1"/>
    <x v="0"/>
    <x v="1"/>
    <x v="5"/>
    <x v="29"/>
    <x v="10"/>
    <n v="0"/>
  </r>
  <r>
    <x v="1"/>
    <x v="0"/>
    <x v="1"/>
    <x v="5"/>
    <x v="29"/>
    <x v="11"/>
    <n v="0"/>
  </r>
  <r>
    <x v="1"/>
    <x v="0"/>
    <x v="0"/>
    <x v="5"/>
    <x v="30"/>
    <x v="0"/>
    <n v="0"/>
  </r>
  <r>
    <x v="1"/>
    <x v="0"/>
    <x v="0"/>
    <x v="5"/>
    <x v="30"/>
    <x v="1"/>
    <n v="0"/>
  </r>
  <r>
    <x v="1"/>
    <x v="0"/>
    <x v="0"/>
    <x v="5"/>
    <x v="30"/>
    <x v="2"/>
    <n v="0"/>
  </r>
  <r>
    <x v="1"/>
    <x v="0"/>
    <x v="0"/>
    <x v="5"/>
    <x v="30"/>
    <x v="3"/>
    <n v="0"/>
  </r>
  <r>
    <x v="1"/>
    <x v="0"/>
    <x v="0"/>
    <x v="5"/>
    <x v="30"/>
    <x v="4"/>
    <n v="0"/>
  </r>
  <r>
    <x v="1"/>
    <x v="0"/>
    <x v="0"/>
    <x v="5"/>
    <x v="30"/>
    <x v="5"/>
    <n v="0"/>
  </r>
  <r>
    <x v="1"/>
    <x v="0"/>
    <x v="0"/>
    <x v="5"/>
    <x v="30"/>
    <x v="6"/>
    <n v="0"/>
  </r>
  <r>
    <x v="1"/>
    <x v="0"/>
    <x v="0"/>
    <x v="5"/>
    <x v="30"/>
    <x v="7"/>
    <n v="0"/>
  </r>
  <r>
    <x v="1"/>
    <x v="0"/>
    <x v="0"/>
    <x v="5"/>
    <x v="30"/>
    <x v="8"/>
    <n v="0"/>
  </r>
  <r>
    <x v="1"/>
    <x v="0"/>
    <x v="0"/>
    <x v="5"/>
    <x v="30"/>
    <x v="9"/>
    <n v="0"/>
  </r>
  <r>
    <x v="1"/>
    <x v="0"/>
    <x v="0"/>
    <x v="5"/>
    <x v="30"/>
    <x v="10"/>
    <n v="0"/>
  </r>
  <r>
    <x v="1"/>
    <x v="0"/>
    <x v="0"/>
    <x v="5"/>
    <x v="30"/>
    <x v="11"/>
    <n v="0"/>
  </r>
  <r>
    <x v="4"/>
    <x v="0"/>
    <x v="1"/>
    <x v="5"/>
    <x v="31"/>
    <x v="0"/>
    <n v="0"/>
  </r>
  <r>
    <x v="4"/>
    <x v="0"/>
    <x v="1"/>
    <x v="5"/>
    <x v="31"/>
    <x v="1"/>
    <n v="0"/>
  </r>
  <r>
    <x v="4"/>
    <x v="0"/>
    <x v="1"/>
    <x v="5"/>
    <x v="31"/>
    <x v="2"/>
    <n v="10000"/>
  </r>
  <r>
    <x v="4"/>
    <x v="0"/>
    <x v="1"/>
    <x v="5"/>
    <x v="31"/>
    <x v="3"/>
    <n v="0"/>
  </r>
  <r>
    <x v="4"/>
    <x v="0"/>
    <x v="1"/>
    <x v="5"/>
    <x v="31"/>
    <x v="4"/>
    <n v="0"/>
  </r>
  <r>
    <x v="4"/>
    <x v="0"/>
    <x v="1"/>
    <x v="5"/>
    <x v="31"/>
    <x v="5"/>
    <n v="0"/>
  </r>
  <r>
    <x v="4"/>
    <x v="0"/>
    <x v="1"/>
    <x v="5"/>
    <x v="31"/>
    <x v="6"/>
    <n v="10000"/>
  </r>
  <r>
    <x v="4"/>
    <x v="0"/>
    <x v="1"/>
    <x v="5"/>
    <x v="31"/>
    <x v="7"/>
    <n v="0"/>
  </r>
  <r>
    <x v="4"/>
    <x v="0"/>
    <x v="1"/>
    <x v="5"/>
    <x v="31"/>
    <x v="8"/>
    <n v="0"/>
  </r>
  <r>
    <x v="4"/>
    <x v="0"/>
    <x v="1"/>
    <x v="5"/>
    <x v="31"/>
    <x v="9"/>
    <n v="0"/>
  </r>
  <r>
    <x v="4"/>
    <x v="0"/>
    <x v="1"/>
    <x v="5"/>
    <x v="31"/>
    <x v="10"/>
    <n v="10000"/>
  </r>
  <r>
    <x v="4"/>
    <x v="0"/>
    <x v="1"/>
    <x v="5"/>
    <x v="31"/>
    <x v="11"/>
    <n v="0"/>
  </r>
  <r>
    <x v="1"/>
    <x v="1"/>
    <x v="2"/>
    <x v="6"/>
    <x v="32"/>
    <x v="0"/>
    <n v="900"/>
  </r>
  <r>
    <x v="1"/>
    <x v="1"/>
    <x v="2"/>
    <x v="6"/>
    <x v="32"/>
    <x v="1"/>
    <n v="900"/>
  </r>
  <r>
    <x v="1"/>
    <x v="1"/>
    <x v="2"/>
    <x v="6"/>
    <x v="32"/>
    <x v="2"/>
    <n v="900"/>
  </r>
  <r>
    <x v="1"/>
    <x v="1"/>
    <x v="2"/>
    <x v="6"/>
    <x v="32"/>
    <x v="3"/>
    <n v="900"/>
  </r>
  <r>
    <x v="1"/>
    <x v="1"/>
    <x v="2"/>
    <x v="6"/>
    <x v="32"/>
    <x v="4"/>
    <n v="900"/>
  </r>
  <r>
    <x v="1"/>
    <x v="1"/>
    <x v="2"/>
    <x v="6"/>
    <x v="32"/>
    <x v="5"/>
    <n v="900"/>
  </r>
  <r>
    <x v="1"/>
    <x v="1"/>
    <x v="2"/>
    <x v="6"/>
    <x v="32"/>
    <x v="6"/>
    <n v="900"/>
  </r>
  <r>
    <x v="1"/>
    <x v="1"/>
    <x v="2"/>
    <x v="6"/>
    <x v="32"/>
    <x v="7"/>
    <n v="900"/>
  </r>
  <r>
    <x v="1"/>
    <x v="1"/>
    <x v="2"/>
    <x v="6"/>
    <x v="32"/>
    <x v="8"/>
    <n v="900"/>
  </r>
  <r>
    <x v="1"/>
    <x v="1"/>
    <x v="2"/>
    <x v="6"/>
    <x v="32"/>
    <x v="9"/>
    <n v="900"/>
  </r>
  <r>
    <x v="1"/>
    <x v="1"/>
    <x v="2"/>
    <x v="6"/>
    <x v="32"/>
    <x v="10"/>
    <n v="900"/>
  </r>
  <r>
    <x v="1"/>
    <x v="1"/>
    <x v="2"/>
    <x v="6"/>
    <x v="32"/>
    <x v="11"/>
    <n v="900"/>
  </r>
  <r>
    <x v="1"/>
    <x v="1"/>
    <x v="2"/>
    <x v="7"/>
    <x v="33"/>
    <x v="0"/>
    <n v="900"/>
  </r>
  <r>
    <x v="1"/>
    <x v="1"/>
    <x v="2"/>
    <x v="7"/>
    <x v="33"/>
    <x v="1"/>
    <n v="900"/>
  </r>
  <r>
    <x v="1"/>
    <x v="1"/>
    <x v="2"/>
    <x v="7"/>
    <x v="33"/>
    <x v="2"/>
    <n v="900"/>
  </r>
  <r>
    <x v="1"/>
    <x v="1"/>
    <x v="2"/>
    <x v="7"/>
    <x v="33"/>
    <x v="3"/>
    <n v="900"/>
  </r>
  <r>
    <x v="1"/>
    <x v="1"/>
    <x v="2"/>
    <x v="7"/>
    <x v="33"/>
    <x v="4"/>
    <n v="900"/>
  </r>
  <r>
    <x v="1"/>
    <x v="1"/>
    <x v="2"/>
    <x v="7"/>
    <x v="33"/>
    <x v="5"/>
    <n v="900"/>
  </r>
  <r>
    <x v="1"/>
    <x v="1"/>
    <x v="2"/>
    <x v="7"/>
    <x v="33"/>
    <x v="6"/>
    <n v="900"/>
  </r>
  <r>
    <x v="1"/>
    <x v="1"/>
    <x v="2"/>
    <x v="7"/>
    <x v="33"/>
    <x v="7"/>
    <n v="900"/>
  </r>
  <r>
    <x v="1"/>
    <x v="1"/>
    <x v="2"/>
    <x v="7"/>
    <x v="33"/>
    <x v="8"/>
    <n v="900"/>
  </r>
  <r>
    <x v="1"/>
    <x v="1"/>
    <x v="2"/>
    <x v="7"/>
    <x v="33"/>
    <x v="9"/>
    <n v="900"/>
  </r>
  <r>
    <x v="1"/>
    <x v="1"/>
    <x v="2"/>
    <x v="7"/>
    <x v="33"/>
    <x v="10"/>
    <n v="900"/>
  </r>
  <r>
    <x v="1"/>
    <x v="1"/>
    <x v="2"/>
    <x v="7"/>
    <x v="33"/>
    <x v="11"/>
    <n v="900"/>
  </r>
  <r>
    <x v="1"/>
    <x v="1"/>
    <x v="2"/>
    <x v="8"/>
    <x v="34"/>
    <x v="0"/>
    <n v="7000"/>
  </r>
  <r>
    <x v="1"/>
    <x v="1"/>
    <x v="2"/>
    <x v="8"/>
    <x v="34"/>
    <x v="1"/>
    <n v="7000"/>
  </r>
  <r>
    <x v="1"/>
    <x v="1"/>
    <x v="2"/>
    <x v="8"/>
    <x v="34"/>
    <x v="2"/>
    <n v="7000"/>
  </r>
  <r>
    <x v="1"/>
    <x v="1"/>
    <x v="2"/>
    <x v="8"/>
    <x v="34"/>
    <x v="3"/>
    <n v="7000"/>
  </r>
  <r>
    <x v="1"/>
    <x v="1"/>
    <x v="2"/>
    <x v="8"/>
    <x v="34"/>
    <x v="4"/>
    <n v="7000"/>
  </r>
  <r>
    <x v="1"/>
    <x v="1"/>
    <x v="2"/>
    <x v="8"/>
    <x v="34"/>
    <x v="5"/>
    <n v="7000"/>
  </r>
  <r>
    <x v="1"/>
    <x v="1"/>
    <x v="2"/>
    <x v="8"/>
    <x v="34"/>
    <x v="6"/>
    <n v="7000"/>
  </r>
  <r>
    <x v="1"/>
    <x v="1"/>
    <x v="2"/>
    <x v="8"/>
    <x v="34"/>
    <x v="7"/>
    <n v="7000"/>
  </r>
  <r>
    <x v="1"/>
    <x v="1"/>
    <x v="2"/>
    <x v="8"/>
    <x v="34"/>
    <x v="8"/>
    <n v="7000"/>
  </r>
  <r>
    <x v="1"/>
    <x v="1"/>
    <x v="2"/>
    <x v="8"/>
    <x v="34"/>
    <x v="9"/>
    <n v="7000"/>
  </r>
  <r>
    <x v="1"/>
    <x v="1"/>
    <x v="2"/>
    <x v="8"/>
    <x v="34"/>
    <x v="10"/>
    <n v="7000"/>
  </r>
  <r>
    <x v="1"/>
    <x v="1"/>
    <x v="2"/>
    <x v="8"/>
    <x v="34"/>
    <x v="11"/>
    <n v="7000"/>
  </r>
  <r>
    <x v="1"/>
    <x v="1"/>
    <x v="2"/>
    <x v="9"/>
    <x v="35"/>
    <x v="0"/>
    <n v="350"/>
  </r>
  <r>
    <x v="1"/>
    <x v="1"/>
    <x v="2"/>
    <x v="9"/>
    <x v="35"/>
    <x v="1"/>
    <n v="350"/>
  </r>
  <r>
    <x v="1"/>
    <x v="1"/>
    <x v="2"/>
    <x v="9"/>
    <x v="35"/>
    <x v="2"/>
    <n v="350"/>
  </r>
  <r>
    <x v="1"/>
    <x v="1"/>
    <x v="2"/>
    <x v="9"/>
    <x v="35"/>
    <x v="3"/>
    <n v="350"/>
  </r>
  <r>
    <x v="1"/>
    <x v="1"/>
    <x v="2"/>
    <x v="9"/>
    <x v="35"/>
    <x v="4"/>
    <n v="350"/>
  </r>
  <r>
    <x v="1"/>
    <x v="1"/>
    <x v="2"/>
    <x v="9"/>
    <x v="35"/>
    <x v="5"/>
    <n v="350"/>
  </r>
  <r>
    <x v="1"/>
    <x v="1"/>
    <x v="2"/>
    <x v="9"/>
    <x v="35"/>
    <x v="6"/>
    <n v="350"/>
  </r>
  <r>
    <x v="1"/>
    <x v="1"/>
    <x v="2"/>
    <x v="9"/>
    <x v="35"/>
    <x v="7"/>
    <n v="350"/>
  </r>
  <r>
    <x v="1"/>
    <x v="1"/>
    <x v="2"/>
    <x v="9"/>
    <x v="35"/>
    <x v="8"/>
    <n v="350"/>
  </r>
  <r>
    <x v="1"/>
    <x v="1"/>
    <x v="2"/>
    <x v="9"/>
    <x v="35"/>
    <x v="9"/>
    <n v="350"/>
  </r>
  <r>
    <x v="1"/>
    <x v="1"/>
    <x v="2"/>
    <x v="9"/>
    <x v="35"/>
    <x v="10"/>
    <n v="350"/>
  </r>
  <r>
    <x v="1"/>
    <x v="1"/>
    <x v="2"/>
    <x v="9"/>
    <x v="35"/>
    <x v="11"/>
    <n v="350"/>
  </r>
  <r>
    <x v="1"/>
    <x v="1"/>
    <x v="3"/>
    <x v="10"/>
    <x v="36"/>
    <x v="0"/>
    <n v="900"/>
  </r>
  <r>
    <x v="1"/>
    <x v="1"/>
    <x v="3"/>
    <x v="10"/>
    <x v="36"/>
    <x v="1"/>
    <n v="900"/>
  </r>
  <r>
    <x v="1"/>
    <x v="1"/>
    <x v="3"/>
    <x v="10"/>
    <x v="36"/>
    <x v="2"/>
    <n v="900"/>
  </r>
  <r>
    <x v="1"/>
    <x v="1"/>
    <x v="3"/>
    <x v="10"/>
    <x v="36"/>
    <x v="3"/>
    <n v="900"/>
  </r>
  <r>
    <x v="1"/>
    <x v="1"/>
    <x v="3"/>
    <x v="10"/>
    <x v="36"/>
    <x v="4"/>
    <n v="900"/>
  </r>
  <r>
    <x v="1"/>
    <x v="1"/>
    <x v="3"/>
    <x v="10"/>
    <x v="36"/>
    <x v="5"/>
    <n v="900"/>
  </r>
  <r>
    <x v="1"/>
    <x v="1"/>
    <x v="3"/>
    <x v="10"/>
    <x v="36"/>
    <x v="6"/>
    <n v="900"/>
  </r>
  <r>
    <x v="1"/>
    <x v="1"/>
    <x v="3"/>
    <x v="10"/>
    <x v="36"/>
    <x v="7"/>
    <n v="900"/>
  </r>
  <r>
    <x v="1"/>
    <x v="1"/>
    <x v="3"/>
    <x v="10"/>
    <x v="36"/>
    <x v="8"/>
    <n v="900"/>
  </r>
  <r>
    <x v="1"/>
    <x v="1"/>
    <x v="3"/>
    <x v="10"/>
    <x v="36"/>
    <x v="9"/>
    <n v="900"/>
  </r>
  <r>
    <x v="1"/>
    <x v="1"/>
    <x v="3"/>
    <x v="10"/>
    <x v="36"/>
    <x v="10"/>
    <n v="900"/>
  </r>
  <r>
    <x v="1"/>
    <x v="1"/>
    <x v="3"/>
    <x v="10"/>
    <x v="36"/>
    <x v="11"/>
    <n v="900"/>
  </r>
  <r>
    <x v="1"/>
    <x v="1"/>
    <x v="3"/>
    <x v="11"/>
    <x v="37"/>
    <x v="0"/>
    <n v="300"/>
  </r>
  <r>
    <x v="1"/>
    <x v="1"/>
    <x v="3"/>
    <x v="11"/>
    <x v="37"/>
    <x v="1"/>
    <n v="300"/>
  </r>
  <r>
    <x v="1"/>
    <x v="1"/>
    <x v="3"/>
    <x v="11"/>
    <x v="37"/>
    <x v="2"/>
    <n v="300"/>
  </r>
  <r>
    <x v="1"/>
    <x v="1"/>
    <x v="3"/>
    <x v="11"/>
    <x v="37"/>
    <x v="3"/>
    <n v="300"/>
  </r>
  <r>
    <x v="1"/>
    <x v="1"/>
    <x v="3"/>
    <x v="11"/>
    <x v="37"/>
    <x v="4"/>
    <n v="300"/>
  </r>
  <r>
    <x v="1"/>
    <x v="1"/>
    <x v="3"/>
    <x v="11"/>
    <x v="37"/>
    <x v="5"/>
    <n v="300"/>
  </r>
  <r>
    <x v="1"/>
    <x v="1"/>
    <x v="3"/>
    <x v="11"/>
    <x v="37"/>
    <x v="6"/>
    <n v="300"/>
  </r>
  <r>
    <x v="1"/>
    <x v="1"/>
    <x v="3"/>
    <x v="11"/>
    <x v="37"/>
    <x v="7"/>
    <n v="300"/>
  </r>
  <r>
    <x v="1"/>
    <x v="1"/>
    <x v="3"/>
    <x v="11"/>
    <x v="37"/>
    <x v="8"/>
    <n v="300"/>
  </r>
  <r>
    <x v="1"/>
    <x v="1"/>
    <x v="3"/>
    <x v="11"/>
    <x v="37"/>
    <x v="9"/>
    <n v="300"/>
  </r>
  <r>
    <x v="1"/>
    <x v="1"/>
    <x v="3"/>
    <x v="11"/>
    <x v="37"/>
    <x v="10"/>
    <n v="300"/>
  </r>
  <r>
    <x v="1"/>
    <x v="1"/>
    <x v="3"/>
    <x v="11"/>
    <x v="37"/>
    <x v="11"/>
    <n v="300"/>
  </r>
  <r>
    <x v="1"/>
    <x v="1"/>
    <x v="2"/>
    <x v="12"/>
    <x v="38"/>
    <x v="0"/>
    <n v="850"/>
  </r>
  <r>
    <x v="1"/>
    <x v="1"/>
    <x v="2"/>
    <x v="12"/>
    <x v="38"/>
    <x v="1"/>
    <n v="850"/>
  </r>
  <r>
    <x v="1"/>
    <x v="1"/>
    <x v="2"/>
    <x v="12"/>
    <x v="38"/>
    <x v="2"/>
    <n v="850"/>
  </r>
  <r>
    <x v="1"/>
    <x v="1"/>
    <x v="2"/>
    <x v="12"/>
    <x v="38"/>
    <x v="3"/>
    <n v="850"/>
  </r>
  <r>
    <x v="1"/>
    <x v="1"/>
    <x v="2"/>
    <x v="12"/>
    <x v="38"/>
    <x v="4"/>
    <n v="850"/>
  </r>
  <r>
    <x v="1"/>
    <x v="1"/>
    <x v="2"/>
    <x v="12"/>
    <x v="38"/>
    <x v="5"/>
    <n v="850"/>
  </r>
  <r>
    <x v="1"/>
    <x v="1"/>
    <x v="2"/>
    <x v="12"/>
    <x v="38"/>
    <x v="6"/>
    <n v="850"/>
  </r>
  <r>
    <x v="1"/>
    <x v="1"/>
    <x v="2"/>
    <x v="12"/>
    <x v="38"/>
    <x v="7"/>
    <n v="850"/>
  </r>
  <r>
    <x v="1"/>
    <x v="1"/>
    <x v="2"/>
    <x v="12"/>
    <x v="38"/>
    <x v="8"/>
    <n v="850"/>
  </r>
  <r>
    <x v="1"/>
    <x v="1"/>
    <x v="2"/>
    <x v="12"/>
    <x v="38"/>
    <x v="9"/>
    <n v="850"/>
  </r>
  <r>
    <x v="1"/>
    <x v="1"/>
    <x v="2"/>
    <x v="12"/>
    <x v="38"/>
    <x v="10"/>
    <n v="850"/>
  </r>
  <r>
    <x v="1"/>
    <x v="1"/>
    <x v="2"/>
    <x v="12"/>
    <x v="38"/>
    <x v="11"/>
    <n v="850"/>
  </r>
  <r>
    <x v="1"/>
    <x v="1"/>
    <x v="2"/>
    <x v="13"/>
    <x v="39"/>
    <x v="0"/>
    <n v="0"/>
  </r>
  <r>
    <x v="1"/>
    <x v="1"/>
    <x v="2"/>
    <x v="13"/>
    <x v="39"/>
    <x v="1"/>
    <n v="0"/>
  </r>
  <r>
    <x v="1"/>
    <x v="1"/>
    <x v="2"/>
    <x v="13"/>
    <x v="39"/>
    <x v="2"/>
    <n v="0"/>
  </r>
  <r>
    <x v="1"/>
    <x v="1"/>
    <x v="2"/>
    <x v="13"/>
    <x v="39"/>
    <x v="3"/>
    <n v="200"/>
  </r>
  <r>
    <x v="1"/>
    <x v="1"/>
    <x v="2"/>
    <x v="13"/>
    <x v="39"/>
    <x v="4"/>
    <n v="0"/>
  </r>
  <r>
    <x v="1"/>
    <x v="1"/>
    <x v="2"/>
    <x v="13"/>
    <x v="39"/>
    <x v="5"/>
    <n v="0"/>
  </r>
  <r>
    <x v="1"/>
    <x v="1"/>
    <x v="2"/>
    <x v="13"/>
    <x v="39"/>
    <x v="6"/>
    <n v="0"/>
  </r>
  <r>
    <x v="1"/>
    <x v="1"/>
    <x v="2"/>
    <x v="13"/>
    <x v="39"/>
    <x v="7"/>
    <n v="200"/>
  </r>
  <r>
    <x v="1"/>
    <x v="1"/>
    <x v="2"/>
    <x v="13"/>
    <x v="39"/>
    <x v="8"/>
    <n v="0"/>
  </r>
  <r>
    <x v="1"/>
    <x v="1"/>
    <x v="2"/>
    <x v="13"/>
    <x v="39"/>
    <x v="9"/>
    <n v="0"/>
  </r>
  <r>
    <x v="1"/>
    <x v="1"/>
    <x v="2"/>
    <x v="13"/>
    <x v="39"/>
    <x v="10"/>
    <n v="0"/>
  </r>
  <r>
    <x v="1"/>
    <x v="1"/>
    <x v="2"/>
    <x v="13"/>
    <x v="39"/>
    <x v="11"/>
    <n v="200"/>
  </r>
  <r>
    <x v="1"/>
    <x v="1"/>
    <x v="2"/>
    <x v="14"/>
    <x v="40"/>
    <x v="0"/>
    <n v="2000"/>
  </r>
  <r>
    <x v="1"/>
    <x v="1"/>
    <x v="2"/>
    <x v="14"/>
    <x v="40"/>
    <x v="1"/>
    <n v="2000"/>
  </r>
  <r>
    <x v="1"/>
    <x v="1"/>
    <x v="2"/>
    <x v="14"/>
    <x v="40"/>
    <x v="2"/>
    <n v="2000"/>
  </r>
  <r>
    <x v="1"/>
    <x v="1"/>
    <x v="2"/>
    <x v="14"/>
    <x v="40"/>
    <x v="3"/>
    <n v="2000"/>
  </r>
  <r>
    <x v="1"/>
    <x v="1"/>
    <x v="2"/>
    <x v="14"/>
    <x v="40"/>
    <x v="4"/>
    <n v="2000"/>
  </r>
  <r>
    <x v="1"/>
    <x v="1"/>
    <x v="2"/>
    <x v="14"/>
    <x v="40"/>
    <x v="5"/>
    <n v="2000"/>
  </r>
  <r>
    <x v="1"/>
    <x v="1"/>
    <x v="2"/>
    <x v="14"/>
    <x v="40"/>
    <x v="6"/>
    <n v="2000"/>
  </r>
  <r>
    <x v="1"/>
    <x v="1"/>
    <x v="2"/>
    <x v="14"/>
    <x v="40"/>
    <x v="7"/>
    <n v="2000"/>
  </r>
  <r>
    <x v="1"/>
    <x v="1"/>
    <x v="2"/>
    <x v="14"/>
    <x v="40"/>
    <x v="8"/>
    <n v="2000"/>
  </r>
  <r>
    <x v="1"/>
    <x v="1"/>
    <x v="2"/>
    <x v="14"/>
    <x v="40"/>
    <x v="9"/>
    <n v="2000"/>
  </r>
  <r>
    <x v="1"/>
    <x v="1"/>
    <x v="2"/>
    <x v="14"/>
    <x v="40"/>
    <x v="10"/>
    <n v="2000"/>
  </r>
  <r>
    <x v="1"/>
    <x v="1"/>
    <x v="2"/>
    <x v="14"/>
    <x v="40"/>
    <x v="11"/>
    <n v="2000"/>
  </r>
  <r>
    <x v="1"/>
    <x v="1"/>
    <x v="2"/>
    <x v="15"/>
    <x v="41"/>
    <x v="0"/>
    <n v="550"/>
  </r>
  <r>
    <x v="1"/>
    <x v="1"/>
    <x v="2"/>
    <x v="15"/>
    <x v="41"/>
    <x v="1"/>
    <n v="550"/>
  </r>
  <r>
    <x v="1"/>
    <x v="1"/>
    <x v="2"/>
    <x v="15"/>
    <x v="41"/>
    <x v="2"/>
    <n v="550"/>
  </r>
  <r>
    <x v="1"/>
    <x v="1"/>
    <x v="2"/>
    <x v="15"/>
    <x v="41"/>
    <x v="3"/>
    <n v="550"/>
  </r>
  <r>
    <x v="1"/>
    <x v="1"/>
    <x v="2"/>
    <x v="15"/>
    <x v="41"/>
    <x v="4"/>
    <n v="550"/>
  </r>
  <r>
    <x v="1"/>
    <x v="1"/>
    <x v="2"/>
    <x v="15"/>
    <x v="41"/>
    <x v="5"/>
    <n v="550"/>
  </r>
  <r>
    <x v="1"/>
    <x v="1"/>
    <x v="2"/>
    <x v="15"/>
    <x v="41"/>
    <x v="6"/>
    <n v="550"/>
  </r>
  <r>
    <x v="1"/>
    <x v="1"/>
    <x v="2"/>
    <x v="15"/>
    <x v="41"/>
    <x v="7"/>
    <n v="550"/>
  </r>
  <r>
    <x v="1"/>
    <x v="1"/>
    <x v="2"/>
    <x v="15"/>
    <x v="41"/>
    <x v="8"/>
    <n v="550"/>
  </r>
  <r>
    <x v="1"/>
    <x v="1"/>
    <x v="2"/>
    <x v="15"/>
    <x v="41"/>
    <x v="9"/>
    <n v="550"/>
  </r>
  <r>
    <x v="1"/>
    <x v="1"/>
    <x v="2"/>
    <x v="15"/>
    <x v="41"/>
    <x v="10"/>
    <n v="550"/>
  </r>
  <r>
    <x v="1"/>
    <x v="1"/>
    <x v="2"/>
    <x v="15"/>
    <x v="41"/>
    <x v="11"/>
    <n v="550"/>
  </r>
  <r>
    <x v="1"/>
    <x v="1"/>
    <x v="2"/>
    <x v="16"/>
    <x v="42"/>
    <x v="0"/>
    <n v="800"/>
  </r>
  <r>
    <x v="1"/>
    <x v="1"/>
    <x v="2"/>
    <x v="16"/>
    <x v="42"/>
    <x v="1"/>
    <n v="0"/>
  </r>
  <r>
    <x v="1"/>
    <x v="1"/>
    <x v="2"/>
    <x v="16"/>
    <x v="42"/>
    <x v="2"/>
    <n v="0"/>
  </r>
  <r>
    <x v="1"/>
    <x v="1"/>
    <x v="2"/>
    <x v="16"/>
    <x v="42"/>
    <x v="3"/>
    <n v="0"/>
  </r>
  <r>
    <x v="1"/>
    <x v="1"/>
    <x v="2"/>
    <x v="16"/>
    <x v="42"/>
    <x v="4"/>
    <n v="0"/>
  </r>
  <r>
    <x v="1"/>
    <x v="1"/>
    <x v="2"/>
    <x v="16"/>
    <x v="42"/>
    <x v="5"/>
    <n v="0"/>
  </r>
  <r>
    <x v="1"/>
    <x v="1"/>
    <x v="2"/>
    <x v="16"/>
    <x v="42"/>
    <x v="6"/>
    <n v="800"/>
  </r>
  <r>
    <x v="1"/>
    <x v="1"/>
    <x v="2"/>
    <x v="16"/>
    <x v="42"/>
    <x v="7"/>
    <n v="0"/>
  </r>
  <r>
    <x v="1"/>
    <x v="1"/>
    <x v="2"/>
    <x v="16"/>
    <x v="42"/>
    <x v="8"/>
    <n v="0"/>
  </r>
  <r>
    <x v="1"/>
    <x v="1"/>
    <x v="2"/>
    <x v="16"/>
    <x v="42"/>
    <x v="9"/>
    <n v="0"/>
  </r>
  <r>
    <x v="1"/>
    <x v="1"/>
    <x v="2"/>
    <x v="16"/>
    <x v="42"/>
    <x v="10"/>
    <n v="0"/>
  </r>
  <r>
    <x v="1"/>
    <x v="1"/>
    <x v="2"/>
    <x v="16"/>
    <x v="42"/>
    <x v="11"/>
    <n v="0"/>
  </r>
  <r>
    <x v="1"/>
    <x v="1"/>
    <x v="3"/>
    <x v="17"/>
    <x v="43"/>
    <x v="0"/>
    <n v="1200"/>
  </r>
  <r>
    <x v="1"/>
    <x v="1"/>
    <x v="3"/>
    <x v="17"/>
    <x v="43"/>
    <x v="1"/>
    <n v="1200"/>
  </r>
  <r>
    <x v="1"/>
    <x v="1"/>
    <x v="3"/>
    <x v="17"/>
    <x v="43"/>
    <x v="2"/>
    <n v="1200"/>
  </r>
  <r>
    <x v="1"/>
    <x v="1"/>
    <x v="3"/>
    <x v="17"/>
    <x v="43"/>
    <x v="3"/>
    <n v="1200"/>
  </r>
  <r>
    <x v="1"/>
    <x v="1"/>
    <x v="3"/>
    <x v="17"/>
    <x v="43"/>
    <x v="4"/>
    <n v="1200"/>
  </r>
  <r>
    <x v="1"/>
    <x v="1"/>
    <x v="3"/>
    <x v="17"/>
    <x v="43"/>
    <x v="5"/>
    <n v="1200"/>
  </r>
  <r>
    <x v="1"/>
    <x v="1"/>
    <x v="3"/>
    <x v="17"/>
    <x v="43"/>
    <x v="6"/>
    <n v="1200"/>
  </r>
  <r>
    <x v="1"/>
    <x v="1"/>
    <x v="3"/>
    <x v="17"/>
    <x v="43"/>
    <x v="7"/>
    <n v="1200"/>
  </r>
  <r>
    <x v="1"/>
    <x v="1"/>
    <x v="3"/>
    <x v="17"/>
    <x v="43"/>
    <x v="8"/>
    <n v="1200"/>
  </r>
  <r>
    <x v="1"/>
    <x v="1"/>
    <x v="3"/>
    <x v="17"/>
    <x v="43"/>
    <x v="9"/>
    <n v="1200"/>
  </r>
  <r>
    <x v="1"/>
    <x v="1"/>
    <x v="3"/>
    <x v="17"/>
    <x v="43"/>
    <x v="10"/>
    <n v="1200"/>
  </r>
  <r>
    <x v="1"/>
    <x v="1"/>
    <x v="3"/>
    <x v="17"/>
    <x v="43"/>
    <x v="11"/>
    <n v="1200"/>
  </r>
  <r>
    <x v="1"/>
    <x v="1"/>
    <x v="2"/>
    <x v="18"/>
    <x v="44"/>
    <x v="0"/>
    <n v="320"/>
  </r>
  <r>
    <x v="1"/>
    <x v="1"/>
    <x v="2"/>
    <x v="18"/>
    <x v="44"/>
    <x v="1"/>
    <n v="320"/>
  </r>
  <r>
    <x v="1"/>
    <x v="1"/>
    <x v="2"/>
    <x v="18"/>
    <x v="44"/>
    <x v="2"/>
    <n v="320"/>
  </r>
  <r>
    <x v="1"/>
    <x v="1"/>
    <x v="2"/>
    <x v="18"/>
    <x v="44"/>
    <x v="3"/>
    <n v="320"/>
  </r>
  <r>
    <x v="1"/>
    <x v="1"/>
    <x v="2"/>
    <x v="18"/>
    <x v="44"/>
    <x v="4"/>
    <n v="320"/>
  </r>
  <r>
    <x v="1"/>
    <x v="1"/>
    <x v="2"/>
    <x v="18"/>
    <x v="44"/>
    <x v="5"/>
    <n v="320"/>
  </r>
  <r>
    <x v="1"/>
    <x v="1"/>
    <x v="2"/>
    <x v="18"/>
    <x v="44"/>
    <x v="6"/>
    <n v="320"/>
  </r>
  <r>
    <x v="1"/>
    <x v="1"/>
    <x v="2"/>
    <x v="18"/>
    <x v="44"/>
    <x v="7"/>
    <n v="320"/>
  </r>
  <r>
    <x v="1"/>
    <x v="1"/>
    <x v="2"/>
    <x v="18"/>
    <x v="44"/>
    <x v="8"/>
    <n v="320"/>
  </r>
  <r>
    <x v="1"/>
    <x v="1"/>
    <x v="2"/>
    <x v="18"/>
    <x v="44"/>
    <x v="9"/>
    <n v="320"/>
  </r>
  <r>
    <x v="1"/>
    <x v="1"/>
    <x v="2"/>
    <x v="18"/>
    <x v="44"/>
    <x v="10"/>
    <n v="320"/>
  </r>
  <r>
    <x v="1"/>
    <x v="1"/>
    <x v="2"/>
    <x v="18"/>
    <x v="44"/>
    <x v="11"/>
    <n v="320"/>
  </r>
  <r>
    <x v="1"/>
    <x v="1"/>
    <x v="2"/>
    <x v="19"/>
    <x v="45"/>
    <x v="0"/>
    <n v="30000"/>
  </r>
  <r>
    <x v="1"/>
    <x v="1"/>
    <x v="2"/>
    <x v="19"/>
    <x v="45"/>
    <x v="1"/>
    <n v="30000"/>
  </r>
  <r>
    <x v="1"/>
    <x v="1"/>
    <x v="2"/>
    <x v="19"/>
    <x v="45"/>
    <x v="2"/>
    <n v="30000"/>
  </r>
  <r>
    <x v="1"/>
    <x v="1"/>
    <x v="2"/>
    <x v="19"/>
    <x v="45"/>
    <x v="3"/>
    <n v="30000"/>
  </r>
  <r>
    <x v="1"/>
    <x v="1"/>
    <x v="2"/>
    <x v="19"/>
    <x v="45"/>
    <x v="4"/>
    <n v="30000"/>
  </r>
  <r>
    <x v="1"/>
    <x v="1"/>
    <x v="2"/>
    <x v="19"/>
    <x v="45"/>
    <x v="5"/>
    <n v="30000"/>
  </r>
  <r>
    <x v="1"/>
    <x v="1"/>
    <x v="2"/>
    <x v="19"/>
    <x v="45"/>
    <x v="6"/>
    <n v="30000"/>
  </r>
  <r>
    <x v="1"/>
    <x v="1"/>
    <x v="2"/>
    <x v="19"/>
    <x v="45"/>
    <x v="7"/>
    <n v="30000"/>
  </r>
  <r>
    <x v="1"/>
    <x v="1"/>
    <x v="2"/>
    <x v="19"/>
    <x v="45"/>
    <x v="8"/>
    <n v="30000"/>
  </r>
  <r>
    <x v="1"/>
    <x v="1"/>
    <x v="2"/>
    <x v="19"/>
    <x v="45"/>
    <x v="9"/>
    <n v="30000"/>
  </r>
  <r>
    <x v="1"/>
    <x v="1"/>
    <x v="2"/>
    <x v="19"/>
    <x v="45"/>
    <x v="10"/>
    <n v="30000"/>
  </r>
  <r>
    <x v="1"/>
    <x v="1"/>
    <x v="2"/>
    <x v="19"/>
    <x v="45"/>
    <x v="11"/>
    <n v="30000"/>
  </r>
  <r>
    <x v="1"/>
    <x v="1"/>
    <x v="2"/>
    <x v="15"/>
    <x v="46"/>
    <x v="0"/>
    <n v="3000"/>
  </r>
  <r>
    <x v="1"/>
    <x v="1"/>
    <x v="2"/>
    <x v="15"/>
    <x v="46"/>
    <x v="1"/>
    <n v="3000"/>
  </r>
  <r>
    <x v="1"/>
    <x v="1"/>
    <x v="2"/>
    <x v="15"/>
    <x v="46"/>
    <x v="2"/>
    <n v="3000"/>
  </r>
  <r>
    <x v="1"/>
    <x v="1"/>
    <x v="2"/>
    <x v="15"/>
    <x v="46"/>
    <x v="3"/>
    <n v="3000"/>
  </r>
  <r>
    <x v="1"/>
    <x v="1"/>
    <x v="2"/>
    <x v="15"/>
    <x v="46"/>
    <x v="4"/>
    <n v="3000"/>
  </r>
  <r>
    <x v="1"/>
    <x v="1"/>
    <x v="2"/>
    <x v="15"/>
    <x v="46"/>
    <x v="5"/>
    <n v="3000"/>
  </r>
  <r>
    <x v="1"/>
    <x v="1"/>
    <x v="2"/>
    <x v="15"/>
    <x v="46"/>
    <x v="6"/>
    <n v="3000"/>
  </r>
  <r>
    <x v="1"/>
    <x v="1"/>
    <x v="2"/>
    <x v="15"/>
    <x v="46"/>
    <x v="7"/>
    <n v="3000"/>
  </r>
  <r>
    <x v="1"/>
    <x v="1"/>
    <x v="2"/>
    <x v="15"/>
    <x v="46"/>
    <x v="8"/>
    <n v="3000"/>
  </r>
  <r>
    <x v="1"/>
    <x v="1"/>
    <x v="2"/>
    <x v="15"/>
    <x v="46"/>
    <x v="9"/>
    <n v="3000"/>
  </r>
  <r>
    <x v="1"/>
    <x v="1"/>
    <x v="2"/>
    <x v="15"/>
    <x v="46"/>
    <x v="10"/>
    <n v="3000"/>
  </r>
  <r>
    <x v="1"/>
    <x v="1"/>
    <x v="2"/>
    <x v="15"/>
    <x v="46"/>
    <x v="11"/>
    <n v="3000"/>
  </r>
  <r>
    <x v="1"/>
    <x v="1"/>
    <x v="2"/>
    <x v="15"/>
    <x v="47"/>
    <x v="0"/>
    <n v="2000"/>
  </r>
  <r>
    <x v="1"/>
    <x v="1"/>
    <x v="2"/>
    <x v="15"/>
    <x v="47"/>
    <x v="1"/>
    <n v="2000"/>
  </r>
  <r>
    <x v="1"/>
    <x v="1"/>
    <x v="2"/>
    <x v="15"/>
    <x v="47"/>
    <x v="2"/>
    <n v="2000"/>
  </r>
  <r>
    <x v="1"/>
    <x v="1"/>
    <x v="2"/>
    <x v="15"/>
    <x v="47"/>
    <x v="3"/>
    <n v="2000"/>
  </r>
  <r>
    <x v="1"/>
    <x v="1"/>
    <x v="2"/>
    <x v="15"/>
    <x v="47"/>
    <x v="4"/>
    <n v="2000"/>
  </r>
  <r>
    <x v="1"/>
    <x v="1"/>
    <x v="2"/>
    <x v="15"/>
    <x v="47"/>
    <x v="5"/>
    <n v="2000"/>
  </r>
  <r>
    <x v="1"/>
    <x v="1"/>
    <x v="2"/>
    <x v="15"/>
    <x v="47"/>
    <x v="6"/>
    <n v="2000"/>
  </r>
  <r>
    <x v="1"/>
    <x v="1"/>
    <x v="2"/>
    <x v="15"/>
    <x v="47"/>
    <x v="7"/>
    <n v="2000"/>
  </r>
  <r>
    <x v="1"/>
    <x v="1"/>
    <x v="2"/>
    <x v="15"/>
    <x v="47"/>
    <x v="8"/>
    <n v="2000"/>
  </r>
  <r>
    <x v="1"/>
    <x v="1"/>
    <x v="2"/>
    <x v="15"/>
    <x v="47"/>
    <x v="9"/>
    <n v="2000"/>
  </r>
  <r>
    <x v="1"/>
    <x v="1"/>
    <x v="2"/>
    <x v="15"/>
    <x v="47"/>
    <x v="10"/>
    <n v="2000"/>
  </r>
  <r>
    <x v="1"/>
    <x v="1"/>
    <x v="2"/>
    <x v="15"/>
    <x v="47"/>
    <x v="11"/>
    <n v="2000"/>
  </r>
  <r>
    <x v="1"/>
    <x v="1"/>
    <x v="4"/>
    <x v="20"/>
    <x v="48"/>
    <x v="0"/>
    <n v="6000"/>
  </r>
  <r>
    <x v="1"/>
    <x v="1"/>
    <x v="4"/>
    <x v="20"/>
    <x v="48"/>
    <x v="1"/>
    <n v="6000"/>
  </r>
  <r>
    <x v="1"/>
    <x v="1"/>
    <x v="4"/>
    <x v="20"/>
    <x v="48"/>
    <x v="2"/>
    <n v="6000"/>
  </r>
  <r>
    <x v="1"/>
    <x v="1"/>
    <x v="4"/>
    <x v="20"/>
    <x v="48"/>
    <x v="3"/>
    <n v="6000"/>
  </r>
  <r>
    <x v="1"/>
    <x v="1"/>
    <x v="4"/>
    <x v="20"/>
    <x v="48"/>
    <x v="4"/>
    <n v="6000"/>
  </r>
  <r>
    <x v="1"/>
    <x v="1"/>
    <x v="4"/>
    <x v="20"/>
    <x v="48"/>
    <x v="5"/>
    <n v="6000"/>
  </r>
  <r>
    <x v="1"/>
    <x v="1"/>
    <x v="4"/>
    <x v="20"/>
    <x v="48"/>
    <x v="6"/>
    <n v="6000"/>
  </r>
  <r>
    <x v="1"/>
    <x v="1"/>
    <x v="4"/>
    <x v="20"/>
    <x v="48"/>
    <x v="7"/>
    <n v="6000"/>
  </r>
  <r>
    <x v="1"/>
    <x v="1"/>
    <x v="4"/>
    <x v="20"/>
    <x v="48"/>
    <x v="8"/>
    <n v="6000"/>
  </r>
  <r>
    <x v="1"/>
    <x v="1"/>
    <x v="4"/>
    <x v="20"/>
    <x v="48"/>
    <x v="9"/>
    <n v="6000"/>
  </r>
  <r>
    <x v="1"/>
    <x v="1"/>
    <x v="4"/>
    <x v="20"/>
    <x v="48"/>
    <x v="10"/>
    <n v="6000"/>
  </r>
  <r>
    <x v="1"/>
    <x v="1"/>
    <x v="4"/>
    <x v="20"/>
    <x v="48"/>
    <x v="11"/>
    <n v="6000"/>
  </r>
  <r>
    <x v="1"/>
    <x v="1"/>
    <x v="2"/>
    <x v="21"/>
    <x v="49"/>
    <x v="0"/>
    <n v="0"/>
  </r>
  <r>
    <x v="1"/>
    <x v="1"/>
    <x v="2"/>
    <x v="21"/>
    <x v="49"/>
    <x v="1"/>
    <n v="0"/>
  </r>
  <r>
    <x v="1"/>
    <x v="1"/>
    <x v="2"/>
    <x v="21"/>
    <x v="49"/>
    <x v="2"/>
    <n v="0"/>
  </r>
  <r>
    <x v="1"/>
    <x v="1"/>
    <x v="2"/>
    <x v="21"/>
    <x v="49"/>
    <x v="3"/>
    <n v="2400"/>
  </r>
  <r>
    <x v="1"/>
    <x v="1"/>
    <x v="2"/>
    <x v="21"/>
    <x v="49"/>
    <x v="4"/>
    <n v="0"/>
  </r>
  <r>
    <x v="1"/>
    <x v="1"/>
    <x v="2"/>
    <x v="21"/>
    <x v="49"/>
    <x v="5"/>
    <n v="2400"/>
  </r>
  <r>
    <x v="1"/>
    <x v="1"/>
    <x v="2"/>
    <x v="21"/>
    <x v="49"/>
    <x v="6"/>
    <n v="0"/>
  </r>
  <r>
    <x v="1"/>
    <x v="1"/>
    <x v="2"/>
    <x v="21"/>
    <x v="49"/>
    <x v="7"/>
    <n v="0"/>
  </r>
  <r>
    <x v="1"/>
    <x v="1"/>
    <x v="2"/>
    <x v="21"/>
    <x v="49"/>
    <x v="8"/>
    <n v="2400"/>
  </r>
  <r>
    <x v="1"/>
    <x v="1"/>
    <x v="2"/>
    <x v="21"/>
    <x v="49"/>
    <x v="9"/>
    <n v="0"/>
  </r>
  <r>
    <x v="1"/>
    <x v="1"/>
    <x v="2"/>
    <x v="21"/>
    <x v="49"/>
    <x v="10"/>
    <n v="2400"/>
  </r>
  <r>
    <x v="1"/>
    <x v="1"/>
    <x v="2"/>
    <x v="21"/>
    <x v="49"/>
    <x v="11"/>
    <n v="0"/>
  </r>
  <r>
    <x v="1"/>
    <x v="2"/>
    <x v="1"/>
    <x v="22"/>
    <x v="50"/>
    <x v="0"/>
    <n v="1200"/>
  </r>
  <r>
    <x v="1"/>
    <x v="2"/>
    <x v="1"/>
    <x v="22"/>
    <x v="50"/>
    <x v="1"/>
    <n v="1200"/>
  </r>
  <r>
    <x v="1"/>
    <x v="2"/>
    <x v="1"/>
    <x v="22"/>
    <x v="50"/>
    <x v="2"/>
    <n v="1200"/>
  </r>
  <r>
    <x v="1"/>
    <x v="2"/>
    <x v="1"/>
    <x v="22"/>
    <x v="50"/>
    <x v="3"/>
    <n v="1200"/>
  </r>
  <r>
    <x v="1"/>
    <x v="2"/>
    <x v="1"/>
    <x v="22"/>
    <x v="50"/>
    <x v="4"/>
    <n v="1200"/>
  </r>
  <r>
    <x v="1"/>
    <x v="2"/>
    <x v="1"/>
    <x v="22"/>
    <x v="50"/>
    <x v="5"/>
    <n v="1200"/>
  </r>
  <r>
    <x v="1"/>
    <x v="2"/>
    <x v="1"/>
    <x v="22"/>
    <x v="50"/>
    <x v="6"/>
    <n v="1200"/>
  </r>
  <r>
    <x v="1"/>
    <x v="2"/>
    <x v="1"/>
    <x v="22"/>
    <x v="50"/>
    <x v="7"/>
    <n v="1200"/>
  </r>
  <r>
    <x v="1"/>
    <x v="2"/>
    <x v="1"/>
    <x v="22"/>
    <x v="50"/>
    <x v="8"/>
    <n v="1200"/>
  </r>
  <r>
    <x v="1"/>
    <x v="2"/>
    <x v="1"/>
    <x v="22"/>
    <x v="50"/>
    <x v="9"/>
    <n v="1200"/>
  </r>
  <r>
    <x v="1"/>
    <x v="2"/>
    <x v="1"/>
    <x v="22"/>
    <x v="50"/>
    <x v="10"/>
    <n v="1200"/>
  </r>
  <r>
    <x v="1"/>
    <x v="2"/>
    <x v="1"/>
    <x v="22"/>
    <x v="50"/>
    <x v="11"/>
    <n v="1200"/>
  </r>
  <r>
    <x v="1"/>
    <x v="1"/>
    <x v="2"/>
    <x v="12"/>
    <x v="51"/>
    <x v="0"/>
    <n v="0"/>
  </r>
  <r>
    <x v="1"/>
    <x v="1"/>
    <x v="2"/>
    <x v="12"/>
    <x v="51"/>
    <x v="1"/>
    <n v="0"/>
  </r>
  <r>
    <x v="1"/>
    <x v="1"/>
    <x v="2"/>
    <x v="12"/>
    <x v="51"/>
    <x v="2"/>
    <n v="3200"/>
  </r>
  <r>
    <x v="1"/>
    <x v="1"/>
    <x v="2"/>
    <x v="12"/>
    <x v="51"/>
    <x v="3"/>
    <n v="0"/>
  </r>
  <r>
    <x v="1"/>
    <x v="1"/>
    <x v="2"/>
    <x v="12"/>
    <x v="51"/>
    <x v="4"/>
    <n v="0"/>
  </r>
  <r>
    <x v="1"/>
    <x v="1"/>
    <x v="2"/>
    <x v="12"/>
    <x v="51"/>
    <x v="5"/>
    <n v="0"/>
  </r>
  <r>
    <x v="1"/>
    <x v="1"/>
    <x v="2"/>
    <x v="12"/>
    <x v="51"/>
    <x v="6"/>
    <n v="0"/>
  </r>
  <r>
    <x v="1"/>
    <x v="1"/>
    <x v="2"/>
    <x v="12"/>
    <x v="51"/>
    <x v="7"/>
    <n v="0"/>
  </r>
  <r>
    <x v="1"/>
    <x v="1"/>
    <x v="2"/>
    <x v="12"/>
    <x v="51"/>
    <x v="8"/>
    <n v="0"/>
  </r>
  <r>
    <x v="1"/>
    <x v="1"/>
    <x v="2"/>
    <x v="12"/>
    <x v="51"/>
    <x v="9"/>
    <n v="0"/>
  </r>
  <r>
    <x v="1"/>
    <x v="1"/>
    <x v="2"/>
    <x v="12"/>
    <x v="51"/>
    <x v="10"/>
    <n v="0"/>
  </r>
  <r>
    <x v="1"/>
    <x v="1"/>
    <x v="2"/>
    <x v="12"/>
    <x v="51"/>
    <x v="11"/>
    <n v="0"/>
  </r>
  <r>
    <x v="1"/>
    <x v="1"/>
    <x v="2"/>
    <x v="12"/>
    <x v="52"/>
    <x v="0"/>
    <n v="0"/>
  </r>
  <r>
    <x v="1"/>
    <x v="1"/>
    <x v="2"/>
    <x v="12"/>
    <x v="52"/>
    <x v="1"/>
    <n v="0"/>
  </r>
  <r>
    <x v="1"/>
    <x v="1"/>
    <x v="2"/>
    <x v="12"/>
    <x v="52"/>
    <x v="2"/>
    <n v="0"/>
  </r>
  <r>
    <x v="1"/>
    <x v="1"/>
    <x v="2"/>
    <x v="12"/>
    <x v="52"/>
    <x v="3"/>
    <n v="0"/>
  </r>
  <r>
    <x v="1"/>
    <x v="1"/>
    <x v="2"/>
    <x v="12"/>
    <x v="52"/>
    <x v="4"/>
    <n v="0"/>
  </r>
  <r>
    <x v="1"/>
    <x v="1"/>
    <x v="2"/>
    <x v="12"/>
    <x v="52"/>
    <x v="5"/>
    <n v="0"/>
  </r>
  <r>
    <x v="1"/>
    <x v="1"/>
    <x v="2"/>
    <x v="12"/>
    <x v="52"/>
    <x v="6"/>
    <n v="0"/>
  </r>
  <r>
    <x v="1"/>
    <x v="1"/>
    <x v="2"/>
    <x v="12"/>
    <x v="52"/>
    <x v="7"/>
    <n v="0"/>
  </r>
  <r>
    <x v="1"/>
    <x v="1"/>
    <x v="2"/>
    <x v="12"/>
    <x v="52"/>
    <x v="8"/>
    <n v="0"/>
  </r>
  <r>
    <x v="1"/>
    <x v="1"/>
    <x v="2"/>
    <x v="12"/>
    <x v="52"/>
    <x v="9"/>
    <n v="0"/>
  </r>
  <r>
    <x v="1"/>
    <x v="1"/>
    <x v="2"/>
    <x v="12"/>
    <x v="52"/>
    <x v="10"/>
    <n v="0"/>
  </r>
  <r>
    <x v="1"/>
    <x v="1"/>
    <x v="2"/>
    <x v="12"/>
    <x v="52"/>
    <x v="11"/>
    <n v="0"/>
  </r>
  <r>
    <x v="1"/>
    <x v="1"/>
    <x v="2"/>
    <x v="23"/>
    <x v="53"/>
    <x v="0"/>
    <n v="0"/>
  </r>
  <r>
    <x v="1"/>
    <x v="1"/>
    <x v="2"/>
    <x v="23"/>
    <x v="53"/>
    <x v="1"/>
    <n v="0"/>
  </r>
  <r>
    <x v="1"/>
    <x v="1"/>
    <x v="2"/>
    <x v="23"/>
    <x v="53"/>
    <x v="2"/>
    <n v="1500"/>
  </r>
  <r>
    <x v="1"/>
    <x v="1"/>
    <x v="2"/>
    <x v="23"/>
    <x v="53"/>
    <x v="3"/>
    <n v="0"/>
  </r>
  <r>
    <x v="1"/>
    <x v="1"/>
    <x v="2"/>
    <x v="23"/>
    <x v="53"/>
    <x v="4"/>
    <n v="0"/>
  </r>
  <r>
    <x v="1"/>
    <x v="1"/>
    <x v="2"/>
    <x v="23"/>
    <x v="53"/>
    <x v="5"/>
    <n v="1000"/>
  </r>
  <r>
    <x v="1"/>
    <x v="1"/>
    <x v="2"/>
    <x v="23"/>
    <x v="53"/>
    <x v="6"/>
    <n v="0"/>
  </r>
  <r>
    <x v="1"/>
    <x v="1"/>
    <x v="2"/>
    <x v="23"/>
    <x v="53"/>
    <x v="7"/>
    <n v="0"/>
  </r>
  <r>
    <x v="1"/>
    <x v="1"/>
    <x v="2"/>
    <x v="23"/>
    <x v="53"/>
    <x v="8"/>
    <n v="0"/>
  </r>
  <r>
    <x v="1"/>
    <x v="1"/>
    <x v="2"/>
    <x v="23"/>
    <x v="53"/>
    <x v="9"/>
    <n v="0"/>
  </r>
  <r>
    <x v="1"/>
    <x v="1"/>
    <x v="2"/>
    <x v="23"/>
    <x v="53"/>
    <x v="10"/>
    <n v="1000"/>
  </r>
  <r>
    <x v="1"/>
    <x v="1"/>
    <x v="2"/>
    <x v="23"/>
    <x v="53"/>
    <x v="11"/>
    <n v="0"/>
  </r>
  <r>
    <x v="3"/>
    <x v="1"/>
    <x v="3"/>
    <x v="11"/>
    <x v="54"/>
    <x v="0"/>
    <n v="228"/>
  </r>
  <r>
    <x v="3"/>
    <x v="1"/>
    <x v="3"/>
    <x v="11"/>
    <x v="54"/>
    <x v="1"/>
    <n v="228"/>
  </r>
  <r>
    <x v="3"/>
    <x v="1"/>
    <x v="3"/>
    <x v="11"/>
    <x v="54"/>
    <x v="2"/>
    <n v="228"/>
  </r>
  <r>
    <x v="3"/>
    <x v="1"/>
    <x v="3"/>
    <x v="11"/>
    <x v="54"/>
    <x v="3"/>
    <n v="228"/>
  </r>
  <r>
    <x v="3"/>
    <x v="1"/>
    <x v="3"/>
    <x v="11"/>
    <x v="54"/>
    <x v="4"/>
    <n v="228"/>
  </r>
  <r>
    <x v="3"/>
    <x v="1"/>
    <x v="3"/>
    <x v="11"/>
    <x v="54"/>
    <x v="5"/>
    <n v="228"/>
  </r>
  <r>
    <x v="3"/>
    <x v="1"/>
    <x v="3"/>
    <x v="11"/>
    <x v="54"/>
    <x v="6"/>
    <n v="228"/>
  </r>
  <r>
    <x v="3"/>
    <x v="1"/>
    <x v="3"/>
    <x v="11"/>
    <x v="54"/>
    <x v="7"/>
    <n v="228"/>
  </r>
  <r>
    <x v="3"/>
    <x v="1"/>
    <x v="3"/>
    <x v="11"/>
    <x v="54"/>
    <x v="8"/>
    <n v="228"/>
  </r>
  <r>
    <x v="3"/>
    <x v="1"/>
    <x v="3"/>
    <x v="11"/>
    <x v="54"/>
    <x v="9"/>
    <n v="228"/>
  </r>
  <r>
    <x v="3"/>
    <x v="1"/>
    <x v="3"/>
    <x v="11"/>
    <x v="54"/>
    <x v="10"/>
    <n v="228"/>
  </r>
  <r>
    <x v="3"/>
    <x v="1"/>
    <x v="3"/>
    <x v="11"/>
    <x v="54"/>
    <x v="11"/>
    <n v="228"/>
  </r>
  <r>
    <x v="3"/>
    <x v="1"/>
    <x v="2"/>
    <x v="8"/>
    <x v="55"/>
    <x v="0"/>
    <n v="4000"/>
  </r>
  <r>
    <x v="3"/>
    <x v="1"/>
    <x v="2"/>
    <x v="8"/>
    <x v="55"/>
    <x v="1"/>
    <n v="4000"/>
  </r>
  <r>
    <x v="3"/>
    <x v="1"/>
    <x v="2"/>
    <x v="8"/>
    <x v="55"/>
    <x v="2"/>
    <n v="4000"/>
  </r>
  <r>
    <x v="3"/>
    <x v="1"/>
    <x v="2"/>
    <x v="8"/>
    <x v="55"/>
    <x v="3"/>
    <n v="4000"/>
  </r>
  <r>
    <x v="3"/>
    <x v="1"/>
    <x v="2"/>
    <x v="8"/>
    <x v="55"/>
    <x v="4"/>
    <n v="4000"/>
  </r>
  <r>
    <x v="3"/>
    <x v="1"/>
    <x v="2"/>
    <x v="8"/>
    <x v="55"/>
    <x v="5"/>
    <n v="4000"/>
  </r>
  <r>
    <x v="3"/>
    <x v="1"/>
    <x v="2"/>
    <x v="8"/>
    <x v="55"/>
    <x v="6"/>
    <n v="4000"/>
  </r>
  <r>
    <x v="3"/>
    <x v="1"/>
    <x v="2"/>
    <x v="8"/>
    <x v="55"/>
    <x v="7"/>
    <n v="4000"/>
  </r>
  <r>
    <x v="3"/>
    <x v="1"/>
    <x v="2"/>
    <x v="8"/>
    <x v="55"/>
    <x v="8"/>
    <n v="4000"/>
  </r>
  <r>
    <x v="3"/>
    <x v="1"/>
    <x v="2"/>
    <x v="8"/>
    <x v="55"/>
    <x v="9"/>
    <n v="4000"/>
  </r>
  <r>
    <x v="3"/>
    <x v="1"/>
    <x v="2"/>
    <x v="8"/>
    <x v="55"/>
    <x v="10"/>
    <n v="4000"/>
  </r>
  <r>
    <x v="3"/>
    <x v="1"/>
    <x v="2"/>
    <x v="8"/>
    <x v="55"/>
    <x v="11"/>
    <n v="4000"/>
  </r>
  <r>
    <x v="3"/>
    <x v="1"/>
    <x v="2"/>
    <x v="6"/>
    <x v="56"/>
    <x v="0"/>
    <n v="1050"/>
  </r>
  <r>
    <x v="3"/>
    <x v="1"/>
    <x v="2"/>
    <x v="6"/>
    <x v="56"/>
    <x v="1"/>
    <n v="1050"/>
  </r>
  <r>
    <x v="3"/>
    <x v="1"/>
    <x v="2"/>
    <x v="6"/>
    <x v="56"/>
    <x v="2"/>
    <n v="1050"/>
  </r>
  <r>
    <x v="3"/>
    <x v="1"/>
    <x v="2"/>
    <x v="6"/>
    <x v="56"/>
    <x v="3"/>
    <n v="1050"/>
  </r>
  <r>
    <x v="3"/>
    <x v="1"/>
    <x v="2"/>
    <x v="6"/>
    <x v="56"/>
    <x v="4"/>
    <n v="1050"/>
  </r>
  <r>
    <x v="3"/>
    <x v="1"/>
    <x v="2"/>
    <x v="6"/>
    <x v="56"/>
    <x v="5"/>
    <n v="1050"/>
  </r>
  <r>
    <x v="3"/>
    <x v="1"/>
    <x v="2"/>
    <x v="6"/>
    <x v="56"/>
    <x v="6"/>
    <n v="1050"/>
  </r>
  <r>
    <x v="3"/>
    <x v="1"/>
    <x v="2"/>
    <x v="6"/>
    <x v="56"/>
    <x v="7"/>
    <n v="1050"/>
  </r>
  <r>
    <x v="3"/>
    <x v="1"/>
    <x v="2"/>
    <x v="6"/>
    <x v="56"/>
    <x v="8"/>
    <n v="1050"/>
  </r>
  <r>
    <x v="3"/>
    <x v="1"/>
    <x v="2"/>
    <x v="6"/>
    <x v="56"/>
    <x v="9"/>
    <n v="1050"/>
  </r>
  <r>
    <x v="3"/>
    <x v="1"/>
    <x v="2"/>
    <x v="6"/>
    <x v="56"/>
    <x v="10"/>
    <n v="1050"/>
  </r>
  <r>
    <x v="3"/>
    <x v="1"/>
    <x v="2"/>
    <x v="6"/>
    <x v="56"/>
    <x v="11"/>
    <n v="1050"/>
  </r>
  <r>
    <x v="3"/>
    <x v="1"/>
    <x v="2"/>
    <x v="24"/>
    <x v="57"/>
    <x v="0"/>
    <n v="860"/>
  </r>
  <r>
    <x v="3"/>
    <x v="1"/>
    <x v="2"/>
    <x v="24"/>
    <x v="57"/>
    <x v="1"/>
    <n v="860"/>
  </r>
  <r>
    <x v="3"/>
    <x v="1"/>
    <x v="2"/>
    <x v="24"/>
    <x v="57"/>
    <x v="2"/>
    <n v="860"/>
  </r>
  <r>
    <x v="3"/>
    <x v="1"/>
    <x v="2"/>
    <x v="24"/>
    <x v="57"/>
    <x v="3"/>
    <n v="860"/>
  </r>
  <r>
    <x v="3"/>
    <x v="1"/>
    <x v="2"/>
    <x v="24"/>
    <x v="57"/>
    <x v="4"/>
    <n v="860"/>
  </r>
  <r>
    <x v="3"/>
    <x v="1"/>
    <x v="2"/>
    <x v="24"/>
    <x v="57"/>
    <x v="5"/>
    <n v="860"/>
  </r>
  <r>
    <x v="3"/>
    <x v="1"/>
    <x v="2"/>
    <x v="24"/>
    <x v="57"/>
    <x v="6"/>
    <n v="860"/>
  </r>
  <r>
    <x v="3"/>
    <x v="1"/>
    <x v="2"/>
    <x v="24"/>
    <x v="57"/>
    <x v="7"/>
    <n v="860"/>
  </r>
  <r>
    <x v="3"/>
    <x v="1"/>
    <x v="2"/>
    <x v="24"/>
    <x v="57"/>
    <x v="8"/>
    <n v="860"/>
  </r>
  <r>
    <x v="3"/>
    <x v="1"/>
    <x v="2"/>
    <x v="24"/>
    <x v="57"/>
    <x v="9"/>
    <n v="860"/>
  </r>
  <r>
    <x v="3"/>
    <x v="1"/>
    <x v="2"/>
    <x v="24"/>
    <x v="57"/>
    <x v="10"/>
    <n v="860"/>
  </r>
  <r>
    <x v="3"/>
    <x v="1"/>
    <x v="2"/>
    <x v="24"/>
    <x v="57"/>
    <x v="11"/>
    <n v="860"/>
  </r>
  <r>
    <x v="3"/>
    <x v="1"/>
    <x v="5"/>
    <x v="25"/>
    <x v="58"/>
    <x v="0"/>
    <n v="1450"/>
  </r>
  <r>
    <x v="3"/>
    <x v="1"/>
    <x v="5"/>
    <x v="25"/>
    <x v="58"/>
    <x v="1"/>
    <n v="1450"/>
  </r>
  <r>
    <x v="3"/>
    <x v="1"/>
    <x v="5"/>
    <x v="25"/>
    <x v="58"/>
    <x v="2"/>
    <n v="1450"/>
  </r>
  <r>
    <x v="3"/>
    <x v="1"/>
    <x v="5"/>
    <x v="25"/>
    <x v="58"/>
    <x v="3"/>
    <n v="1450"/>
  </r>
  <r>
    <x v="3"/>
    <x v="1"/>
    <x v="5"/>
    <x v="25"/>
    <x v="58"/>
    <x v="4"/>
    <n v="1450"/>
  </r>
  <r>
    <x v="3"/>
    <x v="1"/>
    <x v="5"/>
    <x v="25"/>
    <x v="58"/>
    <x v="5"/>
    <n v="1450"/>
  </r>
  <r>
    <x v="3"/>
    <x v="1"/>
    <x v="5"/>
    <x v="25"/>
    <x v="58"/>
    <x v="6"/>
    <n v="1450"/>
  </r>
  <r>
    <x v="3"/>
    <x v="1"/>
    <x v="5"/>
    <x v="25"/>
    <x v="58"/>
    <x v="7"/>
    <n v="1450"/>
  </r>
  <r>
    <x v="3"/>
    <x v="1"/>
    <x v="5"/>
    <x v="25"/>
    <x v="58"/>
    <x v="8"/>
    <n v="1450"/>
  </r>
  <r>
    <x v="3"/>
    <x v="1"/>
    <x v="5"/>
    <x v="25"/>
    <x v="58"/>
    <x v="9"/>
    <n v="1450"/>
  </r>
  <r>
    <x v="3"/>
    <x v="1"/>
    <x v="5"/>
    <x v="25"/>
    <x v="58"/>
    <x v="10"/>
    <n v="1450"/>
  </r>
  <r>
    <x v="3"/>
    <x v="1"/>
    <x v="5"/>
    <x v="25"/>
    <x v="58"/>
    <x v="11"/>
    <n v="1450"/>
  </r>
  <r>
    <x v="3"/>
    <x v="2"/>
    <x v="1"/>
    <x v="22"/>
    <x v="59"/>
    <x v="0"/>
    <n v="1500"/>
  </r>
  <r>
    <x v="3"/>
    <x v="2"/>
    <x v="1"/>
    <x v="22"/>
    <x v="59"/>
    <x v="1"/>
    <n v="1500"/>
  </r>
  <r>
    <x v="3"/>
    <x v="2"/>
    <x v="1"/>
    <x v="22"/>
    <x v="59"/>
    <x v="2"/>
    <n v="1500"/>
  </r>
  <r>
    <x v="3"/>
    <x v="2"/>
    <x v="1"/>
    <x v="22"/>
    <x v="59"/>
    <x v="3"/>
    <n v="1500"/>
  </r>
  <r>
    <x v="3"/>
    <x v="2"/>
    <x v="1"/>
    <x v="22"/>
    <x v="59"/>
    <x v="4"/>
    <n v="1500"/>
  </r>
  <r>
    <x v="3"/>
    <x v="2"/>
    <x v="1"/>
    <x v="22"/>
    <x v="59"/>
    <x v="5"/>
    <n v="1500"/>
  </r>
  <r>
    <x v="3"/>
    <x v="2"/>
    <x v="1"/>
    <x v="22"/>
    <x v="59"/>
    <x v="6"/>
    <n v="1500"/>
  </r>
  <r>
    <x v="3"/>
    <x v="2"/>
    <x v="1"/>
    <x v="22"/>
    <x v="59"/>
    <x v="7"/>
    <n v="1500"/>
  </r>
  <r>
    <x v="3"/>
    <x v="2"/>
    <x v="1"/>
    <x v="22"/>
    <x v="59"/>
    <x v="8"/>
    <n v="1500"/>
  </r>
  <r>
    <x v="3"/>
    <x v="2"/>
    <x v="1"/>
    <x v="22"/>
    <x v="59"/>
    <x v="9"/>
    <n v="1500"/>
  </r>
  <r>
    <x v="3"/>
    <x v="2"/>
    <x v="1"/>
    <x v="22"/>
    <x v="59"/>
    <x v="10"/>
    <n v="1500"/>
  </r>
  <r>
    <x v="3"/>
    <x v="2"/>
    <x v="1"/>
    <x v="22"/>
    <x v="59"/>
    <x v="11"/>
    <n v="1500"/>
  </r>
  <r>
    <x v="3"/>
    <x v="1"/>
    <x v="2"/>
    <x v="26"/>
    <x v="60"/>
    <x v="0"/>
    <n v="552"/>
  </r>
  <r>
    <x v="3"/>
    <x v="1"/>
    <x v="2"/>
    <x v="26"/>
    <x v="60"/>
    <x v="1"/>
    <n v="552"/>
  </r>
  <r>
    <x v="3"/>
    <x v="1"/>
    <x v="2"/>
    <x v="26"/>
    <x v="60"/>
    <x v="2"/>
    <n v="552"/>
  </r>
  <r>
    <x v="3"/>
    <x v="1"/>
    <x v="2"/>
    <x v="26"/>
    <x v="60"/>
    <x v="3"/>
    <n v="552"/>
  </r>
  <r>
    <x v="3"/>
    <x v="1"/>
    <x v="2"/>
    <x v="26"/>
    <x v="60"/>
    <x v="4"/>
    <n v="552"/>
  </r>
  <r>
    <x v="3"/>
    <x v="1"/>
    <x v="2"/>
    <x v="26"/>
    <x v="60"/>
    <x v="5"/>
    <n v="552"/>
  </r>
  <r>
    <x v="3"/>
    <x v="1"/>
    <x v="2"/>
    <x v="26"/>
    <x v="60"/>
    <x v="6"/>
    <n v="552"/>
  </r>
  <r>
    <x v="3"/>
    <x v="1"/>
    <x v="2"/>
    <x v="26"/>
    <x v="60"/>
    <x v="7"/>
    <n v="552"/>
  </r>
  <r>
    <x v="3"/>
    <x v="1"/>
    <x v="2"/>
    <x v="26"/>
    <x v="60"/>
    <x v="8"/>
    <n v="552"/>
  </r>
  <r>
    <x v="3"/>
    <x v="1"/>
    <x v="2"/>
    <x v="26"/>
    <x v="60"/>
    <x v="9"/>
    <n v="552"/>
  </r>
  <r>
    <x v="3"/>
    <x v="1"/>
    <x v="2"/>
    <x v="26"/>
    <x v="60"/>
    <x v="10"/>
    <n v="552"/>
  </r>
  <r>
    <x v="3"/>
    <x v="1"/>
    <x v="2"/>
    <x v="26"/>
    <x v="60"/>
    <x v="11"/>
    <n v="552"/>
  </r>
  <r>
    <x v="3"/>
    <x v="1"/>
    <x v="4"/>
    <x v="20"/>
    <x v="61"/>
    <x v="0"/>
    <n v="0"/>
  </r>
  <r>
    <x v="3"/>
    <x v="1"/>
    <x v="4"/>
    <x v="20"/>
    <x v="61"/>
    <x v="1"/>
    <n v="0"/>
  </r>
  <r>
    <x v="3"/>
    <x v="1"/>
    <x v="4"/>
    <x v="20"/>
    <x v="61"/>
    <x v="2"/>
    <n v="0"/>
  </r>
  <r>
    <x v="3"/>
    <x v="1"/>
    <x v="4"/>
    <x v="20"/>
    <x v="61"/>
    <x v="3"/>
    <n v="0"/>
  </r>
  <r>
    <x v="3"/>
    <x v="1"/>
    <x v="4"/>
    <x v="20"/>
    <x v="61"/>
    <x v="4"/>
    <n v="0"/>
  </r>
  <r>
    <x v="3"/>
    <x v="1"/>
    <x v="4"/>
    <x v="20"/>
    <x v="61"/>
    <x v="5"/>
    <n v="0"/>
  </r>
  <r>
    <x v="3"/>
    <x v="1"/>
    <x v="4"/>
    <x v="20"/>
    <x v="61"/>
    <x v="6"/>
    <n v="0"/>
  </r>
  <r>
    <x v="3"/>
    <x v="1"/>
    <x v="4"/>
    <x v="20"/>
    <x v="61"/>
    <x v="7"/>
    <n v="0"/>
  </r>
  <r>
    <x v="3"/>
    <x v="1"/>
    <x v="4"/>
    <x v="20"/>
    <x v="61"/>
    <x v="8"/>
    <n v="0"/>
  </r>
  <r>
    <x v="3"/>
    <x v="1"/>
    <x v="4"/>
    <x v="20"/>
    <x v="61"/>
    <x v="9"/>
    <n v="0"/>
  </r>
  <r>
    <x v="3"/>
    <x v="1"/>
    <x v="4"/>
    <x v="20"/>
    <x v="61"/>
    <x v="10"/>
    <n v="0"/>
  </r>
  <r>
    <x v="3"/>
    <x v="1"/>
    <x v="4"/>
    <x v="20"/>
    <x v="61"/>
    <x v="11"/>
    <n v="0"/>
  </r>
  <r>
    <x v="2"/>
    <x v="1"/>
    <x v="2"/>
    <x v="24"/>
    <x v="62"/>
    <x v="0"/>
    <n v="600"/>
  </r>
  <r>
    <x v="2"/>
    <x v="1"/>
    <x v="2"/>
    <x v="24"/>
    <x v="62"/>
    <x v="1"/>
    <n v="600"/>
  </r>
  <r>
    <x v="2"/>
    <x v="1"/>
    <x v="2"/>
    <x v="24"/>
    <x v="62"/>
    <x v="2"/>
    <n v="600"/>
  </r>
  <r>
    <x v="2"/>
    <x v="1"/>
    <x v="2"/>
    <x v="24"/>
    <x v="62"/>
    <x v="3"/>
    <n v="600"/>
  </r>
  <r>
    <x v="2"/>
    <x v="1"/>
    <x v="2"/>
    <x v="24"/>
    <x v="62"/>
    <x v="4"/>
    <n v="600"/>
  </r>
  <r>
    <x v="2"/>
    <x v="1"/>
    <x v="2"/>
    <x v="24"/>
    <x v="62"/>
    <x v="5"/>
    <n v="600"/>
  </r>
  <r>
    <x v="2"/>
    <x v="1"/>
    <x v="2"/>
    <x v="24"/>
    <x v="62"/>
    <x v="6"/>
    <n v="600"/>
  </r>
  <r>
    <x v="2"/>
    <x v="1"/>
    <x v="2"/>
    <x v="24"/>
    <x v="62"/>
    <x v="7"/>
    <n v="600"/>
  </r>
  <r>
    <x v="2"/>
    <x v="1"/>
    <x v="2"/>
    <x v="24"/>
    <x v="62"/>
    <x v="8"/>
    <n v="600"/>
  </r>
  <r>
    <x v="2"/>
    <x v="1"/>
    <x v="2"/>
    <x v="24"/>
    <x v="62"/>
    <x v="9"/>
    <n v="600"/>
  </r>
  <r>
    <x v="2"/>
    <x v="1"/>
    <x v="2"/>
    <x v="24"/>
    <x v="62"/>
    <x v="10"/>
    <n v="600"/>
  </r>
  <r>
    <x v="2"/>
    <x v="1"/>
    <x v="2"/>
    <x v="24"/>
    <x v="62"/>
    <x v="11"/>
    <n v="600"/>
  </r>
  <r>
    <x v="2"/>
    <x v="1"/>
    <x v="2"/>
    <x v="15"/>
    <x v="63"/>
    <x v="0"/>
    <n v="360"/>
  </r>
  <r>
    <x v="2"/>
    <x v="1"/>
    <x v="2"/>
    <x v="15"/>
    <x v="63"/>
    <x v="1"/>
    <n v="160"/>
  </r>
  <r>
    <x v="2"/>
    <x v="1"/>
    <x v="2"/>
    <x v="15"/>
    <x v="63"/>
    <x v="2"/>
    <n v="160"/>
  </r>
  <r>
    <x v="2"/>
    <x v="1"/>
    <x v="2"/>
    <x v="15"/>
    <x v="63"/>
    <x v="3"/>
    <n v="360"/>
  </r>
  <r>
    <x v="2"/>
    <x v="1"/>
    <x v="2"/>
    <x v="15"/>
    <x v="63"/>
    <x v="4"/>
    <n v="160"/>
  </r>
  <r>
    <x v="2"/>
    <x v="1"/>
    <x v="2"/>
    <x v="15"/>
    <x v="63"/>
    <x v="5"/>
    <n v="160"/>
  </r>
  <r>
    <x v="2"/>
    <x v="1"/>
    <x v="2"/>
    <x v="15"/>
    <x v="63"/>
    <x v="6"/>
    <n v="360"/>
  </r>
  <r>
    <x v="2"/>
    <x v="1"/>
    <x v="2"/>
    <x v="15"/>
    <x v="63"/>
    <x v="7"/>
    <n v="160"/>
  </r>
  <r>
    <x v="2"/>
    <x v="1"/>
    <x v="2"/>
    <x v="15"/>
    <x v="63"/>
    <x v="8"/>
    <n v="160"/>
  </r>
  <r>
    <x v="2"/>
    <x v="1"/>
    <x v="2"/>
    <x v="15"/>
    <x v="63"/>
    <x v="9"/>
    <n v="360"/>
  </r>
  <r>
    <x v="2"/>
    <x v="1"/>
    <x v="2"/>
    <x v="15"/>
    <x v="63"/>
    <x v="10"/>
    <n v="160"/>
  </r>
  <r>
    <x v="2"/>
    <x v="1"/>
    <x v="2"/>
    <x v="15"/>
    <x v="63"/>
    <x v="11"/>
    <n v="160"/>
  </r>
  <r>
    <x v="2"/>
    <x v="1"/>
    <x v="2"/>
    <x v="27"/>
    <x v="64"/>
    <x v="0"/>
    <n v="91"/>
  </r>
  <r>
    <x v="2"/>
    <x v="1"/>
    <x v="2"/>
    <x v="27"/>
    <x v="64"/>
    <x v="1"/>
    <n v="91"/>
  </r>
  <r>
    <x v="2"/>
    <x v="1"/>
    <x v="2"/>
    <x v="27"/>
    <x v="64"/>
    <x v="2"/>
    <n v="91"/>
  </r>
  <r>
    <x v="2"/>
    <x v="1"/>
    <x v="2"/>
    <x v="27"/>
    <x v="64"/>
    <x v="3"/>
    <n v="91"/>
  </r>
  <r>
    <x v="2"/>
    <x v="1"/>
    <x v="2"/>
    <x v="27"/>
    <x v="64"/>
    <x v="4"/>
    <n v="91"/>
  </r>
  <r>
    <x v="2"/>
    <x v="1"/>
    <x v="2"/>
    <x v="27"/>
    <x v="64"/>
    <x v="5"/>
    <n v="91"/>
  </r>
  <r>
    <x v="2"/>
    <x v="1"/>
    <x v="2"/>
    <x v="27"/>
    <x v="64"/>
    <x v="6"/>
    <n v="91"/>
  </r>
  <r>
    <x v="2"/>
    <x v="1"/>
    <x v="2"/>
    <x v="27"/>
    <x v="64"/>
    <x v="7"/>
    <n v="91"/>
  </r>
  <r>
    <x v="2"/>
    <x v="1"/>
    <x v="2"/>
    <x v="27"/>
    <x v="64"/>
    <x v="8"/>
    <n v="91"/>
  </r>
  <r>
    <x v="2"/>
    <x v="1"/>
    <x v="2"/>
    <x v="27"/>
    <x v="64"/>
    <x v="9"/>
    <n v="91"/>
  </r>
  <r>
    <x v="2"/>
    <x v="1"/>
    <x v="2"/>
    <x v="27"/>
    <x v="64"/>
    <x v="10"/>
    <n v="91"/>
  </r>
  <r>
    <x v="2"/>
    <x v="1"/>
    <x v="2"/>
    <x v="27"/>
    <x v="64"/>
    <x v="11"/>
    <n v="91"/>
  </r>
  <r>
    <x v="2"/>
    <x v="1"/>
    <x v="2"/>
    <x v="16"/>
    <x v="65"/>
    <x v="0"/>
    <n v="0"/>
  </r>
  <r>
    <x v="2"/>
    <x v="1"/>
    <x v="2"/>
    <x v="16"/>
    <x v="65"/>
    <x v="1"/>
    <n v="252"/>
  </r>
  <r>
    <x v="2"/>
    <x v="1"/>
    <x v="2"/>
    <x v="16"/>
    <x v="65"/>
    <x v="2"/>
    <n v="152"/>
  </r>
  <r>
    <x v="2"/>
    <x v="1"/>
    <x v="2"/>
    <x v="16"/>
    <x v="65"/>
    <x v="3"/>
    <n v="152"/>
  </r>
  <r>
    <x v="2"/>
    <x v="1"/>
    <x v="2"/>
    <x v="16"/>
    <x v="65"/>
    <x v="4"/>
    <n v="152"/>
  </r>
  <r>
    <x v="2"/>
    <x v="1"/>
    <x v="2"/>
    <x v="16"/>
    <x v="65"/>
    <x v="5"/>
    <n v="152"/>
  </r>
  <r>
    <x v="2"/>
    <x v="1"/>
    <x v="2"/>
    <x v="16"/>
    <x v="65"/>
    <x v="6"/>
    <n v="152"/>
  </r>
  <r>
    <x v="2"/>
    <x v="1"/>
    <x v="2"/>
    <x v="16"/>
    <x v="65"/>
    <x v="7"/>
    <n v="0"/>
  </r>
  <r>
    <x v="2"/>
    <x v="1"/>
    <x v="2"/>
    <x v="16"/>
    <x v="65"/>
    <x v="8"/>
    <n v="0"/>
  </r>
  <r>
    <x v="2"/>
    <x v="1"/>
    <x v="2"/>
    <x v="16"/>
    <x v="65"/>
    <x v="9"/>
    <n v="0"/>
  </r>
  <r>
    <x v="2"/>
    <x v="1"/>
    <x v="2"/>
    <x v="16"/>
    <x v="65"/>
    <x v="10"/>
    <n v="0"/>
  </r>
  <r>
    <x v="2"/>
    <x v="1"/>
    <x v="2"/>
    <x v="16"/>
    <x v="65"/>
    <x v="11"/>
    <n v="0"/>
  </r>
  <r>
    <x v="2"/>
    <x v="1"/>
    <x v="2"/>
    <x v="6"/>
    <x v="66"/>
    <x v="0"/>
    <n v="1060"/>
  </r>
  <r>
    <x v="2"/>
    <x v="1"/>
    <x v="2"/>
    <x v="6"/>
    <x v="66"/>
    <x v="1"/>
    <n v="1060"/>
  </r>
  <r>
    <x v="2"/>
    <x v="1"/>
    <x v="2"/>
    <x v="6"/>
    <x v="66"/>
    <x v="2"/>
    <n v="1060"/>
  </r>
  <r>
    <x v="2"/>
    <x v="1"/>
    <x v="2"/>
    <x v="6"/>
    <x v="66"/>
    <x v="3"/>
    <n v="1060"/>
  </r>
  <r>
    <x v="2"/>
    <x v="1"/>
    <x v="2"/>
    <x v="6"/>
    <x v="66"/>
    <x v="4"/>
    <n v="1060"/>
  </r>
  <r>
    <x v="2"/>
    <x v="1"/>
    <x v="2"/>
    <x v="6"/>
    <x v="66"/>
    <x v="5"/>
    <n v="1060"/>
  </r>
  <r>
    <x v="2"/>
    <x v="1"/>
    <x v="2"/>
    <x v="6"/>
    <x v="66"/>
    <x v="6"/>
    <n v="1060"/>
  </r>
  <r>
    <x v="2"/>
    <x v="1"/>
    <x v="2"/>
    <x v="6"/>
    <x v="66"/>
    <x v="7"/>
    <n v="1060"/>
  </r>
  <r>
    <x v="2"/>
    <x v="1"/>
    <x v="2"/>
    <x v="6"/>
    <x v="66"/>
    <x v="8"/>
    <n v="1060"/>
  </r>
  <r>
    <x v="2"/>
    <x v="1"/>
    <x v="2"/>
    <x v="6"/>
    <x v="66"/>
    <x v="9"/>
    <n v="1060"/>
  </r>
  <r>
    <x v="2"/>
    <x v="1"/>
    <x v="2"/>
    <x v="6"/>
    <x v="66"/>
    <x v="10"/>
    <n v="1060"/>
  </r>
  <r>
    <x v="2"/>
    <x v="1"/>
    <x v="2"/>
    <x v="6"/>
    <x v="66"/>
    <x v="11"/>
    <n v="1060"/>
  </r>
  <r>
    <x v="2"/>
    <x v="1"/>
    <x v="2"/>
    <x v="14"/>
    <x v="67"/>
    <x v="0"/>
    <n v="660"/>
  </r>
  <r>
    <x v="2"/>
    <x v="1"/>
    <x v="2"/>
    <x v="14"/>
    <x v="67"/>
    <x v="1"/>
    <n v="660"/>
  </r>
  <r>
    <x v="2"/>
    <x v="1"/>
    <x v="2"/>
    <x v="14"/>
    <x v="67"/>
    <x v="2"/>
    <n v="660"/>
  </r>
  <r>
    <x v="2"/>
    <x v="1"/>
    <x v="2"/>
    <x v="14"/>
    <x v="67"/>
    <x v="3"/>
    <n v="660"/>
  </r>
  <r>
    <x v="2"/>
    <x v="1"/>
    <x v="2"/>
    <x v="14"/>
    <x v="67"/>
    <x v="4"/>
    <n v="660"/>
  </r>
  <r>
    <x v="2"/>
    <x v="1"/>
    <x v="2"/>
    <x v="14"/>
    <x v="67"/>
    <x v="5"/>
    <n v="660"/>
  </r>
  <r>
    <x v="2"/>
    <x v="1"/>
    <x v="2"/>
    <x v="14"/>
    <x v="67"/>
    <x v="6"/>
    <n v="660"/>
  </r>
  <r>
    <x v="2"/>
    <x v="1"/>
    <x v="2"/>
    <x v="14"/>
    <x v="67"/>
    <x v="7"/>
    <n v="660"/>
  </r>
  <r>
    <x v="2"/>
    <x v="1"/>
    <x v="2"/>
    <x v="14"/>
    <x v="67"/>
    <x v="8"/>
    <n v="660"/>
  </r>
  <r>
    <x v="2"/>
    <x v="1"/>
    <x v="2"/>
    <x v="14"/>
    <x v="67"/>
    <x v="9"/>
    <n v="660"/>
  </r>
  <r>
    <x v="2"/>
    <x v="1"/>
    <x v="2"/>
    <x v="14"/>
    <x v="67"/>
    <x v="10"/>
    <n v="660"/>
  </r>
  <r>
    <x v="2"/>
    <x v="1"/>
    <x v="2"/>
    <x v="14"/>
    <x v="67"/>
    <x v="11"/>
    <n v="660"/>
  </r>
  <r>
    <x v="2"/>
    <x v="2"/>
    <x v="2"/>
    <x v="8"/>
    <x v="68"/>
    <x v="0"/>
    <n v="5000"/>
  </r>
  <r>
    <x v="2"/>
    <x v="2"/>
    <x v="2"/>
    <x v="8"/>
    <x v="68"/>
    <x v="1"/>
    <n v="5000"/>
  </r>
  <r>
    <x v="2"/>
    <x v="2"/>
    <x v="2"/>
    <x v="8"/>
    <x v="68"/>
    <x v="2"/>
    <n v="5000"/>
  </r>
  <r>
    <x v="2"/>
    <x v="2"/>
    <x v="2"/>
    <x v="8"/>
    <x v="68"/>
    <x v="3"/>
    <n v="5000"/>
  </r>
  <r>
    <x v="2"/>
    <x v="2"/>
    <x v="2"/>
    <x v="8"/>
    <x v="68"/>
    <x v="4"/>
    <n v="5000"/>
  </r>
  <r>
    <x v="2"/>
    <x v="2"/>
    <x v="2"/>
    <x v="8"/>
    <x v="68"/>
    <x v="5"/>
    <n v="5000"/>
  </r>
  <r>
    <x v="2"/>
    <x v="2"/>
    <x v="2"/>
    <x v="8"/>
    <x v="68"/>
    <x v="6"/>
    <n v="5000"/>
  </r>
  <r>
    <x v="2"/>
    <x v="2"/>
    <x v="2"/>
    <x v="8"/>
    <x v="68"/>
    <x v="7"/>
    <n v="5000"/>
  </r>
  <r>
    <x v="2"/>
    <x v="2"/>
    <x v="2"/>
    <x v="8"/>
    <x v="68"/>
    <x v="8"/>
    <n v="5000"/>
  </r>
  <r>
    <x v="2"/>
    <x v="2"/>
    <x v="2"/>
    <x v="8"/>
    <x v="68"/>
    <x v="9"/>
    <n v="5000"/>
  </r>
  <r>
    <x v="2"/>
    <x v="2"/>
    <x v="2"/>
    <x v="8"/>
    <x v="68"/>
    <x v="10"/>
    <n v="5000"/>
  </r>
  <r>
    <x v="2"/>
    <x v="2"/>
    <x v="2"/>
    <x v="8"/>
    <x v="68"/>
    <x v="11"/>
    <n v="5000"/>
  </r>
  <r>
    <x v="2"/>
    <x v="1"/>
    <x v="2"/>
    <x v="6"/>
    <x v="69"/>
    <x v="0"/>
    <n v="460"/>
  </r>
  <r>
    <x v="2"/>
    <x v="1"/>
    <x v="2"/>
    <x v="6"/>
    <x v="69"/>
    <x v="1"/>
    <n v="460"/>
  </r>
  <r>
    <x v="2"/>
    <x v="1"/>
    <x v="2"/>
    <x v="6"/>
    <x v="69"/>
    <x v="2"/>
    <n v="0"/>
  </r>
  <r>
    <x v="2"/>
    <x v="1"/>
    <x v="2"/>
    <x v="6"/>
    <x v="69"/>
    <x v="3"/>
    <n v="0"/>
  </r>
  <r>
    <x v="2"/>
    <x v="1"/>
    <x v="2"/>
    <x v="6"/>
    <x v="69"/>
    <x v="4"/>
    <n v="0"/>
  </r>
  <r>
    <x v="2"/>
    <x v="1"/>
    <x v="2"/>
    <x v="6"/>
    <x v="69"/>
    <x v="5"/>
    <n v="0"/>
  </r>
  <r>
    <x v="2"/>
    <x v="1"/>
    <x v="2"/>
    <x v="6"/>
    <x v="69"/>
    <x v="6"/>
    <n v="0"/>
  </r>
  <r>
    <x v="2"/>
    <x v="1"/>
    <x v="2"/>
    <x v="6"/>
    <x v="69"/>
    <x v="7"/>
    <n v="0"/>
  </r>
  <r>
    <x v="2"/>
    <x v="1"/>
    <x v="2"/>
    <x v="6"/>
    <x v="69"/>
    <x v="8"/>
    <n v="0"/>
  </r>
  <r>
    <x v="2"/>
    <x v="1"/>
    <x v="2"/>
    <x v="6"/>
    <x v="69"/>
    <x v="9"/>
    <n v="0"/>
  </r>
  <r>
    <x v="2"/>
    <x v="1"/>
    <x v="2"/>
    <x v="6"/>
    <x v="69"/>
    <x v="10"/>
    <n v="0"/>
  </r>
  <r>
    <x v="2"/>
    <x v="1"/>
    <x v="2"/>
    <x v="6"/>
    <x v="69"/>
    <x v="11"/>
    <n v="0"/>
  </r>
  <r>
    <x v="2"/>
    <x v="2"/>
    <x v="1"/>
    <x v="2"/>
    <x v="70"/>
    <x v="0"/>
    <n v="851"/>
  </r>
  <r>
    <x v="2"/>
    <x v="2"/>
    <x v="1"/>
    <x v="2"/>
    <x v="70"/>
    <x v="1"/>
    <n v="0"/>
  </r>
  <r>
    <x v="2"/>
    <x v="2"/>
    <x v="1"/>
    <x v="2"/>
    <x v="70"/>
    <x v="2"/>
    <n v="0"/>
  </r>
  <r>
    <x v="2"/>
    <x v="2"/>
    <x v="1"/>
    <x v="2"/>
    <x v="70"/>
    <x v="3"/>
    <n v="0"/>
  </r>
  <r>
    <x v="2"/>
    <x v="2"/>
    <x v="1"/>
    <x v="2"/>
    <x v="70"/>
    <x v="4"/>
    <n v="0"/>
  </r>
  <r>
    <x v="2"/>
    <x v="2"/>
    <x v="1"/>
    <x v="2"/>
    <x v="70"/>
    <x v="5"/>
    <n v="0"/>
  </r>
  <r>
    <x v="2"/>
    <x v="2"/>
    <x v="1"/>
    <x v="2"/>
    <x v="70"/>
    <x v="6"/>
    <n v="0"/>
  </r>
  <r>
    <x v="2"/>
    <x v="2"/>
    <x v="1"/>
    <x v="2"/>
    <x v="70"/>
    <x v="7"/>
    <n v="0"/>
  </r>
  <r>
    <x v="2"/>
    <x v="2"/>
    <x v="1"/>
    <x v="2"/>
    <x v="70"/>
    <x v="8"/>
    <n v="0"/>
  </r>
  <r>
    <x v="2"/>
    <x v="2"/>
    <x v="1"/>
    <x v="2"/>
    <x v="70"/>
    <x v="9"/>
    <n v="0"/>
  </r>
  <r>
    <x v="2"/>
    <x v="2"/>
    <x v="1"/>
    <x v="2"/>
    <x v="70"/>
    <x v="10"/>
    <n v="0"/>
  </r>
  <r>
    <x v="2"/>
    <x v="2"/>
    <x v="1"/>
    <x v="2"/>
    <x v="70"/>
    <x v="11"/>
    <n v="851"/>
  </r>
  <r>
    <x v="2"/>
    <x v="1"/>
    <x v="2"/>
    <x v="15"/>
    <x v="71"/>
    <x v="0"/>
    <n v="15"/>
  </r>
  <r>
    <x v="2"/>
    <x v="1"/>
    <x v="2"/>
    <x v="15"/>
    <x v="71"/>
    <x v="1"/>
    <n v="30"/>
  </r>
  <r>
    <x v="2"/>
    <x v="1"/>
    <x v="2"/>
    <x v="15"/>
    <x v="71"/>
    <x v="2"/>
    <n v="60"/>
  </r>
  <r>
    <x v="2"/>
    <x v="1"/>
    <x v="2"/>
    <x v="15"/>
    <x v="71"/>
    <x v="3"/>
    <n v="15"/>
  </r>
  <r>
    <x v="2"/>
    <x v="1"/>
    <x v="2"/>
    <x v="15"/>
    <x v="71"/>
    <x v="4"/>
    <n v="60"/>
  </r>
  <r>
    <x v="2"/>
    <x v="1"/>
    <x v="2"/>
    <x v="15"/>
    <x v="71"/>
    <x v="5"/>
    <n v="15"/>
  </r>
  <r>
    <x v="2"/>
    <x v="1"/>
    <x v="2"/>
    <x v="15"/>
    <x v="71"/>
    <x v="6"/>
    <n v="15"/>
  </r>
  <r>
    <x v="2"/>
    <x v="1"/>
    <x v="2"/>
    <x v="15"/>
    <x v="71"/>
    <x v="7"/>
    <n v="15"/>
  </r>
  <r>
    <x v="2"/>
    <x v="1"/>
    <x v="2"/>
    <x v="15"/>
    <x v="71"/>
    <x v="8"/>
    <n v="60"/>
  </r>
  <r>
    <x v="2"/>
    <x v="1"/>
    <x v="2"/>
    <x v="15"/>
    <x v="71"/>
    <x v="9"/>
    <n v="15"/>
  </r>
  <r>
    <x v="2"/>
    <x v="1"/>
    <x v="2"/>
    <x v="15"/>
    <x v="71"/>
    <x v="10"/>
    <n v="15"/>
  </r>
  <r>
    <x v="2"/>
    <x v="1"/>
    <x v="2"/>
    <x v="15"/>
    <x v="71"/>
    <x v="11"/>
    <n v="15"/>
  </r>
  <r>
    <x v="2"/>
    <x v="1"/>
    <x v="5"/>
    <x v="25"/>
    <x v="58"/>
    <x v="0"/>
    <n v="800"/>
  </r>
  <r>
    <x v="2"/>
    <x v="1"/>
    <x v="5"/>
    <x v="25"/>
    <x v="58"/>
    <x v="1"/>
    <n v="200"/>
  </r>
  <r>
    <x v="2"/>
    <x v="1"/>
    <x v="5"/>
    <x v="25"/>
    <x v="58"/>
    <x v="2"/>
    <n v="200"/>
  </r>
  <r>
    <x v="2"/>
    <x v="1"/>
    <x v="5"/>
    <x v="25"/>
    <x v="58"/>
    <x v="3"/>
    <n v="200"/>
  </r>
  <r>
    <x v="2"/>
    <x v="1"/>
    <x v="5"/>
    <x v="25"/>
    <x v="58"/>
    <x v="4"/>
    <n v="200"/>
  </r>
  <r>
    <x v="2"/>
    <x v="1"/>
    <x v="5"/>
    <x v="25"/>
    <x v="58"/>
    <x v="5"/>
    <n v="200"/>
  </r>
  <r>
    <x v="2"/>
    <x v="1"/>
    <x v="5"/>
    <x v="25"/>
    <x v="58"/>
    <x v="6"/>
    <n v="200"/>
  </r>
  <r>
    <x v="2"/>
    <x v="1"/>
    <x v="5"/>
    <x v="25"/>
    <x v="58"/>
    <x v="7"/>
    <n v="200"/>
  </r>
  <r>
    <x v="2"/>
    <x v="1"/>
    <x v="5"/>
    <x v="25"/>
    <x v="58"/>
    <x v="8"/>
    <n v="200"/>
  </r>
  <r>
    <x v="2"/>
    <x v="1"/>
    <x v="5"/>
    <x v="25"/>
    <x v="58"/>
    <x v="9"/>
    <n v="200"/>
  </r>
  <r>
    <x v="2"/>
    <x v="1"/>
    <x v="5"/>
    <x v="25"/>
    <x v="58"/>
    <x v="10"/>
    <n v="200"/>
  </r>
  <r>
    <x v="2"/>
    <x v="1"/>
    <x v="5"/>
    <x v="25"/>
    <x v="58"/>
    <x v="11"/>
    <n v="200"/>
  </r>
  <r>
    <x v="2"/>
    <x v="1"/>
    <x v="2"/>
    <x v="14"/>
    <x v="72"/>
    <x v="0"/>
    <n v="550"/>
  </r>
  <r>
    <x v="2"/>
    <x v="1"/>
    <x v="2"/>
    <x v="14"/>
    <x v="72"/>
    <x v="1"/>
    <n v="550"/>
  </r>
  <r>
    <x v="2"/>
    <x v="1"/>
    <x v="2"/>
    <x v="14"/>
    <x v="72"/>
    <x v="2"/>
    <n v="550"/>
  </r>
  <r>
    <x v="2"/>
    <x v="1"/>
    <x v="2"/>
    <x v="14"/>
    <x v="72"/>
    <x v="3"/>
    <n v="550"/>
  </r>
  <r>
    <x v="2"/>
    <x v="1"/>
    <x v="2"/>
    <x v="14"/>
    <x v="72"/>
    <x v="4"/>
    <n v="550"/>
  </r>
  <r>
    <x v="2"/>
    <x v="1"/>
    <x v="2"/>
    <x v="14"/>
    <x v="72"/>
    <x v="5"/>
    <n v="550"/>
  </r>
  <r>
    <x v="2"/>
    <x v="1"/>
    <x v="2"/>
    <x v="14"/>
    <x v="72"/>
    <x v="6"/>
    <n v="550"/>
  </r>
  <r>
    <x v="2"/>
    <x v="1"/>
    <x v="2"/>
    <x v="14"/>
    <x v="72"/>
    <x v="7"/>
    <n v="550"/>
  </r>
  <r>
    <x v="2"/>
    <x v="1"/>
    <x v="2"/>
    <x v="14"/>
    <x v="72"/>
    <x v="8"/>
    <n v="550"/>
  </r>
  <r>
    <x v="2"/>
    <x v="1"/>
    <x v="2"/>
    <x v="14"/>
    <x v="72"/>
    <x v="9"/>
    <n v="550"/>
  </r>
  <r>
    <x v="2"/>
    <x v="1"/>
    <x v="2"/>
    <x v="14"/>
    <x v="72"/>
    <x v="10"/>
    <n v="550"/>
  </r>
  <r>
    <x v="2"/>
    <x v="1"/>
    <x v="2"/>
    <x v="14"/>
    <x v="72"/>
    <x v="11"/>
    <n v="550"/>
  </r>
  <r>
    <x v="2"/>
    <x v="1"/>
    <x v="2"/>
    <x v="23"/>
    <x v="73"/>
    <x v="0"/>
    <n v="240"/>
  </r>
  <r>
    <x v="2"/>
    <x v="1"/>
    <x v="2"/>
    <x v="23"/>
    <x v="73"/>
    <x v="1"/>
    <n v="240"/>
  </r>
  <r>
    <x v="2"/>
    <x v="1"/>
    <x v="2"/>
    <x v="23"/>
    <x v="73"/>
    <x v="2"/>
    <n v="240"/>
  </r>
  <r>
    <x v="2"/>
    <x v="1"/>
    <x v="2"/>
    <x v="23"/>
    <x v="73"/>
    <x v="3"/>
    <n v="240"/>
  </r>
  <r>
    <x v="2"/>
    <x v="1"/>
    <x v="2"/>
    <x v="23"/>
    <x v="73"/>
    <x v="4"/>
    <n v="240"/>
  </r>
  <r>
    <x v="2"/>
    <x v="1"/>
    <x v="2"/>
    <x v="23"/>
    <x v="73"/>
    <x v="5"/>
    <n v="240"/>
  </r>
  <r>
    <x v="2"/>
    <x v="1"/>
    <x v="2"/>
    <x v="23"/>
    <x v="73"/>
    <x v="6"/>
    <n v="240"/>
  </r>
  <r>
    <x v="2"/>
    <x v="1"/>
    <x v="2"/>
    <x v="23"/>
    <x v="73"/>
    <x v="7"/>
    <n v="240"/>
  </r>
  <r>
    <x v="2"/>
    <x v="1"/>
    <x v="2"/>
    <x v="23"/>
    <x v="73"/>
    <x v="8"/>
    <n v="240"/>
  </r>
  <r>
    <x v="2"/>
    <x v="1"/>
    <x v="2"/>
    <x v="23"/>
    <x v="73"/>
    <x v="9"/>
    <n v="240"/>
  </r>
  <r>
    <x v="2"/>
    <x v="1"/>
    <x v="2"/>
    <x v="23"/>
    <x v="73"/>
    <x v="10"/>
    <n v="240"/>
  </r>
  <r>
    <x v="2"/>
    <x v="1"/>
    <x v="2"/>
    <x v="23"/>
    <x v="73"/>
    <x v="11"/>
    <n v="240"/>
  </r>
  <r>
    <x v="0"/>
    <x v="1"/>
    <x v="2"/>
    <x v="15"/>
    <x v="71"/>
    <x v="0"/>
    <n v="30"/>
  </r>
  <r>
    <x v="0"/>
    <x v="1"/>
    <x v="2"/>
    <x v="15"/>
    <x v="71"/>
    <x v="1"/>
    <n v="30"/>
  </r>
  <r>
    <x v="0"/>
    <x v="1"/>
    <x v="2"/>
    <x v="15"/>
    <x v="71"/>
    <x v="2"/>
    <n v="30"/>
  </r>
  <r>
    <x v="0"/>
    <x v="1"/>
    <x v="2"/>
    <x v="15"/>
    <x v="71"/>
    <x v="3"/>
    <n v="30"/>
  </r>
  <r>
    <x v="0"/>
    <x v="1"/>
    <x v="2"/>
    <x v="15"/>
    <x v="71"/>
    <x v="4"/>
    <n v="30"/>
  </r>
  <r>
    <x v="0"/>
    <x v="1"/>
    <x v="2"/>
    <x v="15"/>
    <x v="71"/>
    <x v="5"/>
    <n v="30"/>
  </r>
  <r>
    <x v="0"/>
    <x v="1"/>
    <x v="2"/>
    <x v="15"/>
    <x v="71"/>
    <x v="6"/>
    <n v="30"/>
  </r>
  <r>
    <x v="0"/>
    <x v="1"/>
    <x v="2"/>
    <x v="15"/>
    <x v="71"/>
    <x v="7"/>
    <n v="30"/>
  </r>
  <r>
    <x v="0"/>
    <x v="1"/>
    <x v="2"/>
    <x v="15"/>
    <x v="71"/>
    <x v="8"/>
    <n v="30"/>
  </r>
  <r>
    <x v="0"/>
    <x v="1"/>
    <x v="2"/>
    <x v="15"/>
    <x v="71"/>
    <x v="9"/>
    <n v="30"/>
  </r>
  <r>
    <x v="0"/>
    <x v="1"/>
    <x v="2"/>
    <x v="15"/>
    <x v="71"/>
    <x v="10"/>
    <n v="30"/>
  </r>
  <r>
    <x v="0"/>
    <x v="1"/>
    <x v="2"/>
    <x v="15"/>
    <x v="71"/>
    <x v="11"/>
    <n v="30"/>
  </r>
  <r>
    <x v="1"/>
    <x v="1"/>
    <x v="4"/>
    <x v="28"/>
    <x v="74"/>
    <x v="0"/>
    <n v="0"/>
  </r>
  <r>
    <x v="1"/>
    <x v="1"/>
    <x v="4"/>
    <x v="28"/>
    <x v="74"/>
    <x v="1"/>
    <n v="0"/>
  </r>
  <r>
    <x v="1"/>
    <x v="1"/>
    <x v="4"/>
    <x v="28"/>
    <x v="74"/>
    <x v="2"/>
    <n v="4000"/>
  </r>
  <r>
    <x v="1"/>
    <x v="1"/>
    <x v="4"/>
    <x v="28"/>
    <x v="74"/>
    <x v="3"/>
    <n v="4000"/>
  </r>
  <r>
    <x v="1"/>
    <x v="1"/>
    <x v="4"/>
    <x v="28"/>
    <x v="74"/>
    <x v="4"/>
    <n v="4000"/>
  </r>
  <r>
    <x v="1"/>
    <x v="1"/>
    <x v="4"/>
    <x v="28"/>
    <x v="74"/>
    <x v="5"/>
    <n v="0"/>
  </r>
  <r>
    <x v="1"/>
    <x v="1"/>
    <x v="4"/>
    <x v="28"/>
    <x v="74"/>
    <x v="6"/>
    <n v="0"/>
  </r>
  <r>
    <x v="1"/>
    <x v="1"/>
    <x v="4"/>
    <x v="28"/>
    <x v="74"/>
    <x v="7"/>
    <n v="0"/>
  </r>
  <r>
    <x v="1"/>
    <x v="1"/>
    <x v="4"/>
    <x v="28"/>
    <x v="74"/>
    <x v="8"/>
    <n v="0"/>
  </r>
  <r>
    <x v="1"/>
    <x v="1"/>
    <x v="4"/>
    <x v="28"/>
    <x v="74"/>
    <x v="9"/>
    <n v="0"/>
  </r>
  <r>
    <x v="1"/>
    <x v="1"/>
    <x v="4"/>
    <x v="28"/>
    <x v="74"/>
    <x v="10"/>
    <n v="0"/>
  </r>
  <r>
    <x v="1"/>
    <x v="1"/>
    <x v="4"/>
    <x v="28"/>
    <x v="74"/>
    <x v="11"/>
    <n v="0"/>
  </r>
  <r>
    <x v="1"/>
    <x v="1"/>
    <x v="2"/>
    <x v="5"/>
    <x v="30"/>
    <x v="0"/>
    <n v="0"/>
  </r>
  <r>
    <x v="1"/>
    <x v="1"/>
    <x v="2"/>
    <x v="5"/>
    <x v="30"/>
    <x v="1"/>
    <n v="0"/>
  </r>
  <r>
    <x v="1"/>
    <x v="1"/>
    <x v="2"/>
    <x v="5"/>
    <x v="30"/>
    <x v="2"/>
    <n v="0"/>
  </r>
  <r>
    <x v="1"/>
    <x v="1"/>
    <x v="2"/>
    <x v="5"/>
    <x v="30"/>
    <x v="3"/>
    <n v="0"/>
  </r>
  <r>
    <x v="1"/>
    <x v="1"/>
    <x v="2"/>
    <x v="5"/>
    <x v="30"/>
    <x v="4"/>
    <n v="0"/>
  </r>
  <r>
    <x v="1"/>
    <x v="1"/>
    <x v="2"/>
    <x v="5"/>
    <x v="30"/>
    <x v="5"/>
    <n v="0"/>
  </r>
  <r>
    <x v="1"/>
    <x v="1"/>
    <x v="2"/>
    <x v="5"/>
    <x v="30"/>
    <x v="6"/>
    <n v="0"/>
  </r>
  <r>
    <x v="1"/>
    <x v="1"/>
    <x v="2"/>
    <x v="5"/>
    <x v="30"/>
    <x v="7"/>
    <n v="0"/>
  </r>
  <r>
    <x v="1"/>
    <x v="1"/>
    <x v="2"/>
    <x v="5"/>
    <x v="30"/>
    <x v="8"/>
    <n v="0"/>
  </r>
  <r>
    <x v="1"/>
    <x v="1"/>
    <x v="2"/>
    <x v="5"/>
    <x v="30"/>
    <x v="9"/>
    <n v="0"/>
  </r>
  <r>
    <x v="1"/>
    <x v="1"/>
    <x v="2"/>
    <x v="5"/>
    <x v="30"/>
    <x v="10"/>
    <n v="0"/>
  </r>
  <r>
    <x v="1"/>
    <x v="1"/>
    <x v="2"/>
    <x v="5"/>
    <x v="30"/>
    <x v="11"/>
    <n v="0"/>
  </r>
  <r>
    <x v="3"/>
    <x v="1"/>
    <x v="2"/>
    <x v="8"/>
    <x v="75"/>
    <x v="0"/>
    <n v="2049"/>
  </r>
  <r>
    <x v="3"/>
    <x v="1"/>
    <x v="2"/>
    <x v="8"/>
    <x v="75"/>
    <x v="1"/>
    <n v="2049"/>
  </r>
  <r>
    <x v="3"/>
    <x v="1"/>
    <x v="2"/>
    <x v="8"/>
    <x v="75"/>
    <x v="2"/>
    <n v="2049"/>
  </r>
  <r>
    <x v="3"/>
    <x v="1"/>
    <x v="2"/>
    <x v="8"/>
    <x v="75"/>
    <x v="3"/>
    <n v="2049"/>
  </r>
  <r>
    <x v="3"/>
    <x v="1"/>
    <x v="2"/>
    <x v="8"/>
    <x v="75"/>
    <x v="4"/>
    <n v="2049"/>
  </r>
  <r>
    <x v="3"/>
    <x v="1"/>
    <x v="2"/>
    <x v="8"/>
    <x v="75"/>
    <x v="5"/>
    <n v="2049"/>
  </r>
  <r>
    <x v="3"/>
    <x v="1"/>
    <x v="2"/>
    <x v="8"/>
    <x v="75"/>
    <x v="6"/>
    <n v="2049"/>
  </r>
  <r>
    <x v="3"/>
    <x v="1"/>
    <x v="2"/>
    <x v="8"/>
    <x v="75"/>
    <x v="7"/>
    <n v="2049"/>
  </r>
  <r>
    <x v="3"/>
    <x v="1"/>
    <x v="2"/>
    <x v="8"/>
    <x v="75"/>
    <x v="8"/>
    <n v="2049"/>
  </r>
  <r>
    <x v="3"/>
    <x v="1"/>
    <x v="2"/>
    <x v="8"/>
    <x v="75"/>
    <x v="9"/>
    <n v="2049"/>
  </r>
  <r>
    <x v="3"/>
    <x v="1"/>
    <x v="2"/>
    <x v="8"/>
    <x v="75"/>
    <x v="10"/>
    <n v="2049"/>
  </r>
  <r>
    <x v="3"/>
    <x v="1"/>
    <x v="2"/>
    <x v="8"/>
    <x v="75"/>
    <x v="11"/>
    <n v="2049"/>
  </r>
  <r>
    <x v="1"/>
    <x v="1"/>
    <x v="2"/>
    <x v="8"/>
    <x v="76"/>
    <x v="0"/>
    <n v="3900"/>
  </r>
  <r>
    <x v="1"/>
    <x v="1"/>
    <x v="2"/>
    <x v="8"/>
    <x v="76"/>
    <x v="1"/>
    <n v="3900"/>
  </r>
  <r>
    <x v="1"/>
    <x v="1"/>
    <x v="2"/>
    <x v="8"/>
    <x v="76"/>
    <x v="2"/>
    <n v="3900"/>
  </r>
  <r>
    <x v="1"/>
    <x v="1"/>
    <x v="2"/>
    <x v="8"/>
    <x v="76"/>
    <x v="3"/>
    <n v="3900"/>
  </r>
  <r>
    <x v="1"/>
    <x v="1"/>
    <x v="2"/>
    <x v="8"/>
    <x v="76"/>
    <x v="4"/>
    <n v="3900"/>
  </r>
  <r>
    <x v="1"/>
    <x v="1"/>
    <x v="2"/>
    <x v="8"/>
    <x v="76"/>
    <x v="5"/>
    <n v="3900"/>
  </r>
  <r>
    <x v="1"/>
    <x v="1"/>
    <x v="2"/>
    <x v="8"/>
    <x v="76"/>
    <x v="6"/>
    <n v="3900"/>
  </r>
  <r>
    <x v="1"/>
    <x v="1"/>
    <x v="2"/>
    <x v="8"/>
    <x v="76"/>
    <x v="7"/>
    <n v="3900"/>
  </r>
  <r>
    <x v="1"/>
    <x v="1"/>
    <x v="2"/>
    <x v="8"/>
    <x v="76"/>
    <x v="8"/>
    <n v="3900"/>
  </r>
  <r>
    <x v="1"/>
    <x v="1"/>
    <x v="2"/>
    <x v="8"/>
    <x v="76"/>
    <x v="9"/>
    <n v="3900"/>
  </r>
  <r>
    <x v="1"/>
    <x v="1"/>
    <x v="2"/>
    <x v="8"/>
    <x v="76"/>
    <x v="10"/>
    <n v="3900"/>
  </r>
  <r>
    <x v="1"/>
    <x v="1"/>
    <x v="2"/>
    <x v="8"/>
    <x v="76"/>
    <x v="11"/>
    <n v="3900"/>
  </r>
  <r>
    <x v="1"/>
    <x v="1"/>
    <x v="2"/>
    <x v="8"/>
    <x v="77"/>
    <x v="0"/>
    <n v="1280"/>
  </r>
  <r>
    <x v="1"/>
    <x v="1"/>
    <x v="2"/>
    <x v="8"/>
    <x v="77"/>
    <x v="1"/>
    <n v="1280"/>
  </r>
  <r>
    <x v="1"/>
    <x v="1"/>
    <x v="2"/>
    <x v="8"/>
    <x v="77"/>
    <x v="2"/>
    <n v="1280"/>
  </r>
  <r>
    <x v="1"/>
    <x v="1"/>
    <x v="2"/>
    <x v="8"/>
    <x v="77"/>
    <x v="3"/>
    <n v="1280"/>
  </r>
  <r>
    <x v="1"/>
    <x v="1"/>
    <x v="2"/>
    <x v="8"/>
    <x v="77"/>
    <x v="4"/>
    <n v="1280"/>
  </r>
  <r>
    <x v="1"/>
    <x v="1"/>
    <x v="2"/>
    <x v="8"/>
    <x v="77"/>
    <x v="5"/>
    <n v="1280"/>
  </r>
  <r>
    <x v="1"/>
    <x v="1"/>
    <x v="2"/>
    <x v="8"/>
    <x v="77"/>
    <x v="6"/>
    <n v="1280"/>
  </r>
  <r>
    <x v="1"/>
    <x v="1"/>
    <x v="2"/>
    <x v="8"/>
    <x v="77"/>
    <x v="7"/>
    <n v="1280"/>
  </r>
  <r>
    <x v="1"/>
    <x v="1"/>
    <x v="2"/>
    <x v="8"/>
    <x v="77"/>
    <x v="8"/>
    <n v="1280"/>
  </r>
  <r>
    <x v="1"/>
    <x v="1"/>
    <x v="2"/>
    <x v="8"/>
    <x v="77"/>
    <x v="9"/>
    <n v="1280"/>
  </r>
  <r>
    <x v="1"/>
    <x v="1"/>
    <x v="2"/>
    <x v="8"/>
    <x v="77"/>
    <x v="10"/>
    <n v="1280"/>
  </r>
  <r>
    <x v="1"/>
    <x v="1"/>
    <x v="2"/>
    <x v="8"/>
    <x v="77"/>
    <x v="11"/>
    <n v="1280"/>
  </r>
  <r>
    <x v="1"/>
    <x v="1"/>
    <x v="3"/>
    <x v="17"/>
    <x v="78"/>
    <x v="0"/>
    <n v="578"/>
  </r>
  <r>
    <x v="1"/>
    <x v="1"/>
    <x v="3"/>
    <x v="17"/>
    <x v="78"/>
    <x v="1"/>
    <n v="578"/>
  </r>
  <r>
    <x v="1"/>
    <x v="1"/>
    <x v="3"/>
    <x v="17"/>
    <x v="78"/>
    <x v="2"/>
    <n v="578"/>
  </r>
  <r>
    <x v="1"/>
    <x v="1"/>
    <x v="3"/>
    <x v="17"/>
    <x v="78"/>
    <x v="3"/>
    <n v="578"/>
  </r>
  <r>
    <x v="1"/>
    <x v="1"/>
    <x v="3"/>
    <x v="17"/>
    <x v="78"/>
    <x v="4"/>
    <n v="578"/>
  </r>
  <r>
    <x v="1"/>
    <x v="1"/>
    <x v="3"/>
    <x v="17"/>
    <x v="78"/>
    <x v="5"/>
    <n v="578"/>
  </r>
  <r>
    <x v="1"/>
    <x v="1"/>
    <x v="3"/>
    <x v="17"/>
    <x v="78"/>
    <x v="6"/>
    <n v="578"/>
  </r>
  <r>
    <x v="1"/>
    <x v="1"/>
    <x v="3"/>
    <x v="17"/>
    <x v="78"/>
    <x v="7"/>
    <n v="578"/>
  </r>
  <r>
    <x v="1"/>
    <x v="1"/>
    <x v="3"/>
    <x v="17"/>
    <x v="78"/>
    <x v="8"/>
    <n v="578"/>
  </r>
  <r>
    <x v="1"/>
    <x v="1"/>
    <x v="3"/>
    <x v="17"/>
    <x v="78"/>
    <x v="9"/>
    <n v="578"/>
  </r>
  <r>
    <x v="1"/>
    <x v="1"/>
    <x v="3"/>
    <x v="17"/>
    <x v="78"/>
    <x v="10"/>
    <n v="578"/>
  </r>
  <r>
    <x v="1"/>
    <x v="1"/>
    <x v="3"/>
    <x v="17"/>
    <x v="78"/>
    <x v="11"/>
    <n v="578"/>
  </r>
  <r>
    <x v="1"/>
    <x v="1"/>
    <x v="2"/>
    <x v="9"/>
    <x v="79"/>
    <x v="0"/>
    <n v="289"/>
  </r>
  <r>
    <x v="1"/>
    <x v="1"/>
    <x v="2"/>
    <x v="9"/>
    <x v="79"/>
    <x v="1"/>
    <n v="289"/>
  </r>
  <r>
    <x v="1"/>
    <x v="1"/>
    <x v="2"/>
    <x v="9"/>
    <x v="79"/>
    <x v="2"/>
    <n v="289"/>
  </r>
  <r>
    <x v="1"/>
    <x v="1"/>
    <x v="2"/>
    <x v="9"/>
    <x v="79"/>
    <x v="3"/>
    <n v="289"/>
  </r>
  <r>
    <x v="1"/>
    <x v="1"/>
    <x v="2"/>
    <x v="9"/>
    <x v="79"/>
    <x v="4"/>
    <n v="289"/>
  </r>
  <r>
    <x v="1"/>
    <x v="1"/>
    <x v="2"/>
    <x v="9"/>
    <x v="79"/>
    <x v="5"/>
    <n v="289"/>
  </r>
  <r>
    <x v="1"/>
    <x v="1"/>
    <x v="2"/>
    <x v="9"/>
    <x v="79"/>
    <x v="6"/>
    <n v="289"/>
  </r>
  <r>
    <x v="1"/>
    <x v="1"/>
    <x v="2"/>
    <x v="9"/>
    <x v="79"/>
    <x v="7"/>
    <n v="289"/>
  </r>
  <r>
    <x v="1"/>
    <x v="1"/>
    <x v="2"/>
    <x v="9"/>
    <x v="79"/>
    <x v="8"/>
    <n v="289"/>
  </r>
  <r>
    <x v="1"/>
    <x v="1"/>
    <x v="2"/>
    <x v="9"/>
    <x v="79"/>
    <x v="9"/>
    <n v="289"/>
  </r>
  <r>
    <x v="1"/>
    <x v="1"/>
    <x v="2"/>
    <x v="9"/>
    <x v="79"/>
    <x v="10"/>
    <n v="289"/>
  </r>
  <r>
    <x v="1"/>
    <x v="1"/>
    <x v="2"/>
    <x v="9"/>
    <x v="79"/>
    <x v="11"/>
    <n v="289"/>
  </r>
  <r>
    <x v="1"/>
    <x v="1"/>
    <x v="3"/>
    <x v="10"/>
    <x v="80"/>
    <x v="0"/>
    <n v="289"/>
  </r>
  <r>
    <x v="1"/>
    <x v="1"/>
    <x v="3"/>
    <x v="10"/>
    <x v="80"/>
    <x v="1"/>
    <n v="289"/>
  </r>
  <r>
    <x v="1"/>
    <x v="1"/>
    <x v="3"/>
    <x v="10"/>
    <x v="80"/>
    <x v="2"/>
    <n v="289"/>
  </r>
  <r>
    <x v="1"/>
    <x v="1"/>
    <x v="3"/>
    <x v="10"/>
    <x v="80"/>
    <x v="3"/>
    <n v="289"/>
  </r>
  <r>
    <x v="1"/>
    <x v="1"/>
    <x v="3"/>
    <x v="10"/>
    <x v="80"/>
    <x v="4"/>
    <n v="289"/>
  </r>
  <r>
    <x v="1"/>
    <x v="1"/>
    <x v="3"/>
    <x v="10"/>
    <x v="80"/>
    <x v="5"/>
    <n v="289"/>
  </r>
  <r>
    <x v="1"/>
    <x v="1"/>
    <x v="3"/>
    <x v="10"/>
    <x v="80"/>
    <x v="6"/>
    <n v="289"/>
  </r>
  <r>
    <x v="1"/>
    <x v="1"/>
    <x v="3"/>
    <x v="10"/>
    <x v="80"/>
    <x v="7"/>
    <n v="289"/>
  </r>
  <r>
    <x v="1"/>
    <x v="1"/>
    <x v="3"/>
    <x v="10"/>
    <x v="80"/>
    <x v="8"/>
    <n v="289"/>
  </r>
  <r>
    <x v="1"/>
    <x v="1"/>
    <x v="3"/>
    <x v="10"/>
    <x v="80"/>
    <x v="9"/>
    <n v="289"/>
  </r>
  <r>
    <x v="1"/>
    <x v="1"/>
    <x v="3"/>
    <x v="10"/>
    <x v="80"/>
    <x v="10"/>
    <n v="289"/>
  </r>
  <r>
    <x v="1"/>
    <x v="1"/>
    <x v="3"/>
    <x v="10"/>
    <x v="80"/>
    <x v="11"/>
    <n v="289"/>
  </r>
  <r>
    <x v="1"/>
    <x v="1"/>
    <x v="5"/>
    <x v="29"/>
    <x v="81"/>
    <x v="0"/>
    <n v="2500"/>
  </r>
  <r>
    <x v="1"/>
    <x v="1"/>
    <x v="5"/>
    <x v="29"/>
    <x v="81"/>
    <x v="1"/>
    <n v="2500"/>
  </r>
  <r>
    <x v="1"/>
    <x v="1"/>
    <x v="5"/>
    <x v="29"/>
    <x v="81"/>
    <x v="2"/>
    <n v="2500"/>
  </r>
  <r>
    <x v="1"/>
    <x v="1"/>
    <x v="5"/>
    <x v="29"/>
    <x v="81"/>
    <x v="3"/>
    <n v="2500"/>
  </r>
  <r>
    <x v="1"/>
    <x v="1"/>
    <x v="5"/>
    <x v="29"/>
    <x v="81"/>
    <x v="4"/>
    <n v="2500"/>
  </r>
  <r>
    <x v="1"/>
    <x v="1"/>
    <x v="5"/>
    <x v="29"/>
    <x v="81"/>
    <x v="5"/>
    <n v="2500"/>
  </r>
  <r>
    <x v="1"/>
    <x v="1"/>
    <x v="5"/>
    <x v="29"/>
    <x v="81"/>
    <x v="6"/>
    <n v="2500"/>
  </r>
  <r>
    <x v="1"/>
    <x v="1"/>
    <x v="5"/>
    <x v="29"/>
    <x v="81"/>
    <x v="7"/>
    <n v="2500"/>
  </r>
  <r>
    <x v="1"/>
    <x v="1"/>
    <x v="5"/>
    <x v="29"/>
    <x v="81"/>
    <x v="8"/>
    <n v="2500"/>
  </r>
  <r>
    <x v="1"/>
    <x v="1"/>
    <x v="5"/>
    <x v="29"/>
    <x v="81"/>
    <x v="9"/>
    <n v="2500"/>
  </r>
  <r>
    <x v="1"/>
    <x v="1"/>
    <x v="5"/>
    <x v="29"/>
    <x v="81"/>
    <x v="10"/>
    <n v="2500"/>
  </r>
  <r>
    <x v="1"/>
    <x v="1"/>
    <x v="5"/>
    <x v="29"/>
    <x v="81"/>
    <x v="11"/>
    <n v="2500"/>
  </r>
  <r>
    <x v="1"/>
    <x v="1"/>
    <x v="0"/>
    <x v="1"/>
    <x v="82"/>
    <x v="0"/>
    <n v="127"/>
  </r>
  <r>
    <x v="1"/>
    <x v="1"/>
    <x v="0"/>
    <x v="1"/>
    <x v="82"/>
    <x v="1"/>
    <n v="127"/>
  </r>
  <r>
    <x v="1"/>
    <x v="1"/>
    <x v="0"/>
    <x v="1"/>
    <x v="82"/>
    <x v="2"/>
    <n v="127"/>
  </r>
  <r>
    <x v="1"/>
    <x v="1"/>
    <x v="0"/>
    <x v="1"/>
    <x v="82"/>
    <x v="3"/>
    <n v="127"/>
  </r>
  <r>
    <x v="1"/>
    <x v="1"/>
    <x v="0"/>
    <x v="1"/>
    <x v="82"/>
    <x v="4"/>
    <n v="127"/>
  </r>
  <r>
    <x v="1"/>
    <x v="1"/>
    <x v="0"/>
    <x v="1"/>
    <x v="82"/>
    <x v="5"/>
    <n v="127"/>
  </r>
  <r>
    <x v="1"/>
    <x v="1"/>
    <x v="0"/>
    <x v="1"/>
    <x v="82"/>
    <x v="6"/>
    <n v="127"/>
  </r>
  <r>
    <x v="1"/>
    <x v="1"/>
    <x v="0"/>
    <x v="1"/>
    <x v="82"/>
    <x v="7"/>
    <n v="127"/>
  </r>
  <r>
    <x v="1"/>
    <x v="1"/>
    <x v="0"/>
    <x v="1"/>
    <x v="82"/>
    <x v="8"/>
    <n v="127"/>
  </r>
  <r>
    <x v="1"/>
    <x v="1"/>
    <x v="0"/>
    <x v="1"/>
    <x v="82"/>
    <x v="9"/>
    <n v="127"/>
  </r>
  <r>
    <x v="1"/>
    <x v="1"/>
    <x v="0"/>
    <x v="1"/>
    <x v="82"/>
    <x v="10"/>
    <n v="127"/>
  </r>
  <r>
    <x v="1"/>
    <x v="1"/>
    <x v="0"/>
    <x v="1"/>
    <x v="82"/>
    <x v="11"/>
    <n v="127"/>
  </r>
  <r>
    <x v="1"/>
    <x v="1"/>
    <x v="0"/>
    <x v="1"/>
    <x v="83"/>
    <x v="0"/>
    <n v="0"/>
  </r>
  <r>
    <x v="1"/>
    <x v="1"/>
    <x v="0"/>
    <x v="1"/>
    <x v="83"/>
    <x v="1"/>
    <n v="0"/>
  </r>
  <r>
    <x v="1"/>
    <x v="1"/>
    <x v="0"/>
    <x v="1"/>
    <x v="83"/>
    <x v="2"/>
    <n v="0"/>
  </r>
  <r>
    <x v="1"/>
    <x v="1"/>
    <x v="0"/>
    <x v="1"/>
    <x v="83"/>
    <x v="3"/>
    <n v="0"/>
  </r>
  <r>
    <x v="1"/>
    <x v="1"/>
    <x v="0"/>
    <x v="1"/>
    <x v="83"/>
    <x v="4"/>
    <n v="0"/>
  </r>
  <r>
    <x v="1"/>
    <x v="1"/>
    <x v="0"/>
    <x v="1"/>
    <x v="83"/>
    <x v="5"/>
    <n v="1820"/>
  </r>
  <r>
    <x v="1"/>
    <x v="1"/>
    <x v="0"/>
    <x v="1"/>
    <x v="83"/>
    <x v="6"/>
    <n v="0"/>
  </r>
  <r>
    <x v="1"/>
    <x v="1"/>
    <x v="0"/>
    <x v="1"/>
    <x v="83"/>
    <x v="7"/>
    <n v="0"/>
  </r>
  <r>
    <x v="1"/>
    <x v="1"/>
    <x v="0"/>
    <x v="1"/>
    <x v="83"/>
    <x v="8"/>
    <n v="0"/>
  </r>
  <r>
    <x v="1"/>
    <x v="1"/>
    <x v="0"/>
    <x v="1"/>
    <x v="83"/>
    <x v="9"/>
    <n v="0"/>
  </r>
  <r>
    <x v="1"/>
    <x v="1"/>
    <x v="0"/>
    <x v="1"/>
    <x v="83"/>
    <x v="10"/>
    <n v="0"/>
  </r>
  <r>
    <x v="1"/>
    <x v="1"/>
    <x v="0"/>
    <x v="1"/>
    <x v="83"/>
    <x v="11"/>
    <n v="2200"/>
  </r>
  <r>
    <x v="1"/>
    <x v="1"/>
    <x v="0"/>
    <x v="1"/>
    <x v="84"/>
    <x v="0"/>
    <n v="0"/>
  </r>
  <r>
    <x v="1"/>
    <x v="1"/>
    <x v="0"/>
    <x v="1"/>
    <x v="84"/>
    <x v="1"/>
    <n v="0"/>
  </r>
  <r>
    <x v="1"/>
    <x v="1"/>
    <x v="0"/>
    <x v="1"/>
    <x v="84"/>
    <x v="2"/>
    <n v="0"/>
  </r>
  <r>
    <x v="1"/>
    <x v="1"/>
    <x v="0"/>
    <x v="1"/>
    <x v="84"/>
    <x v="3"/>
    <n v="0"/>
  </r>
  <r>
    <x v="1"/>
    <x v="1"/>
    <x v="0"/>
    <x v="1"/>
    <x v="84"/>
    <x v="4"/>
    <n v="0"/>
  </r>
  <r>
    <x v="1"/>
    <x v="1"/>
    <x v="0"/>
    <x v="1"/>
    <x v="84"/>
    <x v="5"/>
    <n v="0"/>
  </r>
  <r>
    <x v="1"/>
    <x v="1"/>
    <x v="0"/>
    <x v="1"/>
    <x v="84"/>
    <x v="6"/>
    <n v="0"/>
  </r>
  <r>
    <x v="1"/>
    <x v="1"/>
    <x v="0"/>
    <x v="1"/>
    <x v="84"/>
    <x v="7"/>
    <n v="0"/>
  </r>
  <r>
    <x v="1"/>
    <x v="1"/>
    <x v="0"/>
    <x v="1"/>
    <x v="84"/>
    <x v="8"/>
    <n v="0"/>
  </r>
  <r>
    <x v="1"/>
    <x v="1"/>
    <x v="0"/>
    <x v="1"/>
    <x v="84"/>
    <x v="9"/>
    <n v="0"/>
  </r>
  <r>
    <x v="1"/>
    <x v="1"/>
    <x v="0"/>
    <x v="1"/>
    <x v="84"/>
    <x v="10"/>
    <n v="0"/>
  </r>
  <r>
    <x v="1"/>
    <x v="1"/>
    <x v="0"/>
    <x v="1"/>
    <x v="84"/>
    <x v="11"/>
    <n v="1200"/>
  </r>
  <r>
    <x v="1"/>
    <x v="1"/>
    <x v="0"/>
    <x v="1"/>
    <x v="85"/>
    <x v="0"/>
    <n v="0"/>
  </r>
  <r>
    <x v="1"/>
    <x v="1"/>
    <x v="0"/>
    <x v="1"/>
    <x v="85"/>
    <x v="1"/>
    <n v="0"/>
  </r>
  <r>
    <x v="1"/>
    <x v="1"/>
    <x v="0"/>
    <x v="1"/>
    <x v="85"/>
    <x v="2"/>
    <n v="0"/>
  </r>
  <r>
    <x v="1"/>
    <x v="1"/>
    <x v="0"/>
    <x v="1"/>
    <x v="85"/>
    <x v="3"/>
    <n v="0"/>
  </r>
  <r>
    <x v="1"/>
    <x v="1"/>
    <x v="0"/>
    <x v="1"/>
    <x v="85"/>
    <x v="4"/>
    <n v="0"/>
  </r>
  <r>
    <x v="1"/>
    <x v="1"/>
    <x v="0"/>
    <x v="1"/>
    <x v="85"/>
    <x v="5"/>
    <n v="0"/>
  </r>
  <r>
    <x v="1"/>
    <x v="1"/>
    <x v="0"/>
    <x v="1"/>
    <x v="85"/>
    <x v="6"/>
    <n v="0"/>
  </r>
  <r>
    <x v="1"/>
    <x v="1"/>
    <x v="0"/>
    <x v="1"/>
    <x v="85"/>
    <x v="7"/>
    <n v="0"/>
  </r>
  <r>
    <x v="1"/>
    <x v="1"/>
    <x v="0"/>
    <x v="1"/>
    <x v="85"/>
    <x v="8"/>
    <n v="0"/>
  </r>
  <r>
    <x v="1"/>
    <x v="1"/>
    <x v="0"/>
    <x v="1"/>
    <x v="85"/>
    <x v="9"/>
    <n v="0"/>
  </r>
  <r>
    <x v="1"/>
    <x v="1"/>
    <x v="0"/>
    <x v="1"/>
    <x v="85"/>
    <x v="10"/>
    <n v="0"/>
  </r>
  <r>
    <x v="1"/>
    <x v="1"/>
    <x v="0"/>
    <x v="1"/>
    <x v="85"/>
    <x v="11"/>
    <n v="2409"/>
  </r>
  <r>
    <x v="1"/>
    <x v="1"/>
    <x v="0"/>
    <x v="1"/>
    <x v="86"/>
    <x v="0"/>
    <n v="0"/>
  </r>
  <r>
    <x v="1"/>
    <x v="1"/>
    <x v="0"/>
    <x v="1"/>
    <x v="86"/>
    <x v="1"/>
    <n v="0"/>
  </r>
  <r>
    <x v="1"/>
    <x v="1"/>
    <x v="0"/>
    <x v="1"/>
    <x v="86"/>
    <x v="2"/>
    <n v="0"/>
  </r>
  <r>
    <x v="1"/>
    <x v="1"/>
    <x v="0"/>
    <x v="1"/>
    <x v="86"/>
    <x v="3"/>
    <n v="0"/>
  </r>
  <r>
    <x v="1"/>
    <x v="1"/>
    <x v="0"/>
    <x v="1"/>
    <x v="86"/>
    <x v="4"/>
    <n v="0"/>
  </r>
  <r>
    <x v="1"/>
    <x v="1"/>
    <x v="0"/>
    <x v="1"/>
    <x v="86"/>
    <x v="5"/>
    <n v="0"/>
  </r>
  <r>
    <x v="1"/>
    <x v="1"/>
    <x v="0"/>
    <x v="1"/>
    <x v="86"/>
    <x v="6"/>
    <n v="0"/>
  </r>
  <r>
    <x v="1"/>
    <x v="1"/>
    <x v="0"/>
    <x v="1"/>
    <x v="86"/>
    <x v="7"/>
    <n v="0"/>
  </r>
  <r>
    <x v="1"/>
    <x v="1"/>
    <x v="0"/>
    <x v="1"/>
    <x v="86"/>
    <x v="8"/>
    <n v="0"/>
  </r>
  <r>
    <x v="1"/>
    <x v="1"/>
    <x v="0"/>
    <x v="1"/>
    <x v="86"/>
    <x v="9"/>
    <n v="0"/>
  </r>
  <r>
    <x v="1"/>
    <x v="1"/>
    <x v="0"/>
    <x v="1"/>
    <x v="86"/>
    <x v="10"/>
    <n v="0"/>
  </r>
  <r>
    <x v="1"/>
    <x v="1"/>
    <x v="0"/>
    <x v="1"/>
    <x v="86"/>
    <x v="11"/>
    <n v="1498"/>
  </r>
  <r>
    <x v="1"/>
    <x v="3"/>
    <x v="6"/>
    <x v="30"/>
    <x v="87"/>
    <x v="0"/>
    <n v="0"/>
  </r>
  <r>
    <x v="1"/>
    <x v="3"/>
    <x v="6"/>
    <x v="30"/>
    <x v="87"/>
    <x v="1"/>
    <n v="0"/>
  </r>
  <r>
    <x v="1"/>
    <x v="3"/>
    <x v="6"/>
    <x v="30"/>
    <x v="87"/>
    <x v="2"/>
    <n v="0"/>
  </r>
  <r>
    <x v="1"/>
    <x v="3"/>
    <x v="6"/>
    <x v="30"/>
    <x v="87"/>
    <x v="3"/>
    <n v="0"/>
  </r>
  <r>
    <x v="1"/>
    <x v="3"/>
    <x v="6"/>
    <x v="30"/>
    <x v="87"/>
    <x v="4"/>
    <n v="0"/>
  </r>
  <r>
    <x v="1"/>
    <x v="3"/>
    <x v="6"/>
    <x v="30"/>
    <x v="87"/>
    <x v="5"/>
    <n v="0"/>
  </r>
  <r>
    <x v="1"/>
    <x v="3"/>
    <x v="6"/>
    <x v="30"/>
    <x v="87"/>
    <x v="6"/>
    <n v="0"/>
  </r>
  <r>
    <x v="1"/>
    <x v="3"/>
    <x v="6"/>
    <x v="30"/>
    <x v="87"/>
    <x v="7"/>
    <n v="0"/>
  </r>
  <r>
    <x v="1"/>
    <x v="3"/>
    <x v="6"/>
    <x v="30"/>
    <x v="87"/>
    <x v="8"/>
    <n v="0"/>
  </r>
  <r>
    <x v="1"/>
    <x v="3"/>
    <x v="6"/>
    <x v="30"/>
    <x v="87"/>
    <x v="9"/>
    <n v="0"/>
  </r>
  <r>
    <x v="1"/>
    <x v="3"/>
    <x v="6"/>
    <x v="30"/>
    <x v="87"/>
    <x v="10"/>
    <n v="30000"/>
  </r>
  <r>
    <x v="1"/>
    <x v="3"/>
    <x v="6"/>
    <x v="30"/>
    <x v="87"/>
    <x v="11"/>
    <n v="0"/>
  </r>
  <r>
    <x v="3"/>
    <x v="3"/>
    <x v="6"/>
    <x v="30"/>
    <x v="87"/>
    <x v="0"/>
    <n v="0"/>
  </r>
  <r>
    <x v="3"/>
    <x v="3"/>
    <x v="6"/>
    <x v="30"/>
    <x v="87"/>
    <x v="1"/>
    <n v="0"/>
  </r>
  <r>
    <x v="3"/>
    <x v="3"/>
    <x v="6"/>
    <x v="30"/>
    <x v="87"/>
    <x v="2"/>
    <n v="0"/>
  </r>
  <r>
    <x v="3"/>
    <x v="3"/>
    <x v="6"/>
    <x v="30"/>
    <x v="87"/>
    <x v="3"/>
    <n v="0"/>
  </r>
  <r>
    <x v="3"/>
    <x v="3"/>
    <x v="6"/>
    <x v="30"/>
    <x v="87"/>
    <x v="4"/>
    <n v="0"/>
  </r>
  <r>
    <x v="3"/>
    <x v="3"/>
    <x v="6"/>
    <x v="30"/>
    <x v="87"/>
    <x v="5"/>
    <n v="0"/>
  </r>
  <r>
    <x v="3"/>
    <x v="3"/>
    <x v="6"/>
    <x v="30"/>
    <x v="87"/>
    <x v="6"/>
    <n v="0"/>
  </r>
  <r>
    <x v="3"/>
    <x v="3"/>
    <x v="6"/>
    <x v="30"/>
    <x v="87"/>
    <x v="7"/>
    <n v="0"/>
  </r>
  <r>
    <x v="3"/>
    <x v="3"/>
    <x v="6"/>
    <x v="30"/>
    <x v="87"/>
    <x v="8"/>
    <n v="0"/>
  </r>
  <r>
    <x v="3"/>
    <x v="3"/>
    <x v="6"/>
    <x v="30"/>
    <x v="87"/>
    <x v="9"/>
    <n v="0"/>
  </r>
  <r>
    <x v="3"/>
    <x v="3"/>
    <x v="6"/>
    <x v="30"/>
    <x v="87"/>
    <x v="10"/>
    <n v="2000"/>
  </r>
  <r>
    <x v="3"/>
    <x v="3"/>
    <x v="6"/>
    <x v="30"/>
    <x v="87"/>
    <x v="11"/>
    <n v="0"/>
  </r>
  <r>
    <x v="3"/>
    <x v="3"/>
    <x v="6"/>
    <x v="30"/>
    <x v="88"/>
    <x v="0"/>
    <n v="0"/>
  </r>
  <r>
    <x v="3"/>
    <x v="3"/>
    <x v="6"/>
    <x v="30"/>
    <x v="88"/>
    <x v="1"/>
    <n v="0"/>
  </r>
  <r>
    <x v="3"/>
    <x v="3"/>
    <x v="6"/>
    <x v="30"/>
    <x v="88"/>
    <x v="2"/>
    <n v="0"/>
  </r>
  <r>
    <x v="3"/>
    <x v="3"/>
    <x v="6"/>
    <x v="30"/>
    <x v="88"/>
    <x v="3"/>
    <n v="0"/>
  </r>
  <r>
    <x v="3"/>
    <x v="3"/>
    <x v="6"/>
    <x v="30"/>
    <x v="88"/>
    <x v="4"/>
    <n v="0"/>
  </r>
  <r>
    <x v="3"/>
    <x v="3"/>
    <x v="6"/>
    <x v="30"/>
    <x v="88"/>
    <x v="5"/>
    <n v="0"/>
  </r>
  <r>
    <x v="3"/>
    <x v="3"/>
    <x v="6"/>
    <x v="30"/>
    <x v="88"/>
    <x v="6"/>
    <n v="0"/>
  </r>
  <r>
    <x v="3"/>
    <x v="3"/>
    <x v="6"/>
    <x v="30"/>
    <x v="88"/>
    <x v="7"/>
    <n v="0"/>
  </r>
  <r>
    <x v="3"/>
    <x v="3"/>
    <x v="6"/>
    <x v="30"/>
    <x v="88"/>
    <x v="8"/>
    <n v="0"/>
  </r>
  <r>
    <x v="3"/>
    <x v="3"/>
    <x v="6"/>
    <x v="30"/>
    <x v="88"/>
    <x v="9"/>
    <n v="0"/>
  </r>
  <r>
    <x v="3"/>
    <x v="3"/>
    <x v="6"/>
    <x v="30"/>
    <x v="88"/>
    <x v="10"/>
    <n v="0"/>
  </r>
  <r>
    <x v="3"/>
    <x v="3"/>
    <x v="6"/>
    <x v="30"/>
    <x v="88"/>
    <x v="11"/>
    <n v="2599"/>
  </r>
  <r>
    <x v="1"/>
    <x v="3"/>
    <x v="6"/>
    <x v="31"/>
    <x v="89"/>
    <x v="0"/>
    <n v="0"/>
  </r>
  <r>
    <x v="1"/>
    <x v="3"/>
    <x v="6"/>
    <x v="31"/>
    <x v="89"/>
    <x v="1"/>
    <n v="0"/>
  </r>
  <r>
    <x v="1"/>
    <x v="3"/>
    <x v="6"/>
    <x v="31"/>
    <x v="89"/>
    <x v="2"/>
    <n v="0"/>
  </r>
  <r>
    <x v="1"/>
    <x v="3"/>
    <x v="6"/>
    <x v="31"/>
    <x v="89"/>
    <x v="3"/>
    <n v="0"/>
  </r>
  <r>
    <x v="1"/>
    <x v="3"/>
    <x v="6"/>
    <x v="31"/>
    <x v="89"/>
    <x v="4"/>
    <n v="0"/>
  </r>
  <r>
    <x v="1"/>
    <x v="3"/>
    <x v="6"/>
    <x v="31"/>
    <x v="89"/>
    <x v="5"/>
    <n v="0"/>
  </r>
  <r>
    <x v="1"/>
    <x v="3"/>
    <x v="6"/>
    <x v="31"/>
    <x v="89"/>
    <x v="6"/>
    <n v="0"/>
  </r>
  <r>
    <x v="1"/>
    <x v="3"/>
    <x v="6"/>
    <x v="31"/>
    <x v="89"/>
    <x v="7"/>
    <n v="0"/>
  </r>
  <r>
    <x v="1"/>
    <x v="3"/>
    <x v="6"/>
    <x v="31"/>
    <x v="89"/>
    <x v="8"/>
    <n v="0"/>
  </r>
  <r>
    <x v="1"/>
    <x v="3"/>
    <x v="6"/>
    <x v="31"/>
    <x v="89"/>
    <x v="9"/>
    <n v="0"/>
  </r>
  <r>
    <x v="1"/>
    <x v="3"/>
    <x v="6"/>
    <x v="31"/>
    <x v="89"/>
    <x v="10"/>
    <n v="0"/>
  </r>
  <r>
    <x v="1"/>
    <x v="3"/>
    <x v="6"/>
    <x v="31"/>
    <x v="89"/>
    <x v="11"/>
    <n v="4000"/>
  </r>
  <r>
    <x v="1"/>
    <x v="3"/>
    <x v="6"/>
    <x v="30"/>
    <x v="90"/>
    <x v="0"/>
    <n v="120"/>
  </r>
  <r>
    <x v="1"/>
    <x v="3"/>
    <x v="6"/>
    <x v="30"/>
    <x v="90"/>
    <x v="1"/>
    <n v="120"/>
  </r>
  <r>
    <x v="1"/>
    <x v="3"/>
    <x v="6"/>
    <x v="30"/>
    <x v="90"/>
    <x v="2"/>
    <n v="120"/>
  </r>
  <r>
    <x v="1"/>
    <x v="3"/>
    <x v="6"/>
    <x v="30"/>
    <x v="90"/>
    <x v="3"/>
    <n v="120"/>
  </r>
  <r>
    <x v="1"/>
    <x v="3"/>
    <x v="6"/>
    <x v="30"/>
    <x v="90"/>
    <x v="4"/>
    <n v="120"/>
  </r>
  <r>
    <x v="1"/>
    <x v="3"/>
    <x v="6"/>
    <x v="30"/>
    <x v="90"/>
    <x v="5"/>
    <n v="120"/>
  </r>
  <r>
    <x v="1"/>
    <x v="3"/>
    <x v="6"/>
    <x v="30"/>
    <x v="90"/>
    <x v="6"/>
    <n v="120"/>
  </r>
  <r>
    <x v="1"/>
    <x v="3"/>
    <x v="6"/>
    <x v="30"/>
    <x v="90"/>
    <x v="7"/>
    <n v="120"/>
  </r>
  <r>
    <x v="1"/>
    <x v="3"/>
    <x v="6"/>
    <x v="30"/>
    <x v="90"/>
    <x v="8"/>
    <n v="120"/>
  </r>
  <r>
    <x v="1"/>
    <x v="3"/>
    <x v="6"/>
    <x v="30"/>
    <x v="90"/>
    <x v="9"/>
    <n v="120"/>
  </r>
  <r>
    <x v="1"/>
    <x v="3"/>
    <x v="6"/>
    <x v="30"/>
    <x v="90"/>
    <x v="10"/>
    <n v="120"/>
  </r>
  <r>
    <x v="1"/>
    <x v="3"/>
    <x v="6"/>
    <x v="30"/>
    <x v="90"/>
    <x v="11"/>
    <n v="120"/>
  </r>
  <r>
    <x v="3"/>
    <x v="3"/>
    <x v="6"/>
    <x v="30"/>
    <x v="90"/>
    <x v="0"/>
    <n v="100"/>
  </r>
  <r>
    <x v="3"/>
    <x v="3"/>
    <x v="6"/>
    <x v="30"/>
    <x v="90"/>
    <x v="1"/>
    <n v="100"/>
  </r>
  <r>
    <x v="3"/>
    <x v="3"/>
    <x v="6"/>
    <x v="30"/>
    <x v="90"/>
    <x v="2"/>
    <n v="100"/>
  </r>
  <r>
    <x v="3"/>
    <x v="3"/>
    <x v="6"/>
    <x v="30"/>
    <x v="90"/>
    <x v="3"/>
    <n v="100"/>
  </r>
  <r>
    <x v="3"/>
    <x v="3"/>
    <x v="6"/>
    <x v="30"/>
    <x v="90"/>
    <x v="4"/>
    <n v="100"/>
  </r>
  <r>
    <x v="3"/>
    <x v="3"/>
    <x v="6"/>
    <x v="30"/>
    <x v="90"/>
    <x v="5"/>
    <n v="100"/>
  </r>
  <r>
    <x v="3"/>
    <x v="3"/>
    <x v="6"/>
    <x v="30"/>
    <x v="90"/>
    <x v="6"/>
    <n v="100"/>
  </r>
  <r>
    <x v="3"/>
    <x v="3"/>
    <x v="6"/>
    <x v="30"/>
    <x v="90"/>
    <x v="7"/>
    <n v="100"/>
  </r>
  <r>
    <x v="3"/>
    <x v="3"/>
    <x v="6"/>
    <x v="30"/>
    <x v="90"/>
    <x v="8"/>
    <n v="100"/>
  </r>
  <r>
    <x v="3"/>
    <x v="3"/>
    <x v="6"/>
    <x v="30"/>
    <x v="90"/>
    <x v="9"/>
    <n v="100"/>
  </r>
  <r>
    <x v="3"/>
    <x v="3"/>
    <x v="6"/>
    <x v="30"/>
    <x v="90"/>
    <x v="10"/>
    <n v="100"/>
  </r>
  <r>
    <x v="3"/>
    <x v="3"/>
    <x v="6"/>
    <x v="30"/>
    <x v="90"/>
    <x v="11"/>
    <n v="100"/>
  </r>
  <r>
    <x v="1"/>
    <x v="1"/>
    <x v="2"/>
    <x v="9"/>
    <x v="91"/>
    <x v="0"/>
    <n v="0"/>
  </r>
  <r>
    <x v="1"/>
    <x v="1"/>
    <x v="2"/>
    <x v="9"/>
    <x v="91"/>
    <x v="1"/>
    <n v="0"/>
  </r>
  <r>
    <x v="1"/>
    <x v="1"/>
    <x v="2"/>
    <x v="9"/>
    <x v="91"/>
    <x v="2"/>
    <n v="0"/>
  </r>
  <r>
    <x v="1"/>
    <x v="1"/>
    <x v="2"/>
    <x v="9"/>
    <x v="91"/>
    <x v="3"/>
    <n v="0"/>
  </r>
  <r>
    <x v="1"/>
    <x v="1"/>
    <x v="2"/>
    <x v="9"/>
    <x v="91"/>
    <x v="4"/>
    <n v="0"/>
  </r>
  <r>
    <x v="1"/>
    <x v="1"/>
    <x v="2"/>
    <x v="9"/>
    <x v="91"/>
    <x v="5"/>
    <n v="0"/>
  </r>
  <r>
    <x v="1"/>
    <x v="1"/>
    <x v="2"/>
    <x v="9"/>
    <x v="91"/>
    <x v="6"/>
    <n v="0"/>
  </r>
  <r>
    <x v="1"/>
    <x v="1"/>
    <x v="2"/>
    <x v="9"/>
    <x v="91"/>
    <x v="7"/>
    <n v="0"/>
  </r>
  <r>
    <x v="1"/>
    <x v="1"/>
    <x v="2"/>
    <x v="9"/>
    <x v="91"/>
    <x v="8"/>
    <n v="0"/>
  </r>
  <r>
    <x v="1"/>
    <x v="1"/>
    <x v="2"/>
    <x v="9"/>
    <x v="91"/>
    <x v="9"/>
    <n v="0"/>
  </r>
  <r>
    <x v="1"/>
    <x v="1"/>
    <x v="2"/>
    <x v="9"/>
    <x v="91"/>
    <x v="10"/>
    <n v="0"/>
  </r>
  <r>
    <x v="1"/>
    <x v="1"/>
    <x v="2"/>
    <x v="9"/>
    <x v="91"/>
    <x v="11"/>
    <n v="0"/>
  </r>
  <r>
    <x v="1"/>
    <x v="1"/>
    <x v="5"/>
    <x v="32"/>
    <x v="92"/>
    <x v="0"/>
    <n v="0"/>
  </r>
  <r>
    <x v="1"/>
    <x v="1"/>
    <x v="5"/>
    <x v="32"/>
    <x v="92"/>
    <x v="1"/>
    <n v="300"/>
  </r>
  <r>
    <x v="1"/>
    <x v="1"/>
    <x v="5"/>
    <x v="32"/>
    <x v="92"/>
    <x v="2"/>
    <n v="0"/>
  </r>
  <r>
    <x v="1"/>
    <x v="1"/>
    <x v="5"/>
    <x v="32"/>
    <x v="92"/>
    <x v="3"/>
    <n v="300"/>
  </r>
  <r>
    <x v="1"/>
    <x v="1"/>
    <x v="5"/>
    <x v="32"/>
    <x v="92"/>
    <x v="4"/>
    <n v="0"/>
  </r>
  <r>
    <x v="1"/>
    <x v="1"/>
    <x v="5"/>
    <x v="32"/>
    <x v="92"/>
    <x v="5"/>
    <n v="300"/>
  </r>
  <r>
    <x v="1"/>
    <x v="1"/>
    <x v="5"/>
    <x v="32"/>
    <x v="92"/>
    <x v="6"/>
    <n v="0"/>
  </r>
  <r>
    <x v="1"/>
    <x v="1"/>
    <x v="5"/>
    <x v="32"/>
    <x v="92"/>
    <x v="7"/>
    <n v="300"/>
  </r>
  <r>
    <x v="1"/>
    <x v="1"/>
    <x v="5"/>
    <x v="32"/>
    <x v="92"/>
    <x v="8"/>
    <n v="0"/>
  </r>
  <r>
    <x v="1"/>
    <x v="1"/>
    <x v="5"/>
    <x v="32"/>
    <x v="92"/>
    <x v="9"/>
    <n v="300"/>
  </r>
  <r>
    <x v="1"/>
    <x v="1"/>
    <x v="5"/>
    <x v="32"/>
    <x v="92"/>
    <x v="10"/>
    <n v="0"/>
  </r>
  <r>
    <x v="1"/>
    <x v="1"/>
    <x v="5"/>
    <x v="32"/>
    <x v="92"/>
    <x v="11"/>
    <n v="300"/>
  </r>
  <r>
    <x v="3"/>
    <x v="1"/>
    <x v="5"/>
    <x v="32"/>
    <x v="92"/>
    <x v="0"/>
    <n v="0"/>
  </r>
  <r>
    <x v="3"/>
    <x v="1"/>
    <x v="5"/>
    <x v="32"/>
    <x v="92"/>
    <x v="1"/>
    <n v="300"/>
  </r>
  <r>
    <x v="3"/>
    <x v="1"/>
    <x v="5"/>
    <x v="32"/>
    <x v="92"/>
    <x v="2"/>
    <n v="0"/>
  </r>
  <r>
    <x v="3"/>
    <x v="1"/>
    <x v="5"/>
    <x v="32"/>
    <x v="92"/>
    <x v="3"/>
    <n v="300"/>
  </r>
  <r>
    <x v="3"/>
    <x v="1"/>
    <x v="5"/>
    <x v="32"/>
    <x v="92"/>
    <x v="4"/>
    <n v="0"/>
  </r>
  <r>
    <x v="3"/>
    <x v="1"/>
    <x v="5"/>
    <x v="32"/>
    <x v="92"/>
    <x v="5"/>
    <n v="300"/>
  </r>
  <r>
    <x v="3"/>
    <x v="1"/>
    <x v="5"/>
    <x v="32"/>
    <x v="92"/>
    <x v="6"/>
    <n v="0"/>
  </r>
  <r>
    <x v="3"/>
    <x v="1"/>
    <x v="5"/>
    <x v="32"/>
    <x v="92"/>
    <x v="7"/>
    <n v="300"/>
  </r>
  <r>
    <x v="3"/>
    <x v="1"/>
    <x v="5"/>
    <x v="32"/>
    <x v="92"/>
    <x v="8"/>
    <n v="0"/>
  </r>
  <r>
    <x v="3"/>
    <x v="1"/>
    <x v="5"/>
    <x v="32"/>
    <x v="92"/>
    <x v="9"/>
    <n v="300"/>
  </r>
  <r>
    <x v="3"/>
    <x v="1"/>
    <x v="5"/>
    <x v="32"/>
    <x v="92"/>
    <x v="10"/>
    <n v="0"/>
  </r>
  <r>
    <x v="3"/>
    <x v="1"/>
    <x v="5"/>
    <x v="32"/>
    <x v="92"/>
    <x v="11"/>
    <n v="300"/>
  </r>
  <r>
    <x v="1"/>
    <x v="1"/>
    <x v="5"/>
    <x v="33"/>
    <x v="93"/>
    <x v="0"/>
    <n v="0"/>
  </r>
  <r>
    <x v="1"/>
    <x v="1"/>
    <x v="5"/>
    <x v="33"/>
    <x v="93"/>
    <x v="1"/>
    <n v="0"/>
  </r>
  <r>
    <x v="1"/>
    <x v="1"/>
    <x v="5"/>
    <x v="33"/>
    <x v="93"/>
    <x v="2"/>
    <n v="0"/>
  </r>
  <r>
    <x v="1"/>
    <x v="1"/>
    <x v="5"/>
    <x v="33"/>
    <x v="93"/>
    <x v="3"/>
    <n v="0"/>
  </r>
  <r>
    <x v="1"/>
    <x v="1"/>
    <x v="5"/>
    <x v="33"/>
    <x v="93"/>
    <x v="4"/>
    <n v="0"/>
  </r>
  <r>
    <x v="1"/>
    <x v="1"/>
    <x v="5"/>
    <x v="33"/>
    <x v="93"/>
    <x v="5"/>
    <n v="0"/>
  </r>
  <r>
    <x v="1"/>
    <x v="1"/>
    <x v="5"/>
    <x v="33"/>
    <x v="93"/>
    <x v="6"/>
    <n v="0"/>
  </r>
  <r>
    <x v="1"/>
    <x v="1"/>
    <x v="5"/>
    <x v="33"/>
    <x v="93"/>
    <x v="7"/>
    <n v="0"/>
  </r>
  <r>
    <x v="1"/>
    <x v="1"/>
    <x v="5"/>
    <x v="33"/>
    <x v="93"/>
    <x v="8"/>
    <n v="0"/>
  </r>
  <r>
    <x v="1"/>
    <x v="1"/>
    <x v="5"/>
    <x v="33"/>
    <x v="93"/>
    <x v="9"/>
    <n v="0"/>
  </r>
  <r>
    <x v="1"/>
    <x v="1"/>
    <x v="5"/>
    <x v="33"/>
    <x v="93"/>
    <x v="10"/>
    <n v="0"/>
  </r>
  <r>
    <x v="1"/>
    <x v="1"/>
    <x v="5"/>
    <x v="33"/>
    <x v="93"/>
    <x v="11"/>
    <n v="0"/>
  </r>
  <r>
    <x v="1"/>
    <x v="1"/>
    <x v="5"/>
    <x v="33"/>
    <x v="94"/>
    <x v="0"/>
    <n v="2400"/>
  </r>
  <r>
    <x v="1"/>
    <x v="1"/>
    <x v="5"/>
    <x v="33"/>
    <x v="94"/>
    <x v="1"/>
    <n v="0"/>
  </r>
  <r>
    <x v="1"/>
    <x v="1"/>
    <x v="5"/>
    <x v="33"/>
    <x v="94"/>
    <x v="2"/>
    <n v="0"/>
  </r>
  <r>
    <x v="1"/>
    <x v="1"/>
    <x v="5"/>
    <x v="33"/>
    <x v="94"/>
    <x v="3"/>
    <n v="2400"/>
  </r>
  <r>
    <x v="1"/>
    <x v="1"/>
    <x v="5"/>
    <x v="33"/>
    <x v="94"/>
    <x v="4"/>
    <n v="0"/>
  </r>
  <r>
    <x v="1"/>
    <x v="1"/>
    <x v="5"/>
    <x v="33"/>
    <x v="94"/>
    <x v="5"/>
    <n v="0"/>
  </r>
  <r>
    <x v="1"/>
    <x v="1"/>
    <x v="5"/>
    <x v="33"/>
    <x v="94"/>
    <x v="6"/>
    <n v="2400"/>
  </r>
  <r>
    <x v="1"/>
    <x v="1"/>
    <x v="5"/>
    <x v="33"/>
    <x v="94"/>
    <x v="7"/>
    <n v="0"/>
  </r>
  <r>
    <x v="1"/>
    <x v="1"/>
    <x v="5"/>
    <x v="33"/>
    <x v="94"/>
    <x v="8"/>
    <n v="0"/>
  </r>
  <r>
    <x v="1"/>
    <x v="1"/>
    <x v="5"/>
    <x v="33"/>
    <x v="94"/>
    <x v="9"/>
    <n v="2400"/>
  </r>
  <r>
    <x v="1"/>
    <x v="1"/>
    <x v="5"/>
    <x v="33"/>
    <x v="94"/>
    <x v="10"/>
    <n v="0"/>
  </r>
  <r>
    <x v="1"/>
    <x v="1"/>
    <x v="5"/>
    <x v="33"/>
    <x v="94"/>
    <x v="11"/>
    <n v="0"/>
  </r>
  <r>
    <x v="3"/>
    <x v="1"/>
    <x v="5"/>
    <x v="33"/>
    <x v="94"/>
    <x v="0"/>
    <n v="2400"/>
  </r>
  <r>
    <x v="3"/>
    <x v="1"/>
    <x v="5"/>
    <x v="33"/>
    <x v="94"/>
    <x v="1"/>
    <n v="0"/>
  </r>
  <r>
    <x v="3"/>
    <x v="1"/>
    <x v="5"/>
    <x v="33"/>
    <x v="94"/>
    <x v="2"/>
    <n v="0"/>
  </r>
  <r>
    <x v="3"/>
    <x v="1"/>
    <x v="5"/>
    <x v="33"/>
    <x v="94"/>
    <x v="3"/>
    <n v="2400"/>
  </r>
  <r>
    <x v="3"/>
    <x v="1"/>
    <x v="5"/>
    <x v="33"/>
    <x v="94"/>
    <x v="4"/>
    <n v="0"/>
  </r>
  <r>
    <x v="3"/>
    <x v="1"/>
    <x v="5"/>
    <x v="33"/>
    <x v="94"/>
    <x v="5"/>
    <n v="0"/>
  </r>
  <r>
    <x v="3"/>
    <x v="1"/>
    <x v="5"/>
    <x v="33"/>
    <x v="94"/>
    <x v="6"/>
    <n v="2400"/>
  </r>
  <r>
    <x v="3"/>
    <x v="1"/>
    <x v="5"/>
    <x v="33"/>
    <x v="94"/>
    <x v="7"/>
    <n v="0"/>
  </r>
  <r>
    <x v="3"/>
    <x v="1"/>
    <x v="5"/>
    <x v="33"/>
    <x v="94"/>
    <x v="8"/>
    <n v="0"/>
  </r>
  <r>
    <x v="3"/>
    <x v="1"/>
    <x v="5"/>
    <x v="33"/>
    <x v="94"/>
    <x v="9"/>
    <n v="2400"/>
  </r>
  <r>
    <x v="3"/>
    <x v="1"/>
    <x v="5"/>
    <x v="33"/>
    <x v="94"/>
    <x v="10"/>
    <n v="0"/>
  </r>
  <r>
    <x v="3"/>
    <x v="1"/>
    <x v="5"/>
    <x v="33"/>
    <x v="94"/>
    <x v="11"/>
    <n v="0"/>
  </r>
  <r>
    <x v="1"/>
    <x v="4"/>
    <x v="4"/>
    <x v="20"/>
    <x v="95"/>
    <x v="0"/>
    <n v="1150"/>
  </r>
  <r>
    <x v="1"/>
    <x v="4"/>
    <x v="4"/>
    <x v="20"/>
    <x v="95"/>
    <x v="1"/>
    <n v="1150"/>
  </r>
  <r>
    <x v="1"/>
    <x v="4"/>
    <x v="4"/>
    <x v="20"/>
    <x v="95"/>
    <x v="2"/>
    <n v="0"/>
  </r>
  <r>
    <x v="1"/>
    <x v="4"/>
    <x v="4"/>
    <x v="20"/>
    <x v="95"/>
    <x v="3"/>
    <n v="0"/>
  </r>
  <r>
    <x v="1"/>
    <x v="4"/>
    <x v="4"/>
    <x v="20"/>
    <x v="95"/>
    <x v="4"/>
    <n v="0"/>
  </r>
  <r>
    <x v="1"/>
    <x v="4"/>
    <x v="4"/>
    <x v="20"/>
    <x v="95"/>
    <x v="5"/>
    <n v="1150"/>
  </r>
  <r>
    <x v="1"/>
    <x v="4"/>
    <x v="4"/>
    <x v="20"/>
    <x v="95"/>
    <x v="6"/>
    <n v="1150"/>
  </r>
  <r>
    <x v="1"/>
    <x v="4"/>
    <x v="4"/>
    <x v="20"/>
    <x v="95"/>
    <x v="7"/>
    <n v="1150"/>
  </r>
  <r>
    <x v="1"/>
    <x v="4"/>
    <x v="4"/>
    <x v="20"/>
    <x v="95"/>
    <x v="8"/>
    <n v="1150"/>
  </r>
  <r>
    <x v="1"/>
    <x v="4"/>
    <x v="4"/>
    <x v="20"/>
    <x v="95"/>
    <x v="9"/>
    <n v="1150"/>
  </r>
  <r>
    <x v="1"/>
    <x v="4"/>
    <x v="4"/>
    <x v="20"/>
    <x v="95"/>
    <x v="10"/>
    <n v="1150"/>
  </r>
  <r>
    <x v="1"/>
    <x v="4"/>
    <x v="4"/>
    <x v="20"/>
    <x v="95"/>
    <x v="11"/>
    <n v="1150"/>
  </r>
  <r>
    <x v="1"/>
    <x v="4"/>
    <x v="4"/>
    <x v="20"/>
    <x v="96"/>
    <x v="0"/>
    <n v="91"/>
  </r>
  <r>
    <x v="1"/>
    <x v="4"/>
    <x v="4"/>
    <x v="20"/>
    <x v="96"/>
    <x v="1"/>
    <n v="91"/>
  </r>
  <r>
    <x v="1"/>
    <x v="4"/>
    <x v="4"/>
    <x v="20"/>
    <x v="96"/>
    <x v="2"/>
    <n v="91"/>
  </r>
  <r>
    <x v="1"/>
    <x v="4"/>
    <x v="4"/>
    <x v="20"/>
    <x v="96"/>
    <x v="3"/>
    <n v="91"/>
  </r>
  <r>
    <x v="1"/>
    <x v="4"/>
    <x v="4"/>
    <x v="20"/>
    <x v="96"/>
    <x v="4"/>
    <n v="91"/>
  </r>
  <r>
    <x v="1"/>
    <x v="4"/>
    <x v="4"/>
    <x v="20"/>
    <x v="96"/>
    <x v="5"/>
    <n v="91"/>
  </r>
  <r>
    <x v="1"/>
    <x v="4"/>
    <x v="4"/>
    <x v="20"/>
    <x v="96"/>
    <x v="6"/>
    <n v="91"/>
  </r>
  <r>
    <x v="1"/>
    <x v="4"/>
    <x v="4"/>
    <x v="20"/>
    <x v="96"/>
    <x v="7"/>
    <n v="91"/>
  </r>
  <r>
    <x v="1"/>
    <x v="4"/>
    <x v="4"/>
    <x v="20"/>
    <x v="96"/>
    <x v="8"/>
    <n v="91"/>
  </r>
  <r>
    <x v="1"/>
    <x v="4"/>
    <x v="4"/>
    <x v="20"/>
    <x v="96"/>
    <x v="9"/>
    <n v="91"/>
  </r>
  <r>
    <x v="1"/>
    <x v="4"/>
    <x v="4"/>
    <x v="20"/>
    <x v="96"/>
    <x v="10"/>
    <n v="91"/>
  </r>
  <r>
    <x v="1"/>
    <x v="4"/>
    <x v="4"/>
    <x v="20"/>
    <x v="96"/>
    <x v="11"/>
    <n v="91"/>
  </r>
  <r>
    <x v="1"/>
    <x v="4"/>
    <x v="4"/>
    <x v="20"/>
    <x v="97"/>
    <x v="0"/>
    <n v="0"/>
  </r>
  <r>
    <x v="1"/>
    <x v="4"/>
    <x v="4"/>
    <x v="20"/>
    <x v="97"/>
    <x v="1"/>
    <n v="0"/>
  </r>
  <r>
    <x v="1"/>
    <x v="4"/>
    <x v="4"/>
    <x v="20"/>
    <x v="97"/>
    <x v="2"/>
    <n v="3390"/>
  </r>
  <r>
    <x v="1"/>
    <x v="4"/>
    <x v="4"/>
    <x v="20"/>
    <x v="97"/>
    <x v="3"/>
    <n v="0"/>
  </r>
  <r>
    <x v="1"/>
    <x v="4"/>
    <x v="4"/>
    <x v="20"/>
    <x v="97"/>
    <x v="4"/>
    <n v="0"/>
  </r>
  <r>
    <x v="1"/>
    <x v="4"/>
    <x v="4"/>
    <x v="20"/>
    <x v="97"/>
    <x v="5"/>
    <n v="0"/>
  </r>
  <r>
    <x v="1"/>
    <x v="4"/>
    <x v="4"/>
    <x v="20"/>
    <x v="97"/>
    <x v="6"/>
    <n v="0"/>
  </r>
  <r>
    <x v="1"/>
    <x v="4"/>
    <x v="4"/>
    <x v="20"/>
    <x v="97"/>
    <x v="7"/>
    <n v="0"/>
  </r>
  <r>
    <x v="1"/>
    <x v="4"/>
    <x v="4"/>
    <x v="20"/>
    <x v="97"/>
    <x v="8"/>
    <n v="0"/>
  </r>
  <r>
    <x v="1"/>
    <x v="4"/>
    <x v="4"/>
    <x v="20"/>
    <x v="97"/>
    <x v="9"/>
    <n v="0"/>
  </r>
  <r>
    <x v="1"/>
    <x v="4"/>
    <x v="4"/>
    <x v="20"/>
    <x v="97"/>
    <x v="10"/>
    <n v="0"/>
  </r>
  <r>
    <x v="1"/>
    <x v="4"/>
    <x v="4"/>
    <x v="20"/>
    <x v="97"/>
    <x v="11"/>
    <n v="0"/>
  </r>
  <r>
    <x v="1"/>
    <x v="2"/>
    <x v="7"/>
    <x v="34"/>
    <x v="98"/>
    <x v="0"/>
    <n v="0"/>
  </r>
  <r>
    <x v="1"/>
    <x v="2"/>
    <x v="7"/>
    <x v="34"/>
    <x v="98"/>
    <x v="1"/>
    <n v="10000"/>
  </r>
  <r>
    <x v="1"/>
    <x v="2"/>
    <x v="7"/>
    <x v="34"/>
    <x v="98"/>
    <x v="2"/>
    <n v="0"/>
  </r>
  <r>
    <x v="1"/>
    <x v="2"/>
    <x v="7"/>
    <x v="34"/>
    <x v="98"/>
    <x v="3"/>
    <n v="0"/>
  </r>
  <r>
    <x v="1"/>
    <x v="2"/>
    <x v="7"/>
    <x v="34"/>
    <x v="98"/>
    <x v="4"/>
    <n v="10000"/>
  </r>
  <r>
    <x v="1"/>
    <x v="2"/>
    <x v="7"/>
    <x v="34"/>
    <x v="98"/>
    <x v="5"/>
    <n v="0"/>
  </r>
  <r>
    <x v="1"/>
    <x v="2"/>
    <x v="7"/>
    <x v="34"/>
    <x v="98"/>
    <x v="6"/>
    <n v="0"/>
  </r>
  <r>
    <x v="1"/>
    <x v="2"/>
    <x v="7"/>
    <x v="34"/>
    <x v="98"/>
    <x v="7"/>
    <n v="10000"/>
  </r>
  <r>
    <x v="1"/>
    <x v="2"/>
    <x v="7"/>
    <x v="34"/>
    <x v="98"/>
    <x v="8"/>
    <n v="0"/>
  </r>
  <r>
    <x v="1"/>
    <x v="2"/>
    <x v="7"/>
    <x v="34"/>
    <x v="98"/>
    <x v="9"/>
    <n v="0"/>
  </r>
  <r>
    <x v="1"/>
    <x v="2"/>
    <x v="7"/>
    <x v="34"/>
    <x v="98"/>
    <x v="10"/>
    <n v="10000"/>
  </r>
  <r>
    <x v="1"/>
    <x v="2"/>
    <x v="7"/>
    <x v="34"/>
    <x v="98"/>
    <x v="11"/>
    <n v="0"/>
  </r>
  <r>
    <x v="1"/>
    <x v="2"/>
    <x v="7"/>
    <x v="34"/>
    <x v="99"/>
    <x v="0"/>
    <n v="10000"/>
  </r>
  <r>
    <x v="1"/>
    <x v="2"/>
    <x v="7"/>
    <x v="34"/>
    <x v="99"/>
    <x v="1"/>
    <n v="10000"/>
  </r>
  <r>
    <x v="1"/>
    <x v="2"/>
    <x v="7"/>
    <x v="34"/>
    <x v="99"/>
    <x v="2"/>
    <n v="5000"/>
  </r>
  <r>
    <x v="1"/>
    <x v="2"/>
    <x v="7"/>
    <x v="34"/>
    <x v="99"/>
    <x v="3"/>
    <n v="5000"/>
  </r>
  <r>
    <x v="1"/>
    <x v="2"/>
    <x v="7"/>
    <x v="34"/>
    <x v="99"/>
    <x v="4"/>
    <n v="5000"/>
  </r>
  <r>
    <x v="1"/>
    <x v="2"/>
    <x v="7"/>
    <x v="34"/>
    <x v="99"/>
    <x v="5"/>
    <n v="5000"/>
  </r>
  <r>
    <x v="1"/>
    <x v="2"/>
    <x v="7"/>
    <x v="34"/>
    <x v="99"/>
    <x v="6"/>
    <n v="5000"/>
  </r>
  <r>
    <x v="1"/>
    <x v="2"/>
    <x v="7"/>
    <x v="34"/>
    <x v="99"/>
    <x v="7"/>
    <n v="5000"/>
  </r>
  <r>
    <x v="1"/>
    <x v="2"/>
    <x v="7"/>
    <x v="34"/>
    <x v="99"/>
    <x v="8"/>
    <n v="5000"/>
  </r>
  <r>
    <x v="1"/>
    <x v="2"/>
    <x v="7"/>
    <x v="34"/>
    <x v="99"/>
    <x v="9"/>
    <n v="5000"/>
  </r>
  <r>
    <x v="1"/>
    <x v="2"/>
    <x v="7"/>
    <x v="34"/>
    <x v="99"/>
    <x v="10"/>
    <n v="5000"/>
  </r>
  <r>
    <x v="1"/>
    <x v="2"/>
    <x v="7"/>
    <x v="34"/>
    <x v="99"/>
    <x v="11"/>
    <n v="5000"/>
  </r>
  <r>
    <x v="1"/>
    <x v="2"/>
    <x v="7"/>
    <x v="34"/>
    <x v="100"/>
    <x v="0"/>
    <n v="0"/>
  </r>
  <r>
    <x v="1"/>
    <x v="2"/>
    <x v="7"/>
    <x v="34"/>
    <x v="100"/>
    <x v="1"/>
    <n v="17500"/>
  </r>
  <r>
    <x v="1"/>
    <x v="2"/>
    <x v="7"/>
    <x v="34"/>
    <x v="100"/>
    <x v="2"/>
    <n v="17500"/>
  </r>
  <r>
    <x v="1"/>
    <x v="2"/>
    <x v="7"/>
    <x v="34"/>
    <x v="100"/>
    <x v="3"/>
    <n v="0"/>
  </r>
  <r>
    <x v="1"/>
    <x v="2"/>
    <x v="7"/>
    <x v="34"/>
    <x v="100"/>
    <x v="4"/>
    <n v="10000"/>
  </r>
  <r>
    <x v="1"/>
    <x v="2"/>
    <x v="7"/>
    <x v="34"/>
    <x v="100"/>
    <x v="5"/>
    <n v="0"/>
  </r>
  <r>
    <x v="1"/>
    <x v="2"/>
    <x v="7"/>
    <x v="34"/>
    <x v="100"/>
    <x v="6"/>
    <n v="10000"/>
  </r>
  <r>
    <x v="1"/>
    <x v="2"/>
    <x v="7"/>
    <x v="34"/>
    <x v="100"/>
    <x v="7"/>
    <n v="0"/>
  </r>
  <r>
    <x v="1"/>
    <x v="2"/>
    <x v="7"/>
    <x v="34"/>
    <x v="100"/>
    <x v="8"/>
    <n v="10000"/>
  </r>
  <r>
    <x v="1"/>
    <x v="2"/>
    <x v="7"/>
    <x v="34"/>
    <x v="100"/>
    <x v="9"/>
    <n v="0"/>
  </r>
  <r>
    <x v="1"/>
    <x v="2"/>
    <x v="7"/>
    <x v="34"/>
    <x v="100"/>
    <x v="10"/>
    <n v="10000"/>
  </r>
  <r>
    <x v="1"/>
    <x v="2"/>
    <x v="7"/>
    <x v="34"/>
    <x v="100"/>
    <x v="11"/>
    <n v="0"/>
  </r>
  <r>
    <x v="1"/>
    <x v="2"/>
    <x v="7"/>
    <x v="34"/>
    <x v="101"/>
    <x v="0"/>
    <n v="2000"/>
  </r>
  <r>
    <x v="1"/>
    <x v="2"/>
    <x v="7"/>
    <x v="34"/>
    <x v="101"/>
    <x v="1"/>
    <n v="2000"/>
  </r>
  <r>
    <x v="1"/>
    <x v="2"/>
    <x v="7"/>
    <x v="34"/>
    <x v="101"/>
    <x v="2"/>
    <n v="2000"/>
  </r>
  <r>
    <x v="1"/>
    <x v="2"/>
    <x v="7"/>
    <x v="34"/>
    <x v="101"/>
    <x v="3"/>
    <n v="2000"/>
  </r>
  <r>
    <x v="1"/>
    <x v="2"/>
    <x v="7"/>
    <x v="34"/>
    <x v="101"/>
    <x v="4"/>
    <n v="2000"/>
  </r>
  <r>
    <x v="1"/>
    <x v="2"/>
    <x v="7"/>
    <x v="34"/>
    <x v="101"/>
    <x v="5"/>
    <n v="2000"/>
  </r>
  <r>
    <x v="1"/>
    <x v="2"/>
    <x v="7"/>
    <x v="34"/>
    <x v="101"/>
    <x v="6"/>
    <n v="2000"/>
  </r>
  <r>
    <x v="1"/>
    <x v="2"/>
    <x v="7"/>
    <x v="34"/>
    <x v="101"/>
    <x v="7"/>
    <n v="2000"/>
  </r>
  <r>
    <x v="1"/>
    <x v="2"/>
    <x v="7"/>
    <x v="34"/>
    <x v="101"/>
    <x v="8"/>
    <n v="2000"/>
  </r>
  <r>
    <x v="1"/>
    <x v="2"/>
    <x v="7"/>
    <x v="34"/>
    <x v="101"/>
    <x v="9"/>
    <n v="2000"/>
  </r>
  <r>
    <x v="1"/>
    <x v="2"/>
    <x v="7"/>
    <x v="34"/>
    <x v="101"/>
    <x v="10"/>
    <n v="2000"/>
  </r>
  <r>
    <x v="1"/>
    <x v="2"/>
    <x v="7"/>
    <x v="34"/>
    <x v="101"/>
    <x v="11"/>
    <n v="2000"/>
  </r>
  <r>
    <x v="4"/>
    <x v="2"/>
    <x v="7"/>
    <x v="34"/>
    <x v="102"/>
    <x v="0"/>
    <n v="2500"/>
  </r>
  <r>
    <x v="4"/>
    <x v="2"/>
    <x v="7"/>
    <x v="34"/>
    <x v="102"/>
    <x v="1"/>
    <n v="2500"/>
  </r>
  <r>
    <x v="4"/>
    <x v="2"/>
    <x v="7"/>
    <x v="34"/>
    <x v="102"/>
    <x v="2"/>
    <n v="1000"/>
  </r>
  <r>
    <x v="4"/>
    <x v="2"/>
    <x v="7"/>
    <x v="34"/>
    <x v="102"/>
    <x v="3"/>
    <n v="1250"/>
  </r>
  <r>
    <x v="4"/>
    <x v="2"/>
    <x v="7"/>
    <x v="34"/>
    <x v="102"/>
    <x v="4"/>
    <n v="1000"/>
  </r>
  <r>
    <x v="4"/>
    <x v="2"/>
    <x v="7"/>
    <x v="34"/>
    <x v="102"/>
    <x v="5"/>
    <n v="1000"/>
  </r>
  <r>
    <x v="4"/>
    <x v="2"/>
    <x v="7"/>
    <x v="34"/>
    <x v="102"/>
    <x v="6"/>
    <n v="500"/>
  </r>
  <r>
    <x v="4"/>
    <x v="2"/>
    <x v="7"/>
    <x v="34"/>
    <x v="102"/>
    <x v="7"/>
    <n v="500"/>
  </r>
  <r>
    <x v="4"/>
    <x v="2"/>
    <x v="7"/>
    <x v="34"/>
    <x v="102"/>
    <x v="8"/>
    <n v="1000"/>
  </r>
  <r>
    <x v="4"/>
    <x v="2"/>
    <x v="7"/>
    <x v="34"/>
    <x v="102"/>
    <x v="9"/>
    <n v="1000"/>
  </r>
  <r>
    <x v="4"/>
    <x v="2"/>
    <x v="7"/>
    <x v="34"/>
    <x v="102"/>
    <x v="10"/>
    <n v="1000"/>
  </r>
  <r>
    <x v="4"/>
    <x v="2"/>
    <x v="7"/>
    <x v="34"/>
    <x v="102"/>
    <x v="11"/>
    <n v="1000"/>
  </r>
  <r>
    <x v="1"/>
    <x v="2"/>
    <x v="7"/>
    <x v="34"/>
    <x v="103"/>
    <x v="0"/>
    <n v="1500"/>
  </r>
  <r>
    <x v="1"/>
    <x v="2"/>
    <x v="7"/>
    <x v="34"/>
    <x v="103"/>
    <x v="1"/>
    <n v="1500"/>
  </r>
  <r>
    <x v="1"/>
    <x v="2"/>
    <x v="7"/>
    <x v="34"/>
    <x v="103"/>
    <x v="2"/>
    <n v="1500"/>
  </r>
  <r>
    <x v="1"/>
    <x v="2"/>
    <x v="7"/>
    <x v="34"/>
    <x v="103"/>
    <x v="3"/>
    <n v="1500"/>
  </r>
  <r>
    <x v="1"/>
    <x v="2"/>
    <x v="7"/>
    <x v="34"/>
    <x v="103"/>
    <x v="4"/>
    <n v="1500"/>
  </r>
  <r>
    <x v="1"/>
    <x v="2"/>
    <x v="7"/>
    <x v="34"/>
    <x v="103"/>
    <x v="5"/>
    <n v="1500"/>
  </r>
  <r>
    <x v="1"/>
    <x v="2"/>
    <x v="7"/>
    <x v="34"/>
    <x v="103"/>
    <x v="6"/>
    <n v="1500"/>
  </r>
  <r>
    <x v="1"/>
    <x v="2"/>
    <x v="7"/>
    <x v="34"/>
    <x v="103"/>
    <x v="7"/>
    <n v="1500"/>
  </r>
  <r>
    <x v="1"/>
    <x v="2"/>
    <x v="7"/>
    <x v="34"/>
    <x v="103"/>
    <x v="8"/>
    <n v="1500"/>
  </r>
  <r>
    <x v="1"/>
    <x v="2"/>
    <x v="7"/>
    <x v="34"/>
    <x v="103"/>
    <x v="9"/>
    <n v="1500"/>
  </r>
  <r>
    <x v="1"/>
    <x v="2"/>
    <x v="7"/>
    <x v="34"/>
    <x v="103"/>
    <x v="10"/>
    <n v="1500"/>
  </r>
  <r>
    <x v="1"/>
    <x v="2"/>
    <x v="7"/>
    <x v="34"/>
    <x v="103"/>
    <x v="11"/>
    <n v="1500"/>
  </r>
  <r>
    <x v="1"/>
    <x v="5"/>
    <x v="7"/>
    <x v="34"/>
    <x v="104"/>
    <x v="0"/>
    <n v="10000"/>
  </r>
  <r>
    <x v="1"/>
    <x v="5"/>
    <x v="7"/>
    <x v="34"/>
    <x v="104"/>
    <x v="1"/>
    <n v="5000"/>
  </r>
  <r>
    <x v="1"/>
    <x v="5"/>
    <x v="7"/>
    <x v="34"/>
    <x v="104"/>
    <x v="2"/>
    <n v="5000"/>
  </r>
  <r>
    <x v="1"/>
    <x v="5"/>
    <x v="7"/>
    <x v="34"/>
    <x v="104"/>
    <x v="3"/>
    <n v="5000"/>
  </r>
  <r>
    <x v="1"/>
    <x v="5"/>
    <x v="7"/>
    <x v="34"/>
    <x v="104"/>
    <x v="4"/>
    <n v="5000"/>
  </r>
  <r>
    <x v="1"/>
    <x v="5"/>
    <x v="7"/>
    <x v="34"/>
    <x v="104"/>
    <x v="5"/>
    <n v="5000"/>
  </r>
  <r>
    <x v="1"/>
    <x v="5"/>
    <x v="7"/>
    <x v="34"/>
    <x v="104"/>
    <x v="6"/>
    <n v="5000"/>
  </r>
  <r>
    <x v="1"/>
    <x v="5"/>
    <x v="7"/>
    <x v="34"/>
    <x v="104"/>
    <x v="7"/>
    <n v="5000"/>
  </r>
  <r>
    <x v="1"/>
    <x v="5"/>
    <x v="7"/>
    <x v="34"/>
    <x v="104"/>
    <x v="8"/>
    <n v="5000"/>
  </r>
  <r>
    <x v="1"/>
    <x v="5"/>
    <x v="7"/>
    <x v="34"/>
    <x v="104"/>
    <x v="9"/>
    <n v="5000"/>
  </r>
  <r>
    <x v="1"/>
    <x v="5"/>
    <x v="7"/>
    <x v="34"/>
    <x v="104"/>
    <x v="10"/>
    <n v="5000"/>
  </r>
  <r>
    <x v="1"/>
    <x v="5"/>
    <x v="7"/>
    <x v="34"/>
    <x v="104"/>
    <x v="11"/>
    <n v="5000"/>
  </r>
  <r>
    <x v="1"/>
    <x v="5"/>
    <x v="7"/>
    <x v="34"/>
    <x v="105"/>
    <x v="0"/>
    <n v="15000"/>
  </r>
  <r>
    <x v="1"/>
    <x v="5"/>
    <x v="7"/>
    <x v="34"/>
    <x v="105"/>
    <x v="1"/>
    <n v="15000"/>
  </r>
  <r>
    <x v="1"/>
    <x v="5"/>
    <x v="7"/>
    <x v="34"/>
    <x v="105"/>
    <x v="2"/>
    <n v="15000"/>
  </r>
  <r>
    <x v="1"/>
    <x v="5"/>
    <x v="7"/>
    <x v="34"/>
    <x v="105"/>
    <x v="3"/>
    <n v="15000"/>
  </r>
  <r>
    <x v="1"/>
    <x v="5"/>
    <x v="7"/>
    <x v="34"/>
    <x v="105"/>
    <x v="4"/>
    <n v="0"/>
  </r>
  <r>
    <x v="1"/>
    <x v="5"/>
    <x v="7"/>
    <x v="34"/>
    <x v="105"/>
    <x v="5"/>
    <n v="15000"/>
  </r>
  <r>
    <x v="1"/>
    <x v="5"/>
    <x v="7"/>
    <x v="34"/>
    <x v="105"/>
    <x v="6"/>
    <n v="0"/>
  </r>
  <r>
    <x v="1"/>
    <x v="5"/>
    <x v="7"/>
    <x v="34"/>
    <x v="105"/>
    <x v="7"/>
    <n v="15000"/>
  </r>
  <r>
    <x v="1"/>
    <x v="5"/>
    <x v="7"/>
    <x v="34"/>
    <x v="105"/>
    <x v="8"/>
    <n v="0"/>
  </r>
  <r>
    <x v="1"/>
    <x v="5"/>
    <x v="7"/>
    <x v="34"/>
    <x v="105"/>
    <x v="9"/>
    <n v="15000"/>
  </r>
  <r>
    <x v="1"/>
    <x v="5"/>
    <x v="7"/>
    <x v="34"/>
    <x v="105"/>
    <x v="10"/>
    <n v="0"/>
  </r>
  <r>
    <x v="1"/>
    <x v="5"/>
    <x v="7"/>
    <x v="34"/>
    <x v="105"/>
    <x v="11"/>
    <n v="15000"/>
  </r>
  <r>
    <x v="1"/>
    <x v="2"/>
    <x v="7"/>
    <x v="34"/>
    <x v="106"/>
    <x v="0"/>
    <n v="0"/>
  </r>
  <r>
    <x v="1"/>
    <x v="2"/>
    <x v="7"/>
    <x v="34"/>
    <x v="106"/>
    <x v="1"/>
    <n v="1500"/>
  </r>
  <r>
    <x v="1"/>
    <x v="2"/>
    <x v="7"/>
    <x v="34"/>
    <x v="106"/>
    <x v="2"/>
    <n v="0"/>
  </r>
  <r>
    <x v="1"/>
    <x v="2"/>
    <x v="7"/>
    <x v="34"/>
    <x v="106"/>
    <x v="3"/>
    <n v="1500"/>
  </r>
  <r>
    <x v="1"/>
    <x v="2"/>
    <x v="7"/>
    <x v="34"/>
    <x v="106"/>
    <x v="4"/>
    <n v="1500"/>
  </r>
  <r>
    <x v="1"/>
    <x v="2"/>
    <x v="7"/>
    <x v="34"/>
    <x v="106"/>
    <x v="5"/>
    <n v="0"/>
  </r>
  <r>
    <x v="1"/>
    <x v="2"/>
    <x v="7"/>
    <x v="34"/>
    <x v="106"/>
    <x v="6"/>
    <n v="1500"/>
  </r>
  <r>
    <x v="1"/>
    <x v="2"/>
    <x v="7"/>
    <x v="34"/>
    <x v="106"/>
    <x v="7"/>
    <n v="0"/>
  </r>
  <r>
    <x v="1"/>
    <x v="2"/>
    <x v="7"/>
    <x v="34"/>
    <x v="106"/>
    <x v="8"/>
    <n v="1500"/>
  </r>
  <r>
    <x v="1"/>
    <x v="2"/>
    <x v="7"/>
    <x v="34"/>
    <x v="106"/>
    <x v="9"/>
    <n v="0"/>
  </r>
  <r>
    <x v="1"/>
    <x v="2"/>
    <x v="7"/>
    <x v="34"/>
    <x v="106"/>
    <x v="10"/>
    <n v="1500"/>
  </r>
  <r>
    <x v="1"/>
    <x v="2"/>
    <x v="7"/>
    <x v="34"/>
    <x v="106"/>
    <x v="11"/>
    <n v="1000"/>
  </r>
  <r>
    <x v="4"/>
    <x v="2"/>
    <x v="7"/>
    <x v="34"/>
    <x v="107"/>
    <x v="0"/>
    <n v="0"/>
  </r>
  <r>
    <x v="4"/>
    <x v="2"/>
    <x v="7"/>
    <x v="34"/>
    <x v="107"/>
    <x v="1"/>
    <n v="140000"/>
  </r>
  <r>
    <x v="4"/>
    <x v="2"/>
    <x v="7"/>
    <x v="34"/>
    <x v="107"/>
    <x v="2"/>
    <n v="0"/>
  </r>
  <r>
    <x v="4"/>
    <x v="2"/>
    <x v="7"/>
    <x v="34"/>
    <x v="107"/>
    <x v="3"/>
    <n v="0"/>
  </r>
  <r>
    <x v="4"/>
    <x v="2"/>
    <x v="7"/>
    <x v="34"/>
    <x v="107"/>
    <x v="4"/>
    <n v="0"/>
  </r>
  <r>
    <x v="4"/>
    <x v="2"/>
    <x v="7"/>
    <x v="34"/>
    <x v="107"/>
    <x v="5"/>
    <n v="0"/>
  </r>
  <r>
    <x v="4"/>
    <x v="2"/>
    <x v="7"/>
    <x v="34"/>
    <x v="107"/>
    <x v="6"/>
    <n v="0"/>
  </r>
  <r>
    <x v="4"/>
    <x v="2"/>
    <x v="7"/>
    <x v="34"/>
    <x v="107"/>
    <x v="7"/>
    <n v="0"/>
  </r>
  <r>
    <x v="4"/>
    <x v="2"/>
    <x v="7"/>
    <x v="34"/>
    <x v="107"/>
    <x v="8"/>
    <n v="0"/>
  </r>
  <r>
    <x v="4"/>
    <x v="2"/>
    <x v="7"/>
    <x v="34"/>
    <x v="107"/>
    <x v="9"/>
    <n v="0"/>
  </r>
  <r>
    <x v="4"/>
    <x v="2"/>
    <x v="7"/>
    <x v="34"/>
    <x v="107"/>
    <x v="10"/>
    <n v="0"/>
  </r>
  <r>
    <x v="4"/>
    <x v="2"/>
    <x v="7"/>
    <x v="34"/>
    <x v="107"/>
    <x v="11"/>
    <n v="0"/>
  </r>
  <r>
    <x v="4"/>
    <x v="2"/>
    <x v="7"/>
    <x v="34"/>
    <x v="108"/>
    <x v="0"/>
    <n v="3000"/>
  </r>
  <r>
    <x v="4"/>
    <x v="2"/>
    <x v="7"/>
    <x v="34"/>
    <x v="108"/>
    <x v="1"/>
    <n v="3000"/>
  </r>
  <r>
    <x v="4"/>
    <x v="2"/>
    <x v="7"/>
    <x v="34"/>
    <x v="108"/>
    <x v="2"/>
    <n v="2000"/>
  </r>
  <r>
    <x v="4"/>
    <x v="2"/>
    <x v="7"/>
    <x v="34"/>
    <x v="108"/>
    <x v="3"/>
    <n v="0"/>
  </r>
  <r>
    <x v="4"/>
    <x v="2"/>
    <x v="7"/>
    <x v="34"/>
    <x v="108"/>
    <x v="4"/>
    <n v="0"/>
  </r>
  <r>
    <x v="4"/>
    <x v="2"/>
    <x v="7"/>
    <x v="34"/>
    <x v="108"/>
    <x v="5"/>
    <n v="0"/>
  </r>
  <r>
    <x v="4"/>
    <x v="2"/>
    <x v="7"/>
    <x v="34"/>
    <x v="108"/>
    <x v="6"/>
    <n v="2000"/>
  </r>
  <r>
    <x v="4"/>
    <x v="2"/>
    <x v="7"/>
    <x v="34"/>
    <x v="108"/>
    <x v="7"/>
    <n v="0"/>
  </r>
  <r>
    <x v="4"/>
    <x v="2"/>
    <x v="7"/>
    <x v="34"/>
    <x v="108"/>
    <x v="8"/>
    <n v="0"/>
  </r>
  <r>
    <x v="4"/>
    <x v="2"/>
    <x v="7"/>
    <x v="34"/>
    <x v="108"/>
    <x v="9"/>
    <n v="0"/>
  </r>
  <r>
    <x v="4"/>
    <x v="2"/>
    <x v="7"/>
    <x v="34"/>
    <x v="108"/>
    <x v="10"/>
    <n v="0"/>
  </r>
  <r>
    <x v="4"/>
    <x v="2"/>
    <x v="7"/>
    <x v="34"/>
    <x v="108"/>
    <x v="11"/>
    <n v="0"/>
  </r>
  <r>
    <x v="1"/>
    <x v="5"/>
    <x v="1"/>
    <x v="2"/>
    <x v="109"/>
    <x v="0"/>
    <n v="2000"/>
  </r>
  <r>
    <x v="1"/>
    <x v="5"/>
    <x v="1"/>
    <x v="2"/>
    <x v="109"/>
    <x v="1"/>
    <n v="2000"/>
  </r>
  <r>
    <x v="1"/>
    <x v="5"/>
    <x v="1"/>
    <x v="2"/>
    <x v="109"/>
    <x v="2"/>
    <n v="2000"/>
  </r>
  <r>
    <x v="1"/>
    <x v="5"/>
    <x v="1"/>
    <x v="2"/>
    <x v="109"/>
    <x v="3"/>
    <n v="2000"/>
  </r>
  <r>
    <x v="1"/>
    <x v="5"/>
    <x v="1"/>
    <x v="2"/>
    <x v="109"/>
    <x v="4"/>
    <n v="2000"/>
  </r>
  <r>
    <x v="1"/>
    <x v="5"/>
    <x v="1"/>
    <x v="2"/>
    <x v="109"/>
    <x v="5"/>
    <n v="2000"/>
  </r>
  <r>
    <x v="1"/>
    <x v="5"/>
    <x v="1"/>
    <x v="2"/>
    <x v="109"/>
    <x v="6"/>
    <n v="2000"/>
  </r>
  <r>
    <x v="1"/>
    <x v="5"/>
    <x v="1"/>
    <x v="2"/>
    <x v="109"/>
    <x v="7"/>
    <n v="2000"/>
  </r>
  <r>
    <x v="1"/>
    <x v="5"/>
    <x v="1"/>
    <x v="2"/>
    <x v="109"/>
    <x v="8"/>
    <n v="2000"/>
  </r>
  <r>
    <x v="1"/>
    <x v="5"/>
    <x v="1"/>
    <x v="2"/>
    <x v="109"/>
    <x v="9"/>
    <n v="2000"/>
  </r>
  <r>
    <x v="1"/>
    <x v="5"/>
    <x v="1"/>
    <x v="2"/>
    <x v="109"/>
    <x v="10"/>
    <n v="2000"/>
  </r>
  <r>
    <x v="1"/>
    <x v="5"/>
    <x v="1"/>
    <x v="2"/>
    <x v="109"/>
    <x v="11"/>
    <n v="2000"/>
  </r>
  <r>
    <x v="1"/>
    <x v="5"/>
    <x v="4"/>
    <x v="20"/>
    <x v="110"/>
    <x v="0"/>
    <n v="0"/>
  </r>
  <r>
    <x v="1"/>
    <x v="5"/>
    <x v="4"/>
    <x v="20"/>
    <x v="110"/>
    <x v="1"/>
    <n v="0"/>
  </r>
  <r>
    <x v="1"/>
    <x v="5"/>
    <x v="4"/>
    <x v="20"/>
    <x v="110"/>
    <x v="2"/>
    <n v="5000"/>
  </r>
  <r>
    <x v="1"/>
    <x v="5"/>
    <x v="4"/>
    <x v="20"/>
    <x v="110"/>
    <x v="3"/>
    <n v="0"/>
  </r>
  <r>
    <x v="1"/>
    <x v="5"/>
    <x v="4"/>
    <x v="20"/>
    <x v="110"/>
    <x v="4"/>
    <n v="0"/>
  </r>
  <r>
    <x v="1"/>
    <x v="5"/>
    <x v="4"/>
    <x v="20"/>
    <x v="110"/>
    <x v="5"/>
    <n v="0"/>
  </r>
  <r>
    <x v="1"/>
    <x v="5"/>
    <x v="4"/>
    <x v="20"/>
    <x v="110"/>
    <x v="6"/>
    <n v="0"/>
  </r>
  <r>
    <x v="1"/>
    <x v="5"/>
    <x v="4"/>
    <x v="20"/>
    <x v="110"/>
    <x v="7"/>
    <n v="5000"/>
  </r>
  <r>
    <x v="1"/>
    <x v="5"/>
    <x v="4"/>
    <x v="20"/>
    <x v="110"/>
    <x v="8"/>
    <n v="0"/>
  </r>
  <r>
    <x v="1"/>
    <x v="5"/>
    <x v="4"/>
    <x v="20"/>
    <x v="110"/>
    <x v="9"/>
    <n v="0"/>
  </r>
  <r>
    <x v="1"/>
    <x v="5"/>
    <x v="4"/>
    <x v="20"/>
    <x v="110"/>
    <x v="10"/>
    <n v="0"/>
  </r>
  <r>
    <x v="1"/>
    <x v="5"/>
    <x v="4"/>
    <x v="20"/>
    <x v="110"/>
    <x v="11"/>
    <n v="0"/>
  </r>
  <r>
    <x v="1"/>
    <x v="5"/>
    <x v="4"/>
    <x v="35"/>
    <x v="111"/>
    <x v="0"/>
    <n v="3000"/>
  </r>
  <r>
    <x v="1"/>
    <x v="5"/>
    <x v="4"/>
    <x v="35"/>
    <x v="111"/>
    <x v="1"/>
    <n v="0"/>
  </r>
  <r>
    <x v="1"/>
    <x v="5"/>
    <x v="4"/>
    <x v="35"/>
    <x v="111"/>
    <x v="2"/>
    <n v="3000"/>
  </r>
  <r>
    <x v="1"/>
    <x v="5"/>
    <x v="4"/>
    <x v="35"/>
    <x v="111"/>
    <x v="3"/>
    <n v="0"/>
  </r>
  <r>
    <x v="1"/>
    <x v="5"/>
    <x v="4"/>
    <x v="35"/>
    <x v="111"/>
    <x v="4"/>
    <n v="0"/>
  </r>
  <r>
    <x v="1"/>
    <x v="5"/>
    <x v="4"/>
    <x v="35"/>
    <x v="111"/>
    <x v="5"/>
    <n v="1500"/>
  </r>
  <r>
    <x v="1"/>
    <x v="5"/>
    <x v="4"/>
    <x v="35"/>
    <x v="111"/>
    <x v="6"/>
    <n v="0"/>
  </r>
  <r>
    <x v="1"/>
    <x v="5"/>
    <x v="4"/>
    <x v="35"/>
    <x v="111"/>
    <x v="7"/>
    <n v="0"/>
  </r>
  <r>
    <x v="1"/>
    <x v="5"/>
    <x v="4"/>
    <x v="35"/>
    <x v="111"/>
    <x v="8"/>
    <n v="1500"/>
  </r>
  <r>
    <x v="1"/>
    <x v="5"/>
    <x v="4"/>
    <x v="35"/>
    <x v="111"/>
    <x v="9"/>
    <n v="0"/>
  </r>
  <r>
    <x v="1"/>
    <x v="5"/>
    <x v="4"/>
    <x v="35"/>
    <x v="111"/>
    <x v="10"/>
    <n v="0"/>
  </r>
  <r>
    <x v="1"/>
    <x v="5"/>
    <x v="4"/>
    <x v="35"/>
    <x v="111"/>
    <x v="11"/>
    <n v="0"/>
  </r>
  <r>
    <x v="1"/>
    <x v="5"/>
    <x v="4"/>
    <x v="20"/>
    <x v="112"/>
    <x v="0"/>
    <n v="1500"/>
  </r>
  <r>
    <x v="1"/>
    <x v="5"/>
    <x v="4"/>
    <x v="20"/>
    <x v="112"/>
    <x v="1"/>
    <n v="1500"/>
  </r>
  <r>
    <x v="1"/>
    <x v="5"/>
    <x v="4"/>
    <x v="20"/>
    <x v="112"/>
    <x v="2"/>
    <n v="1500"/>
  </r>
  <r>
    <x v="1"/>
    <x v="5"/>
    <x v="4"/>
    <x v="20"/>
    <x v="112"/>
    <x v="3"/>
    <n v="1500"/>
  </r>
  <r>
    <x v="1"/>
    <x v="5"/>
    <x v="4"/>
    <x v="20"/>
    <x v="112"/>
    <x v="4"/>
    <n v="1500"/>
  </r>
  <r>
    <x v="1"/>
    <x v="5"/>
    <x v="4"/>
    <x v="20"/>
    <x v="112"/>
    <x v="5"/>
    <n v="1500"/>
  </r>
  <r>
    <x v="1"/>
    <x v="5"/>
    <x v="4"/>
    <x v="20"/>
    <x v="112"/>
    <x v="6"/>
    <n v="1500"/>
  </r>
  <r>
    <x v="1"/>
    <x v="5"/>
    <x v="4"/>
    <x v="20"/>
    <x v="112"/>
    <x v="7"/>
    <n v="1500"/>
  </r>
  <r>
    <x v="1"/>
    <x v="5"/>
    <x v="4"/>
    <x v="20"/>
    <x v="112"/>
    <x v="8"/>
    <n v="1500"/>
  </r>
  <r>
    <x v="1"/>
    <x v="5"/>
    <x v="4"/>
    <x v="20"/>
    <x v="112"/>
    <x v="9"/>
    <n v="1500"/>
  </r>
  <r>
    <x v="1"/>
    <x v="5"/>
    <x v="4"/>
    <x v="20"/>
    <x v="112"/>
    <x v="10"/>
    <n v="1500"/>
  </r>
  <r>
    <x v="1"/>
    <x v="5"/>
    <x v="4"/>
    <x v="20"/>
    <x v="112"/>
    <x v="11"/>
    <n v="1500"/>
  </r>
  <r>
    <x v="1"/>
    <x v="5"/>
    <x v="4"/>
    <x v="20"/>
    <x v="113"/>
    <x v="0"/>
    <n v="0"/>
  </r>
  <r>
    <x v="1"/>
    <x v="5"/>
    <x v="4"/>
    <x v="20"/>
    <x v="113"/>
    <x v="1"/>
    <n v="0"/>
  </r>
  <r>
    <x v="1"/>
    <x v="5"/>
    <x v="4"/>
    <x v="20"/>
    <x v="113"/>
    <x v="2"/>
    <n v="0"/>
  </r>
  <r>
    <x v="1"/>
    <x v="5"/>
    <x v="4"/>
    <x v="20"/>
    <x v="113"/>
    <x v="3"/>
    <n v="0"/>
  </r>
  <r>
    <x v="1"/>
    <x v="5"/>
    <x v="4"/>
    <x v="20"/>
    <x v="113"/>
    <x v="4"/>
    <n v="0"/>
  </r>
  <r>
    <x v="1"/>
    <x v="5"/>
    <x v="4"/>
    <x v="20"/>
    <x v="113"/>
    <x v="5"/>
    <n v="12000"/>
  </r>
  <r>
    <x v="1"/>
    <x v="5"/>
    <x v="4"/>
    <x v="20"/>
    <x v="113"/>
    <x v="6"/>
    <n v="0"/>
  </r>
  <r>
    <x v="1"/>
    <x v="5"/>
    <x v="4"/>
    <x v="20"/>
    <x v="113"/>
    <x v="7"/>
    <n v="0"/>
  </r>
  <r>
    <x v="1"/>
    <x v="5"/>
    <x v="4"/>
    <x v="20"/>
    <x v="113"/>
    <x v="8"/>
    <n v="12000"/>
  </r>
  <r>
    <x v="1"/>
    <x v="5"/>
    <x v="4"/>
    <x v="20"/>
    <x v="113"/>
    <x v="9"/>
    <n v="0"/>
  </r>
  <r>
    <x v="1"/>
    <x v="5"/>
    <x v="4"/>
    <x v="20"/>
    <x v="113"/>
    <x v="10"/>
    <n v="0"/>
  </r>
  <r>
    <x v="1"/>
    <x v="5"/>
    <x v="4"/>
    <x v="20"/>
    <x v="113"/>
    <x v="11"/>
    <n v="0"/>
  </r>
  <r>
    <x v="3"/>
    <x v="5"/>
    <x v="4"/>
    <x v="20"/>
    <x v="114"/>
    <x v="0"/>
    <n v="0"/>
  </r>
  <r>
    <x v="3"/>
    <x v="5"/>
    <x v="4"/>
    <x v="20"/>
    <x v="114"/>
    <x v="1"/>
    <n v="800"/>
  </r>
  <r>
    <x v="3"/>
    <x v="5"/>
    <x v="4"/>
    <x v="20"/>
    <x v="114"/>
    <x v="2"/>
    <n v="0"/>
  </r>
  <r>
    <x v="3"/>
    <x v="5"/>
    <x v="4"/>
    <x v="20"/>
    <x v="114"/>
    <x v="3"/>
    <n v="800"/>
  </r>
  <r>
    <x v="3"/>
    <x v="5"/>
    <x v="4"/>
    <x v="20"/>
    <x v="114"/>
    <x v="4"/>
    <n v="0"/>
  </r>
  <r>
    <x v="3"/>
    <x v="5"/>
    <x v="4"/>
    <x v="20"/>
    <x v="114"/>
    <x v="5"/>
    <n v="800"/>
  </r>
  <r>
    <x v="3"/>
    <x v="5"/>
    <x v="4"/>
    <x v="20"/>
    <x v="114"/>
    <x v="6"/>
    <n v="0"/>
  </r>
  <r>
    <x v="3"/>
    <x v="5"/>
    <x v="4"/>
    <x v="20"/>
    <x v="114"/>
    <x v="7"/>
    <n v="800"/>
  </r>
  <r>
    <x v="3"/>
    <x v="5"/>
    <x v="4"/>
    <x v="20"/>
    <x v="114"/>
    <x v="8"/>
    <n v="0"/>
  </r>
  <r>
    <x v="3"/>
    <x v="5"/>
    <x v="4"/>
    <x v="20"/>
    <x v="114"/>
    <x v="9"/>
    <n v="800"/>
  </r>
  <r>
    <x v="3"/>
    <x v="5"/>
    <x v="4"/>
    <x v="20"/>
    <x v="114"/>
    <x v="10"/>
    <n v="0"/>
  </r>
  <r>
    <x v="3"/>
    <x v="5"/>
    <x v="4"/>
    <x v="20"/>
    <x v="114"/>
    <x v="11"/>
    <n v="800"/>
  </r>
  <r>
    <x v="1"/>
    <x v="5"/>
    <x v="4"/>
    <x v="20"/>
    <x v="115"/>
    <x v="0"/>
    <n v="0"/>
  </r>
  <r>
    <x v="1"/>
    <x v="5"/>
    <x v="4"/>
    <x v="20"/>
    <x v="115"/>
    <x v="1"/>
    <n v="20000"/>
  </r>
  <r>
    <x v="1"/>
    <x v="5"/>
    <x v="4"/>
    <x v="20"/>
    <x v="115"/>
    <x v="2"/>
    <n v="0"/>
  </r>
  <r>
    <x v="1"/>
    <x v="5"/>
    <x v="4"/>
    <x v="20"/>
    <x v="115"/>
    <x v="3"/>
    <n v="0"/>
  </r>
  <r>
    <x v="1"/>
    <x v="5"/>
    <x v="4"/>
    <x v="20"/>
    <x v="115"/>
    <x v="4"/>
    <n v="0"/>
  </r>
  <r>
    <x v="1"/>
    <x v="5"/>
    <x v="4"/>
    <x v="20"/>
    <x v="115"/>
    <x v="5"/>
    <n v="0"/>
  </r>
  <r>
    <x v="1"/>
    <x v="5"/>
    <x v="4"/>
    <x v="20"/>
    <x v="115"/>
    <x v="6"/>
    <n v="0"/>
  </r>
  <r>
    <x v="1"/>
    <x v="5"/>
    <x v="4"/>
    <x v="20"/>
    <x v="115"/>
    <x v="7"/>
    <n v="0"/>
  </r>
  <r>
    <x v="1"/>
    <x v="5"/>
    <x v="4"/>
    <x v="20"/>
    <x v="115"/>
    <x v="8"/>
    <n v="0"/>
  </r>
  <r>
    <x v="1"/>
    <x v="5"/>
    <x v="4"/>
    <x v="20"/>
    <x v="115"/>
    <x v="9"/>
    <n v="0"/>
  </r>
  <r>
    <x v="1"/>
    <x v="5"/>
    <x v="4"/>
    <x v="20"/>
    <x v="115"/>
    <x v="10"/>
    <n v="0"/>
  </r>
  <r>
    <x v="1"/>
    <x v="5"/>
    <x v="4"/>
    <x v="20"/>
    <x v="115"/>
    <x v="11"/>
    <n v="0"/>
  </r>
  <r>
    <x v="3"/>
    <x v="5"/>
    <x v="4"/>
    <x v="20"/>
    <x v="116"/>
    <x v="0"/>
    <n v="0"/>
  </r>
  <r>
    <x v="3"/>
    <x v="5"/>
    <x v="4"/>
    <x v="20"/>
    <x v="116"/>
    <x v="1"/>
    <n v="0"/>
  </r>
  <r>
    <x v="3"/>
    <x v="5"/>
    <x v="4"/>
    <x v="20"/>
    <x v="116"/>
    <x v="2"/>
    <n v="0"/>
  </r>
  <r>
    <x v="3"/>
    <x v="5"/>
    <x v="4"/>
    <x v="20"/>
    <x v="116"/>
    <x v="3"/>
    <n v="0"/>
  </r>
  <r>
    <x v="3"/>
    <x v="5"/>
    <x v="4"/>
    <x v="20"/>
    <x v="116"/>
    <x v="4"/>
    <n v="0"/>
  </r>
  <r>
    <x v="3"/>
    <x v="5"/>
    <x v="4"/>
    <x v="20"/>
    <x v="116"/>
    <x v="5"/>
    <n v="0"/>
  </r>
  <r>
    <x v="3"/>
    <x v="5"/>
    <x v="4"/>
    <x v="20"/>
    <x v="116"/>
    <x v="6"/>
    <n v="0"/>
  </r>
  <r>
    <x v="3"/>
    <x v="5"/>
    <x v="4"/>
    <x v="20"/>
    <x v="116"/>
    <x v="7"/>
    <n v="0"/>
  </r>
  <r>
    <x v="3"/>
    <x v="5"/>
    <x v="4"/>
    <x v="20"/>
    <x v="116"/>
    <x v="8"/>
    <n v="0"/>
  </r>
  <r>
    <x v="3"/>
    <x v="5"/>
    <x v="4"/>
    <x v="20"/>
    <x v="116"/>
    <x v="9"/>
    <n v="0"/>
  </r>
  <r>
    <x v="3"/>
    <x v="5"/>
    <x v="4"/>
    <x v="20"/>
    <x v="116"/>
    <x v="10"/>
    <n v="1500"/>
  </r>
  <r>
    <x v="3"/>
    <x v="5"/>
    <x v="4"/>
    <x v="20"/>
    <x v="116"/>
    <x v="11"/>
    <n v="0"/>
  </r>
  <r>
    <x v="1"/>
    <x v="5"/>
    <x v="7"/>
    <x v="34"/>
    <x v="117"/>
    <x v="0"/>
    <n v="5000"/>
  </r>
  <r>
    <x v="1"/>
    <x v="5"/>
    <x v="7"/>
    <x v="34"/>
    <x v="117"/>
    <x v="1"/>
    <n v="5000"/>
  </r>
  <r>
    <x v="1"/>
    <x v="5"/>
    <x v="7"/>
    <x v="34"/>
    <x v="117"/>
    <x v="2"/>
    <n v="5000"/>
  </r>
  <r>
    <x v="1"/>
    <x v="5"/>
    <x v="7"/>
    <x v="34"/>
    <x v="117"/>
    <x v="3"/>
    <n v="0"/>
  </r>
  <r>
    <x v="1"/>
    <x v="5"/>
    <x v="7"/>
    <x v="34"/>
    <x v="117"/>
    <x v="4"/>
    <n v="0"/>
  </r>
  <r>
    <x v="1"/>
    <x v="5"/>
    <x v="7"/>
    <x v="34"/>
    <x v="117"/>
    <x v="5"/>
    <n v="0"/>
  </r>
  <r>
    <x v="1"/>
    <x v="5"/>
    <x v="7"/>
    <x v="34"/>
    <x v="117"/>
    <x v="6"/>
    <n v="0"/>
  </r>
  <r>
    <x v="1"/>
    <x v="5"/>
    <x v="7"/>
    <x v="34"/>
    <x v="117"/>
    <x v="7"/>
    <n v="0"/>
  </r>
  <r>
    <x v="1"/>
    <x v="5"/>
    <x v="7"/>
    <x v="34"/>
    <x v="117"/>
    <x v="8"/>
    <n v="0"/>
  </r>
  <r>
    <x v="1"/>
    <x v="5"/>
    <x v="7"/>
    <x v="34"/>
    <x v="117"/>
    <x v="9"/>
    <n v="0"/>
  </r>
  <r>
    <x v="1"/>
    <x v="5"/>
    <x v="7"/>
    <x v="34"/>
    <x v="117"/>
    <x v="10"/>
    <n v="0"/>
  </r>
  <r>
    <x v="1"/>
    <x v="5"/>
    <x v="7"/>
    <x v="34"/>
    <x v="117"/>
    <x v="11"/>
    <n v="0"/>
  </r>
  <r>
    <x v="3"/>
    <x v="5"/>
    <x v="5"/>
    <x v="29"/>
    <x v="118"/>
    <x v="0"/>
    <n v="0"/>
  </r>
  <r>
    <x v="3"/>
    <x v="5"/>
    <x v="5"/>
    <x v="29"/>
    <x v="118"/>
    <x v="1"/>
    <n v="0"/>
  </r>
  <r>
    <x v="3"/>
    <x v="5"/>
    <x v="5"/>
    <x v="29"/>
    <x v="118"/>
    <x v="2"/>
    <n v="0"/>
  </r>
  <r>
    <x v="3"/>
    <x v="5"/>
    <x v="5"/>
    <x v="29"/>
    <x v="118"/>
    <x v="3"/>
    <n v="2000"/>
  </r>
  <r>
    <x v="3"/>
    <x v="5"/>
    <x v="5"/>
    <x v="29"/>
    <x v="118"/>
    <x v="4"/>
    <n v="0"/>
  </r>
  <r>
    <x v="3"/>
    <x v="5"/>
    <x v="5"/>
    <x v="29"/>
    <x v="118"/>
    <x v="5"/>
    <n v="0"/>
  </r>
  <r>
    <x v="3"/>
    <x v="5"/>
    <x v="5"/>
    <x v="29"/>
    <x v="118"/>
    <x v="6"/>
    <n v="0"/>
  </r>
  <r>
    <x v="3"/>
    <x v="5"/>
    <x v="5"/>
    <x v="29"/>
    <x v="118"/>
    <x v="7"/>
    <n v="0"/>
  </r>
  <r>
    <x v="3"/>
    <x v="5"/>
    <x v="5"/>
    <x v="29"/>
    <x v="118"/>
    <x v="8"/>
    <n v="0"/>
  </r>
  <r>
    <x v="3"/>
    <x v="5"/>
    <x v="5"/>
    <x v="29"/>
    <x v="118"/>
    <x v="9"/>
    <n v="2000"/>
  </r>
  <r>
    <x v="3"/>
    <x v="5"/>
    <x v="5"/>
    <x v="29"/>
    <x v="118"/>
    <x v="10"/>
    <n v="0"/>
  </r>
  <r>
    <x v="3"/>
    <x v="5"/>
    <x v="5"/>
    <x v="29"/>
    <x v="118"/>
    <x v="11"/>
    <n v="0"/>
  </r>
  <r>
    <x v="3"/>
    <x v="5"/>
    <x v="5"/>
    <x v="29"/>
    <x v="119"/>
    <x v="0"/>
    <n v="1500"/>
  </r>
  <r>
    <x v="3"/>
    <x v="5"/>
    <x v="5"/>
    <x v="29"/>
    <x v="119"/>
    <x v="1"/>
    <n v="1500"/>
  </r>
  <r>
    <x v="3"/>
    <x v="5"/>
    <x v="5"/>
    <x v="29"/>
    <x v="119"/>
    <x v="2"/>
    <n v="1500"/>
  </r>
  <r>
    <x v="3"/>
    <x v="5"/>
    <x v="5"/>
    <x v="29"/>
    <x v="119"/>
    <x v="3"/>
    <n v="1500"/>
  </r>
  <r>
    <x v="3"/>
    <x v="5"/>
    <x v="5"/>
    <x v="29"/>
    <x v="119"/>
    <x v="4"/>
    <n v="1500"/>
  </r>
  <r>
    <x v="3"/>
    <x v="5"/>
    <x v="5"/>
    <x v="29"/>
    <x v="119"/>
    <x v="5"/>
    <n v="1500"/>
  </r>
  <r>
    <x v="3"/>
    <x v="5"/>
    <x v="5"/>
    <x v="29"/>
    <x v="119"/>
    <x v="6"/>
    <n v="1500"/>
  </r>
  <r>
    <x v="3"/>
    <x v="5"/>
    <x v="5"/>
    <x v="29"/>
    <x v="119"/>
    <x v="7"/>
    <n v="1500"/>
  </r>
  <r>
    <x v="3"/>
    <x v="5"/>
    <x v="5"/>
    <x v="29"/>
    <x v="119"/>
    <x v="8"/>
    <n v="1500"/>
  </r>
  <r>
    <x v="3"/>
    <x v="5"/>
    <x v="5"/>
    <x v="29"/>
    <x v="119"/>
    <x v="9"/>
    <n v="1500"/>
  </r>
  <r>
    <x v="3"/>
    <x v="5"/>
    <x v="5"/>
    <x v="29"/>
    <x v="119"/>
    <x v="10"/>
    <n v="1500"/>
  </r>
  <r>
    <x v="3"/>
    <x v="5"/>
    <x v="5"/>
    <x v="29"/>
    <x v="119"/>
    <x v="11"/>
    <n v="1500"/>
  </r>
  <r>
    <x v="1"/>
    <x v="5"/>
    <x v="6"/>
    <x v="5"/>
    <x v="120"/>
    <x v="0"/>
    <n v="0"/>
  </r>
  <r>
    <x v="1"/>
    <x v="5"/>
    <x v="6"/>
    <x v="5"/>
    <x v="120"/>
    <x v="1"/>
    <n v="0"/>
  </r>
  <r>
    <x v="1"/>
    <x v="5"/>
    <x v="6"/>
    <x v="5"/>
    <x v="120"/>
    <x v="2"/>
    <n v="0"/>
  </r>
  <r>
    <x v="1"/>
    <x v="5"/>
    <x v="6"/>
    <x v="5"/>
    <x v="120"/>
    <x v="3"/>
    <n v="0"/>
  </r>
  <r>
    <x v="1"/>
    <x v="5"/>
    <x v="6"/>
    <x v="5"/>
    <x v="120"/>
    <x v="4"/>
    <n v="0"/>
  </r>
  <r>
    <x v="1"/>
    <x v="5"/>
    <x v="6"/>
    <x v="5"/>
    <x v="120"/>
    <x v="5"/>
    <n v="10000"/>
  </r>
  <r>
    <x v="1"/>
    <x v="5"/>
    <x v="6"/>
    <x v="5"/>
    <x v="120"/>
    <x v="6"/>
    <n v="0"/>
  </r>
  <r>
    <x v="1"/>
    <x v="5"/>
    <x v="6"/>
    <x v="5"/>
    <x v="120"/>
    <x v="7"/>
    <n v="0"/>
  </r>
  <r>
    <x v="1"/>
    <x v="5"/>
    <x v="6"/>
    <x v="5"/>
    <x v="120"/>
    <x v="8"/>
    <n v="0"/>
  </r>
  <r>
    <x v="1"/>
    <x v="5"/>
    <x v="6"/>
    <x v="5"/>
    <x v="120"/>
    <x v="9"/>
    <n v="0"/>
  </r>
  <r>
    <x v="1"/>
    <x v="5"/>
    <x v="6"/>
    <x v="5"/>
    <x v="120"/>
    <x v="10"/>
    <n v="0"/>
  </r>
  <r>
    <x v="1"/>
    <x v="5"/>
    <x v="6"/>
    <x v="5"/>
    <x v="120"/>
    <x v="11"/>
    <n v="0"/>
  </r>
  <r>
    <x v="1"/>
    <x v="2"/>
    <x v="4"/>
    <x v="20"/>
    <x v="121"/>
    <x v="0"/>
    <n v="14000"/>
  </r>
  <r>
    <x v="1"/>
    <x v="2"/>
    <x v="4"/>
    <x v="20"/>
    <x v="121"/>
    <x v="1"/>
    <n v="14000"/>
  </r>
  <r>
    <x v="1"/>
    <x v="2"/>
    <x v="4"/>
    <x v="20"/>
    <x v="121"/>
    <x v="2"/>
    <n v="0"/>
  </r>
  <r>
    <x v="1"/>
    <x v="2"/>
    <x v="4"/>
    <x v="20"/>
    <x v="121"/>
    <x v="3"/>
    <n v="0"/>
  </r>
  <r>
    <x v="1"/>
    <x v="2"/>
    <x v="4"/>
    <x v="20"/>
    <x v="121"/>
    <x v="4"/>
    <n v="0"/>
  </r>
  <r>
    <x v="1"/>
    <x v="2"/>
    <x v="4"/>
    <x v="20"/>
    <x v="121"/>
    <x v="5"/>
    <n v="0"/>
  </r>
  <r>
    <x v="1"/>
    <x v="2"/>
    <x v="4"/>
    <x v="20"/>
    <x v="121"/>
    <x v="6"/>
    <n v="0"/>
  </r>
  <r>
    <x v="1"/>
    <x v="2"/>
    <x v="4"/>
    <x v="20"/>
    <x v="121"/>
    <x v="7"/>
    <n v="0"/>
  </r>
  <r>
    <x v="1"/>
    <x v="2"/>
    <x v="4"/>
    <x v="20"/>
    <x v="121"/>
    <x v="8"/>
    <n v="0"/>
  </r>
  <r>
    <x v="1"/>
    <x v="2"/>
    <x v="4"/>
    <x v="20"/>
    <x v="121"/>
    <x v="9"/>
    <n v="0"/>
  </r>
  <r>
    <x v="1"/>
    <x v="2"/>
    <x v="4"/>
    <x v="20"/>
    <x v="121"/>
    <x v="10"/>
    <n v="0"/>
  </r>
  <r>
    <x v="1"/>
    <x v="2"/>
    <x v="4"/>
    <x v="20"/>
    <x v="121"/>
    <x v="11"/>
    <n v="0"/>
  </r>
  <r>
    <x v="1"/>
    <x v="2"/>
    <x v="4"/>
    <x v="20"/>
    <x v="122"/>
    <x v="0"/>
    <n v="0"/>
  </r>
  <r>
    <x v="1"/>
    <x v="2"/>
    <x v="4"/>
    <x v="20"/>
    <x v="122"/>
    <x v="1"/>
    <n v="0"/>
  </r>
  <r>
    <x v="1"/>
    <x v="2"/>
    <x v="4"/>
    <x v="20"/>
    <x v="122"/>
    <x v="2"/>
    <n v="8000"/>
  </r>
  <r>
    <x v="1"/>
    <x v="2"/>
    <x v="4"/>
    <x v="20"/>
    <x v="122"/>
    <x v="3"/>
    <n v="0"/>
  </r>
  <r>
    <x v="1"/>
    <x v="2"/>
    <x v="4"/>
    <x v="20"/>
    <x v="122"/>
    <x v="4"/>
    <n v="0"/>
  </r>
  <r>
    <x v="1"/>
    <x v="2"/>
    <x v="4"/>
    <x v="20"/>
    <x v="122"/>
    <x v="5"/>
    <n v="0"/>
  </r>
  <r>
    <x v="1"/>
    <x v="2"/>
    <x v="4"/>
    <x v="20"/>
    <x v="122"/>
    <x v="6"/>
    <n v="0"/>
  </r>
  <r>
    <x v="1"/>
    <x v="2"/>
    <x v="4"/>
    <x v="20"/>
    <x v="122"/>
    <x v="7"/>
    <n v="8000"/>
  </r>
  <r>
    <x v="1"/>
    <x v="2"/>
    <x v="4"/>
    <x v="20"/>
    <x v="122"/>
    <x v="8"/>
    <n v="0"/>
  </r>
  <r>
    <x v="1"/>
    <x v="2"/>
    <x v="4"/>
    <x v="20"/>
    <x v="122"/>
    <x v="9"/>
    <n v="0"/>
  </r>
  <r>
    <x v="1"/>
    <x v="2"/>
    <x v="4"/>
    <x v="20"/>
    <x v="122"/>
    <x v="10"/>
    <n v="0"/>
  </r>
  <r>
    <x v="1"/>
    <x v="2"/>
    <x v="4"/>
    <x v="20"/>
    <x v="122"/>
    <x v="11"/>
    <n v="0"/>
  </r>
  <r>
    <x v="3"/>
    <x v="2"/>
    <x v="4"/>
    <x v="20"/>
    <x v="123"/>
    <x v="0"/>
    <n v="3000"/>
  </r>
  <r>
    <x v="3"/>
    <x v="2"/>
    <x v="4"/>
    <x v="20"/>
    <x v="123"/>
    <x v="1"/>
    <n v="0"/>
  </r>
  <r>
    <x v="3"/>
    <x v="2"/>
    <x v="4"/>
    <x v="20"/>
    <x v="123"/>
    <x v="2"/>
    <n v="0"/>
  </r>
  <r>
    <x v="3"/>
    <x v="2"/>
    <x v="4"/>
    <x v="20"/>
    <x v="123"/>
    <x v="3"/>
    <n v="0"/>
  </r>
  <r>
    <x v="3"/>
    <x v="2"/>
    <x v="4"/>
    <x v="20"/>
    <x v="123"/>
    <x v="4"/>
    <n v="0"/>
  </r>
  <r>
    <x v="3"/>
    <x v="2"/>
    <x v="4"/>
    <x v="20"/>
    <x v="123"/>
    <x v="5"/>
    <n v="0"/>
  </r>
  <r>
    <x v="3"/>
    <x v="2"/>
    <x v="4"/>
    <x v="20"/>
    <x v="123"/>
    <x v="6"/>
    <n v="0"/>
  </r>
  <r>
    <x v="3"/>
    <x v="2"/>
    <x v="4"/>
    <x v="20"/>
    <x v="123"/>
    <x v="7"/>
    <n v="0"/>
  </r>
  <r>
    <x v="3"/>
    <x v="2"/>
    <x v="4"/>
    <x v="20"/>
    <x v="123"/>
    <x v="8"/>
    <n v="0"/>
  </r>
  <r>
    <x v="3"/>
    <x v="2"/>
    <x v="4"/>
    <x v="20"/>
    <x v="123"/>
    <x v="9"/>
    <n v="0"/>
  </r>
  <r>
    <x v="3"/>
    <x v="2"/>
    <x v="4"/>
    <x v="20"/>
    <x v="123"/>
    <x v="10"/>
    <n v="0"/>
  </r>
  <r>
    <x v="3"/>
    <x v="2"/>
    <x v="4"/>
    <x v="20"/>
    <x v="123"/>
    <x v="11"/>
    <n v="0"/>
  </r>
  <r>
    <x v="1"/>
    <x v="2"/>
    <x v="4"/>
    <x v="20"/>
    <x v="124"/>
    <x v="0"/>
    <n v="0"/>
  </r>
  <r>
    <x v="1"/>
    <x v="2"/>
    <x v="4"/>
    <x v="20"/>
    <x v="124"/>
    <x v="1"/>
    <n v="3000"/>
  </r>
  <r>
    <x v="1"/>
    <x v="2"/>
    <x v="4"/>
    <x v="20"/>
    <x v="124"/>
    <x v="2"/>
    <n v="0"/>
  </r>
  <r>
    <x v="1"/>
    <x v="2"/>
    <x v="4"/>
    <x v="20"/>
    <x v="124"/>
    <x v="3"/>
    <n v="0"/>
  </r>
  <r>
    <x v="1"/>
    <x v="2"/>
    <x v="4"/>
    <x v="20"/>
    <x v="124"/>
    <x v="4"/>
    <n v="0"/>
  </r>
  <r>
    <x v="1"/>
    <x v="2"/>
    <x v="4"/>
    <x v="20"/>
    <x v="124"/>
    <x v="5"/>
    <n v="0"/>
  </r>
  <r>
    <x v="1"/>
    <x v="2"/>
    <x v="4"/>
    <x v="20"/>
    <x v="124"/>
    <x v="6"/>
    <n v="0"/>
  </r>
  <r>
    <x v="1"/>
    <x v="2"/>
    <x v="4"/>
    <x v="20"/>
    <x v="124"/>
    <x v="7"/>
    <n v="0"/>
  </r>
  <r>
    <x v="1"/>
    <x v="2"/>
    <x v="4"/>
    <x v="20"/>
    <x v="124"/>
    <x v="8"/>
    <n v="0"/>
  </r>
  <r>
    <x v="1"/>
    <x v="2"/>
    <x v="4"/>
    <x v="20"/>
    <x v="124"/>
    <x v="9"/>
    <n v="0"/>
  </r>
  <r>
    <x v="1"/>
    <x v="2"/>
    <x v="4"/>
    <x v="20"/>
    <x v="124"/>
    <x v="10"/>
    <n v="0"/>
  </r>
  <r>
    <x v="1"/>
    <x v="2"/>
    <x v="4"/>
    <x v="20"/>
    <x v="124"/>
    <x v="11"/>
    <n v="0"/>
  </r>
  <r>
    <x v="1"/>
    <x v="2"/>
    <x v="4"/>
    <x v="20"/>
    <x v="125"/>
    <x v="0"/>
    <n v="2000"/>
  </r>
  <r>
    <x v="1"/>
    <x v="2"/>
    <x v="4"/>
    <x v="20"/>
    <x v="125"/>
    <x v="1"/>
    <n v="2000"/>
  </r>
  <r>
    <x v="1"/>
    <x v="2"/>
    <x v="4"/>
    <x v="20"/>
    <x v="125"/>
    <x v="2"/>
    <n v="2000"/>
  </r>
  <r>
    <x v="1"/>
    <x v="2"/>
    <x v="4"/>
    <x v="20"/>
    <x v="125"/>
    <x v="3"/>
    <n v="2000"/>
  </r>
  <r>
    <x v="1"/>
    <x v="2"/>
    <x v="4"/>
    <x v="20"/>
    <x v="125"/>
    <x v="4"/>
    <n v="2000"/>
  </r>
  <r>
    <x v="1"/>
    <x v="2"/>
    <x v="4"/>
    <x v="20"/>
    <x v="125"/>
    <x v="5"/>
    <n v="2000"/>
  </r>
  <r>
    <x v="1"/>
    <x v="2"/>
    <x v="4"/>
    <x v="20"/>
    <x v="125"/>
    <x v="6"/>
    <n v="2000"/>
  </r>
  <r>
    <x v="1"/>
    <x v="2"/>
    <x v="4"/>
    <x v="20"/>
    <x v="125"/>
    <x v="7"/>
    <n v="2000"/>
  </r>
  <r>
    <x v="1"/>
    <x v="2"/>
    <x v="4"/>
    <x v="20"/>
    <x v="125"/>
    <x v="8"/>
    <n v="2000"/>
  </r>
  <r>
    <x v="1"/>
    <x v="2"/>
    <x v="4"/>
    <x v="20"/>
    <x v="125"/>
    <x v="9"/>
    <n v="2000"/>
  </r>
  <r>
    <x v="1"/>
    <x v="2"/>
    <x v="4"/>
    <x v="20"/>
    <x v="125"/>
    <x v="10"/>
    <n v="2000"/>
  </r>
  <r>
    <x v="1"/>
    <x v="2"/>
    <x v="4"/>
    <x v="20"/>
    <x v="125"/>
    <x v="11"/>
    <n v="2000"/>
  </r>
  <r>
    <x v="1"/>
    <x v="2"/>
    <x v="5"/>
    <x v="29"/>
    <x v="126"/>
    <x v="0"/>
    <n v="0"/>
  </r>
  <r>
    <x v="1"/>
    <x v="2"/>
    <x v="5"/>
    <x v="29"/>
    <x v="126"/>
    <x v="1"/>
    <n v="3000"/>
  </r>
  <r>
    <x v="1"/>
    <x v="2"/>
    <x v="5"/>
    <x v="29"/>
    <x v="126"/>
    <x v="2"/>
    <n v="0"/>
  </r>
  <r>
    <x v="1"/>
    <x v="2"/>
    <x v="5"/>
    <x v="29"/>
    <x v="126"/>
    <x v="3"/>
    <n v="0"/>
  </r>
  <r>
    <x v="1"/>
    <x v="2"/>
    <x v="5"/>
    <x v="29"/>
    <x v="126"/>
    <x v="4"/>
    <n v="0"/>
  </r>
  <r>
    <x v="1"/>
    <x v="2"/>
    <x v="5"/>
    <x v="29"/>
    <x v="126"/>
    <x v="5"/>
    <n v="3000"/>
  </r>
  <r>
    <x v="1"/>
    <x v="2"/>
    <x v="5"/>
    <x v="29"/>
    <x v="126"/>
    <x v="6"/>
    <n v="0"/>
  </r>
  <r>
    <x v="1"/>
    <x v="2"/>
    <x v="5"/>
    <x v="29"/>
    <x v="126"/>
    <x v="7"/>
    <n v="0"/>
  </r>
  <r>
    <x v="1"/>
    <x v="2"/>
    <x v="5"/>
    <x v="29"/>
    <x v="126"/>
    <x v="8"/>
    <n v="0"/>
  </r>
  <r>
    <x v="1"/>
    <x v="2"/>
    <x v="5"/>
    <x v="29"/>
    <x v="126"/>
    <x v="9"/>
    <n v="3000"/>
  </r>
  <r>
    <x v="1"/>
    <x v="2"/>
    <x v="5"/>
    <x v="29"/>
    <x v="126"/>
    <x v="10"/>
    <n v="0"/>
  </r>
  <r>
    <x v="1"/>
    <x v="2"/>
    <x v="5"/>
    <x v="29"/>
    <x v="126"/>
    <x v="11"/>
    <n v="0"/>
  </r>
  <r>
    <x v="1"/>
    <x v="5"/>
    <x v="5"/>
    <x v="29"/>
    <x v="127"/>
    <x v="0"/>
    <n v="0"/>
  </r>
  <r>
    <x v="1"/>
    <x v="5"/>
    <x v="5"/>
    <x v="29"/>
    <x v="127"/>
    <x v="1"/>
    <n v="0"/>
  </r>
  <r>
    <x v="1"/>
    <x v="5"/>
    <x v="5"/>
    <x v="29"/>
    <x v="127"/>
    <x v="2"/>
    <n v="5000"/>
  </r>
  <r>
    <x v="1"/>
    <x v="5"/>
    <x v="5"/>
    <x v="29"/>
    <x v="127"/>
    <x v="3"/>
    <n v="0"/>
  </r>
  <r>
    <x v="1"/>
    <x v="5"/>
    <x v="5"/>
    <x v="29"/>
    <x v="127"/>
    <x v="4"/>
    <n v="0"/>
  </r>
  <r>
    <x v="1"/>
    <x v="5"/>
    <x v="5"/>
    <x v="29"/>
    <x v="127"/>
    <x v="5"/>
    <n v="0"/>
  </r>
  <r>
    <x v="1"/>
    <x v="5"/>
    <x v="5"/>
    <x v="29"/>
    <x v="127"/>
    <x v="6"/>
    <n v="0"/>
  </r>
  <r>
    <x v="1"/>
    <x v="5"/>
    <x v="5"/>
    <x v="29"/>
    <x v="127"/>
    <x v="7"/>
    <n v="0"/>
  </r>
  <r>
    <x v="1"/>
    <x v="5"/>
    <x v="5"/>
    <x v="29"/>
    <x v="127"/>
    <x v="8"/>
    <n v="0"/>
  </r>
  <r>
    <x v="1"/>
    <x v="5"/>
    <x v="5"/>
    <x v="29"/>
    <x v="127"/>
    <x v="9"/>
    <n v="0"/>
  </r>
  <r>
    <x v="1"/>
    <x v="5"/>
    <x v="5"/>
    <x v="29"/>
    <x v="127"/>
    <x v="10"/>
    <n v="0"/>
  </r>
  <r>
    <x v="1"/>
    <x v="5"/>
    <x v="5"/>
    <x v="29"/>
    <x v="127"/>
    <x v="11"/>
    <n v="0"/>
  </r>
  <r>
    <x v="1"/>
    <x v="2"/>
    <x v="4"/>
    <x v="20"/>
    <x v="128"/>
    <x v="0"/>
    <n v="150"/>
  </r>
  <r>
    <x v="1"/>
    <x v="2"/>
    <x v="4"/>
    <x v="20"/>
    <x v="128"/>
    <x v="1"/>
    <n v="150"/>
  </r>
  <r>
    <x v="1"/>
    <x v="2"/>
    <x v="4"/>
    <x v="20"/>
    <x v="128"/>
    <x v="2"/>
    <n v="150"/>
  </r>
  <r>
    <x v="1"/>
    <x v="2"/>
    <x v="4"/>
    <x v="20"/>
    <x v="128"/>
    <x v="3"/>
    <n v="150"/>
  </r>
  <r>
    <x v="1"/>
    <x v="2"/>
    <x v="4"/>
    <x v="20"/>
    <x v="128"/>
    <x v="4"/>
    <n v="150"/>
  </r>
  <r>
    <x v="1"/>
    <x v="2"/>
    <x v="4"/>
    <x v="20"/>
    <x v="128"/>
    <x v="5"/>
    <n v="150"/>
  </r>
  <r>
    <x v="1"/>
    <x v="2"/>
    <x v="4"/>
    <x v="20"/>
    <x v="128"/>
    <x v="6"/>
    <n v="150"/>
  </r>
  <r>
    <x v="1"/>
    <x v="2"/>
    <x v="4"/>
    <x v="20"/>
    <x v="128"/>
    <x v="7"/>
    <n v="150"/>
  </r>
  <r>
    <x v="1"/>
    <x v="2"/>
    <x v="4"/>
    <x v="20"/>
    <x v="128"/>
    <x v="8"/>
    <n v="150"/>
  </r>
  <r>
    <x v="1"/>
    <x v="2"/>
    <x v="4"/>
    <x v="20"/>
    <x v="128"/>
    <x v="9"/>
    <n v="150"/>
  </r>
  <r>
    <x v="1"/>
    <x v="2"/>
    <x v="4"/>
    <x v="20"/>
    <x v="128"/>
    <x v="10"/>
    <n v="150"/>
  </r>
  <r>
    <x v="1"/>
    <x v="2"/>
    <x v="4"/>
    <x v="20"/>
    <x v="128"/>
    <x v="11"/>
    <n v="150"/>
  </r>
  <r>
    <x v="1"/>
    <x v="2"/>
    <x v="4"/>
    <x v="20"/>
    <x v="129"/>
    <x v="0"/>
    <n v="0"/>
  </r>
  <r>
    <x v="1"/>
    <x v="2"/>
    <x v="4"/>
    <x v="20"/>
    <x v="129"/>
    <x v="1"/>
    <n v="2500"/>
  </r>
  <r>
    <x v="1"/>
    <x v="2"/>
    <x v="4"/>
    <x v="20"/>
    <x v="129"/>
    <x v="2"/>
    <n v="0"/>
  </r>
  <r>
    <x v="1"/>
    <x v="2"/>
    <x v="4"/>
    <x v="20"/>
    <x v="129"/>
    <x v="3"/>
    <n v="0"/>
  </r>
  <r>
    <x v="1"/>
    <x v="2"/>
    <x v="4"/>
    <x v="20"/>
    <x v="129"/>
    <x v="4"/>
    <n v="0"/>
  </r>
  <r>
    <x v="1"/>
    <x v="2"/>
    <x v="4"/>
    <x v="20"/>
    <x v="129"/>
    <x v="5"/>
    <n v="0"/>
  </r>
  <r>
    <x v="1"/>
    <x v="2"/>
    <x v="4"/>
    <x v="20"/>
    <x v="129"/>
    <x v="6"/>
    <n v="0"/>
  </r>
  <r>
    <x v="1"/>
    <x v="2"/>
    <x v="4"/>
    <x v="20"/>
    <x v="129"/>
    <x v="7"/>
    <n v="0"/>
  </r>
  <r>
    <x v="1"/>
    <x v="2"/>
    <x v="4"/>
    <x v="20"/>
    <x v="129"/>
    <x v="8"/>
    <n v="0"/>
  </r>
  <r>
    <x v="1"/>
    <x v="2"/>
    <x v="4"/>
    <x v="20"/>
    <x v="129"/>
    <x v="9"/>
    <n v="0"/>
  </r>
  <r>
    <x v="1"/>
    <x v="2"/>
    <x v="4"/>
    <x v="20"/>
    <x v="129"/>
    <x v="10"/>
    <n v="0"/>
  </r>
  <r>
    <x v="1"/>
    <x v="2"/>
    <x v="4"/>
    <x v="20"/>
    <x v="129"/>
    <x v="11"/>
    <n v="0"/>
  </r>
  <r>
    <x v="1"/>
    <x v="2"/>
    <x v="4"/>
    <x v="20"/>
    <x v="130"/>
    <x v="0"/>
    <n v="0"/>
  </r>
  <r>
    <x v="1"/>
    <x v="2"/>
    <x v="4"/>
    <x v="20"/>
    <x v="130"/>
    <x v="1"/>
    <n v="0"/>
  </r>
  <r>
    <x v="1"/>
    <x v="2"/>
    <x v="4"/>
    <x v="20"/>
    <x v="130"/>
    <x v="2"/>
    <n v="1000"/>
  </r>
  <r>
    <x v="1"/>
    <x v="2"/>
    <x v="4"/>
    <x v="20"/>
    <x v="130"/>
    <x v="3"/>
    <n v="0"/>
  </r>
  <r>
    <x v="1"/>
    <x v="2"/>
    <x v="4"/>
    <x v="20"/>
    <x v="130"/>
    <x v="4"/>
    <n v="0"/>
  </r>
  <r>
    <x v="1"/>
    <x v="2"/>
    <x v="4"/>
    <x v="20"/>
    <x v="130"/>
    <x v="5"/>
    <n v="0"/>
  </r>
  <r>
    <x v="1"/>
    <x v="2"/>
    <x v="4"/>
    <x v="20"/>
    <x v="130"/>
    <x v="6"/>
    <n v="0"/>
  </r>
  <r>
    <x v="1"/>
    <x v="2"/>
    <x v="4"/>
    <x v="20"/>
    <x v="130"/>
    <x v="7"/>
    <n v="0"/>
  </r>
  <r>
    <x v="1"/>
    <x v="2"/>
    <x v="4"/>
    <x v="20"/>
    <x v="130"/>
    <x v="8"/>
    <n v="0"/>
  </r>
  <r>
    <x v="1"/>
    <x v="2"/>
    <x v="4"/>
    <x v="20"/>
    <x v="130"/>
    <x v="9"/>
    <n v="0"/>
  </r>
  <r>
    <x v="1"/>
    <x v="2"/>
    <x v="4"/>
    <x v="20"/>
    <x v="130"/>
    <x v="10"/>
    <n v="0"/>
  </r>
  <r>
    <x v="1"/>
    <x v="2"/>
    <x v="4"/>
    <x v="20"/>
    <x v="130"/>
    <x v="11"/>
    <n v="0"/>
  </r>
  <r>
    <x v="1"/>
    <x v="2"/>
    <x v="4"/>
    <x v="20"/>
    <x v="131"/>
    <x v="0"/>
    <n v="0"/>
  </r>
  <r>
    <x v="1"/>
    <x v="2"/>
    <x v="4"/>
    <x v="20"/>
    <x v="131"/>
    <x v="1"/>
    <n v="1000"/>
  </r>
  <r>
    <x v="1"/>
    <x v="2"/>
    <x v="4"/>
    <x v="20"/>
    <x v="131"/>
    <x v="2"/>
    <n v="0"/>
  </r>
  <r>
    <x v="1"/>
    <x v="2"/>
    <x v="4"/>
    <x v="20"/>
    <x v="131"/>
    <x v="3"/>
    <n v="0"/>
  </r>
  <r>
    <x v="1"/>
    <x v="2"/>
    <x v="4"/>
    <x v="20"/>
    <x v="131"/>
    <x v="4"/>
    <n v="0"/>
  </r>
  <r>
    <x v="1"/>
    <x v="2"/>
    <x v="4"/>
    <x v="20"/>
    <x v="131"/>
    <x v="5"/>
    <n v="0"/>
  </r>
  <r>
    <x v="1"/>
    <x v="2"/>
    <x v="4"/>
    <x v="20"/>
    <x v="131"/>
    <x v="6"/>
    <n v="0"/>
  </r>
  <r>
    <x v="1"/>
    <x v="2"/>
    <x v="4"/>
    <x v="20"/>
    <x v="131"/>
    <x v="7"/>
    <n v="0"/>
  </r>
  <r>
    <x v="1"/>
    <x v="2"/>
    <x v="4"/>
    <x v="20"/>
    <x v="131"/>
    <x v="8"/>
    <n v="0"/>
  </r>
  <r>
    <x v="1"/>
    <x v="2"/>
    <x v="4"/>
    <x v="20"/>
    <x v="131"/>
    <x v="9"/>
    <n v="0"/>
  </r>
  <r>
    <x v="1"/>
    <x v="2"/>
    <x v="4"/>
    <x v="20"/>
    <x v="131"/>
    <x v="10"/>
    <n v="0"/>
  </r>
  <r>
    <x v="1"/>
    <x v="2"/>
    <x v="4"/>
    <x v="20"/>
    <x v="131"/>
    <x v="11"/>
    <n v="0"/>
  </r>
  <r>
    <x v="1"/>
    <x v="2"/>
    <x v="4"/>
    <x v="20"/>
    <x v="132"/>
    <x v="0"/>
    <n v="0"/>
  </r>
  <r>
    <x v="1"/>
    <x v="2"/>
    <x v="4"/>
    <x v="20"/>
    <x v="132"/>
    <x v="1"/>
    <n v="0"/>
  </r>
  <r>
    <x v="1"/>
    <x v="2"/>
    <x v="4"/>
    <x v="20"/>
    <x v="132"/>
    <x v="2"/>
    <n v="1000"/>
  </r>
  <r>
    <x v="1"/>
    <x v="2"/>
    <x v="4"/>
    <x v="20"/>
    <x v="132"/>
    <x v="3"/>
    <n v="0"/>
  </r>
  <r>
    <x v="1"/>
    <x v="2"/>
    <x v="4"/>
    <x v="20"/>
    <x v="132"/>
    <x v="4"/>
    <n v="0"/>
  </r>
  <r>
    <x v="1"/>
    <x v="2"/>
    <x v="4"/>
    <x v="20"/>
    <x v="132"/>
    <x v="5"/>
    <n v="0"/>
  </r>
  <r>
    <x v="1"/>
    <x v="2"/>
    <x v="4"/>
    <x v="20"/>
    <x v="132"/>
    <x v="6"/>
    <n v="0"/>
  </r>
  <r>
    <x v="1"/>
    <x v="2"/>
    <x v="4"/>
    <x v="20"/>
    <x v="132"/>
    <x v="7"/>
    <n v="0"/>
  </r>
  <r>
    <x v="1"/>
    <x v="2"/>
    <x v="4"/>
    <x v="20"/>
    <x v="132"/>
    <x v="8"/>
    <n v="0"/>
  </r>
  <r>
    <x v="1"/>
    <x v="2"/>
    <x v="4"/>
    <x v="20"/>
    <x v="132"/>
    <x v="9"/>
    <n v="0"/>
  </r>
  <r>
    <x v="1"/>
    <x v="2"/>
    <x v="4"/>
    <x v="20"/>
    <x v="132"/>
    <x v="10"/>
    <n v="0"/>
  </r>
  <r>
    <x v="1"/>
    <x v="2"/>
    <x v="4"/>
    <x v="20"/>
    <x v="132"/>
    <x v="11"/>
    <n v="0"/>
  </r>
  <r>
    <x v="1"/>
    <x v="2"/>
    <x v="4"/>
    <x v="35"/>
    <x v="133"/>
    <x v="0"/>
    <n v="0"/>
  </r>
  <r>
    <x v="1"/>
    <x v="2"/>
    <x v="4"/>
    <x v="35"/>
    <x v="133"/>
    <x v="1"/>
    <n v="2500"/>
  </r>
  <r>
    <x v="1"/>
    <x v="2"/>
    <x v="4"/>
    <x v="35"/>
    <x v="133"/>
    <x v="2"/>
    <n v="0"/>
  </r>
  <r>
    <x v="1"/>
    <x v="2"/>
    <x v="4"/>
    <x v="35"/>
    <x v="133"/>
    <x v="3"/>
    <n v="0"/>
  </r>
  <r>
    <x v="1"/>
    <x v="2"/>
    <x v="4"/>
    <x v="35"/>
    <x v="133"/>
    <x v="4"/>
    <n v="2500"/>
  </r>
  <r>
    <x v="1"/>
    <x v="2"/>
    <x v="4"/>
    <x v="35"/>
    <x v="133"/>
    <x v="5"/>
    <n v="0"/>
  </r>
  <r>
    <x v="1"/>
    <x v="2"/>
    <x v="4"/>
    <x v="35"/>
    <x v="133"/>
    <x v="6"/>
    <n v="0"/>
  </r>
  <r>
    <x v="1"/>
    <x v="2"/>
    <x v="4"/>
    <x v="35"/>
    <x v="133"/>
    <x v="7"/>
    <n v="2500"/>
  </r>
  <r>
    <x v="1"/>
    <x v="2"/>
    <x v="4"/>
    <x v="35"/>
    <x v="133"/>
    <x v="8"/>
    <n v="0"/>
  </r>
  <r>
    <x v="1"/>
    <x v="2"/>
    <x v="4"/>
    <x v="35"/>
    <x v="133"/>
    <x v="9"/>
    <n v="0"/>
  </r>
  <r>
    <x v="1"/>
    <x v="2"/>
    <x v="4"/>
    <x v="35"/>
    <x v="133"/>
    <x v="10"/>
    <n v="2500"/>
  </r>
  <r>
    <x v="1"/>
    <x v="2"/>
    <x v="4"/>
    <x v="35"/>
    <x v="133"/>
    <x v="11"/>
    <n v="0"/>
  </r>
  <r>
    <x v="1"/>
    <x v="2"/>
    <x v="6"/>
    <x v="5"/>
    <x v="30"/>
    <x v="0"/>
    <n v="0"/>
  </r>
  <r>
    <x v="1"/>
    <x v="2"/>
    <x v="6"/>
    <x v="5"/>
    <x v="30"/>
    <x v="1"/>
    <n v="0"/>
  </r>
  <r>
    <x v="1"/>
    <x v="2"/>
    <x v="6"/>
    <x v="5"/>
    <x v="30"/>
    <x v="2"/>
    <n v="0"/>
  </r>
  <r>
    <x v="1"/>
    <x v="2"/>
    <x v="6"/>
    <x v="5"/>
    <x v="30"/>
    <x v="3"/>
    <n v="0"/>
  </r>
  <r>
    <x v="1"/>
    <x v="2"/>
    <x v="6"/>
    <x v="5"/>
    <x v="30"/>
    <x v="4"/>
    <n v="0"/>
  </r>
  <r>
    <x v="1"/>
    <x v="2"/>
    <x v="6"/>
    <x v="5"/>
    <x v="30"/>
    <x v="5"/>
    <n v="0"/>
  </r>
  <r>
    <x v="1"/>
    <x v="2"/>
    <x v="6"/>
    <x v="5"/>
    <x v="30"/>
    <x v="6"/>
    <n v="0"/>
  </r>
  <r>
    <x v="1"/>
    <x v="2"/>
    <x v="6"/>
    <x v="5"/>
    <x v="30"/>
    <x v="7"/>
    <n v="0"/>
  </r>
  <r>
    <x v="1"/>
    <x v="2"/>
    <x v="6"/>
    <x v="5"/>
    <x v="30"/>
    <x v="8"/>
    <n v="0"/>
  </r>
  <r>
    <x v="1"/>
    <x v="2"/>
    <x v="6"/>
    <x v="5"/>
    <x v="30"/>
    <x v="9"/>
    <n v="0"/>
  </r>
  <r>
    <x v="1"/>
    <x v="2"/>
    <x v="6"/>
    <x v="5"/>
    <x v="30"/>
    <x v="10"/>
    <n v="0"/>
  </r>
  <r>
    <x v="1"/>
    <x v="2"/>
    <x v="6"/>
    <x v="5"/>
    <x v="30"/>
    <x v="11"/>
    <n v="0"/>
  </r>
  <r>
    <x v="1"/>
    <x v="5"/>
    <x v="6"/>
    <x v="5"/>
    <x v="30"/>
    <x v="0"/>
    <n v="0"/>
  </r>
  <r>
    <x v="1"/>
    <x v="5"/>
    <x v="6"/>
    <x v="5"/>
    <x v="30"/>
    <x v="1"/>
    <n v="0"/>
  </r>
  <r>
    <x v="1"/>
    <x v="5"/>
    <x v="6"/>
    <x v="5"/>
    <x v="30"/>
    <x v="2"/>
    <n v="0"/>
  </r>
  <r>
    <x v="1"/>
    <x v="5"/>
    <x v="6"/>
    <x v="5"/>
    <x v="30"/>
    <x v="3"/>
    <n v="0"/>
  </r>
  <r>
    <x v="1"/>
    <x v="5"/>
    <x v="6"/>
    <x v="5"/>
    <x v="30"/>
    <x v="4"/>
    <n v="0"/>
  </r>
  <r>
    <x v="1"/>
    <x v="5"/>
    <x v="6"/>
    <x v="5"/>
    <x v="30"/>
    <x v="5"/>
    <n v="0"/>
  </r>
  <r>
    <x v="1"/>
    <x v="5"/>
    <x v="6"/>
    <x v="5"/>
    <x v="30"/>
    <x v="6"/>
    <n v="0"/>
  </r>
  <r>
    <x v="1"/>
    <x v="5"/>
    <x v="6"/>
    <x v="5"/>
    <x v="30"/>
    <x v="7"/>
    <n v="0"/>
  </r>
  <r>
    <x v="1"/>
    <x v="5"/>
    <x v="6"/>
    <x v="5"/>
    <x v="30"/>
    <x v="8"/>
    <n v="0"/>
  </r>
  <r>
    <x v="1"/>
    <x v="5"/>
    <x v="6"/>
    <x v="5"/>
    <x v="30"/>
    <x v="9"/>
    <n v="0"/>
  </r>
  <r>
    <x v="1"/>
    <x v="5"/>
    <x v="6"/>
    <x v="5"/>
    <x v="30"/>
    <x v="10"/>
    <n v="0"/>
  </r>
  <r>
    <x v="1"/>
    <x v="5"/>
    <x v="6"/>
    <x v="5"/>
    <x v="30"/>
    <x v="11"/>
    <n v="0"/>
  </r>
  <r>
    <x v="0"/>
    <x v="2"/>
    <x v="8"/>
    <x v="36"/>
    <x v="134"/>
    <x v="0"/>
    <n v="32000"/>
  </r>
  <r>
    <x v="0"/>
    <x v="2"/>
    <x v="8"/>
    <x v="36"/>
    <x v="134"/>
    <x v="1"/>
    <n v="32000"/>
  </r>
  <r>
    <x v="0"/>
    <x v="2"/>
    <x v="8"/>
    <x v="36"/>
    <x v="134"/>
    <x v="2"/>
    <n v="32000"/>
  </r>
  <r>
    <x v="0"/>
    <x v="2"/>
    <x v="8"/>
    <x v="36"/>
    <x v="134"/>
    <x v="3"/>
    <n v="32000"/>
  </r>
  <r>
    <x v="0"/>
    <x v="2"/>
    <x v="8"/>
    <x v="36"/>
    <x v="134"/>
    <x v="4"/>
    <n v="32000"/>
  </r>
  <r>
    <x v="0"/>
    <x v="2"/>
    <x v="8"/>
    <x v="36"/>
    <x v="134"/>
    <x v="5"/>
    <n v="32000"/>
  </r>
  <r>
    <x v="0"/>
    <x v="2"/>
    <x v="8"/>
    <x v="36"/>
    <x v="134"/>
    <x v="6"/>
    <n v="32000"/>
  </r>
  <r>
    <x v="0"/>
    <x v="2"/>
    <x v="8"/>
    <x v="36"/>
    <x v="134"/>
    <x v="7"/>
    <n v="32000"/>
  </r>
  <r>
    <x v="0"/>
    <x v="2"/>
    <x v="8"/>
    <x v="36"/>
    <x v="134"/>
    <x v="8"/>
    <n v="32000"/>
  </r>
  <r>
    <x v="0"/>
    <x v="2"/>
    <x v="8"/>
    <x v="36"/>
    <x v="134"/>
    <x v="9"/>
    <n v="32000"/>
  </r>
  <r>
    <x v="0"/>
    <x v="2"/>
    <x v="8"/>
    <x v="36"/>
    <x v="134"/>
    <x v="10"/>
    <n v="32000"/>
  </r>
  <r>
    <x v="0"/>
    <x v="2"/>
    <x v="8"/>
    <x v="36"/>
    <x v="134"/>
    <x v="11"/>
    <n v="32000"/>
  </r>
  <r>
    <x v="1"/>
    <x v="0"/>
    <x v="8"/>
    <x v="36"/>
    <x v="135"/>
    <x v="0"/>
    <n v="16200"/>
  </r>
  <r>
    <x v="1"/>
    <x v="0"/>
    <x v="8"/>
    <x v="36"/>
    <x v="135"/>
    <x v="1"/>
    <n v="16200"/>
  </r>
  <r>
    <x v="1"/>
    <x v="0"/>
    <x v="8"/>
    <x v="36"/>
    <x v="135"/>
    <x v="2"/>
    <n v="16200"/>
  </r>
  <r>
    <x v="1"/>
    <x v="0"/>
    <x v="8"/>
    <x v="36"/>
    <x v="135"/>
    <x v="3"/>
    <n v="16200"/>
  </r>
  <r>
    <x v="1"/>
    <x v="0"/>
    <x v="8"/>
    <x v="36"/>
    <x v="135"/>
    <x v="4"/>
    <n v="16200"/>
  </r>
  <r>
    <x v="1"/>
    <x v="0"/>
    <x v="8"/>
    <x v="36"/>
    <x v="135"/>
    <x v="5"/>
    <n v="16200"/>
  </r>
  <r>
    <x v="1"/>
    <x v="0"/>
    <x v="8"/>
    <x v="36"/>
    <x v="135"/>
    <x v="6"/>
    <n v="16200"/>
  </r>
  <r>
    <x v="1"/>
    <x v="0"/>
    <x v="8"/>
    <x v="36"/>
    <x v="135"/>
    <x v="7"/>
    <n v="16200"/>
  </r>
  <r>
    <x v="1"/>
    <x v="0"/>
    <x v="8"/>
    <x v="36"/>
    <x v="135"/>
    <x v="8"/>
    <n v="16200"/>
  </r>
  <r>
    <x v="1"/>
    <x v="0"/>
    <x v="8"/>
    <x v="36"/>
    <x v="135"/>
    <x v="9"/>
    <n v="16200"/>
  </r>
  <r>
    <x v="1"/>
    <x v="0"/>
    <x v="8"/>
    <x v="36"/>
    <x v="135"/>
    <x v="10"/>
    <n v="16200"/>
  </r>
  <r>
    <x v="1"/>
    <x v="0"/>
    <x v="8"/>
    <x v="36"/>
    <x v="135"/>
    <x v="11"/>
    <n v="16200"/>
  </r>
  <r>
    <x v="1"/>
    <x v="2"/>
    <x v="8"/>
    <x v="36"/>
    <x v="136"/>
    <x v="0"/>
    <n v="16200"/>
  </r>
  <r>
    <x v="1"/>
    <x v="2"/>
    <x v="8"/>
    <x v="36"/>
    <x v="136"/>
    <x v="1"/>
    <n v="16200"/>
  </r>
  <r>
    <x v="1"/>
    <x v="2"/>
    <x v="8"/>
    <x v="36"/>
    <x v="136"/>
    <x v="2"/>
    <n v="16200"/>
  </r>
  <r>
    <x v="1"/>
    <x v="2"/>
    <x v="8"/>
    <x v="36"/>
    <x v="136"/>
    <x v="3"/>
    <n v="16200"/>
  </r>
  <r>
    <x v="1"/>
    <x v="2"/>
    <x v="8"/>
    <x v="36"/>
    <x v="136"/>
    <x v="4"/>
    <n v="16200"/>
  </r>
  <r>
    <x v="1"/>
    <x v="2"/>
    <x v="8"/>
    <x v="36"/>
    <x v="136"/>
    <x v="5"/>
    <n v="16200"/>
  </r>
  <r>
    <x v="1"/>
    <x v="2"/>
    <x v="8"/>
    <x v="36"/>
    <x v="136"/>
    <x v="6"/>
    <n v="16200"/>
  </r>
  <r>
    <x v="1"/>
    <x v="2"/>
    <x v="8"/>
    <x v="36"/>
    <x v="136"/>
    <x v="7"/>
    <n v="16200"/>
  </r>
  <r>
    <x v="1"/>
    <x v="2"/>
    <x v="8"/>
    <x v="36"/>
    <x v="136"/>
    <x v="8"/>
    <n v="16200"/>
  </r>
  <r>
    <x v="1"/>
    <x v="2"/>
    <x v="8"/>
    <x v="36"/>
    <x v="136"/>
    <x v="9"/>
    <n v="16200"/>
  </r>
  <r>
    <x v="1"/>
    <x v="2"/>
    <x v="8"/>
    <x v="36"/>
    <x v="136"/>
    <x v="10"/>
    <n v="16200"/>
  </r>
  <r>
    <x v="1"/>
    <x v="2"/>
    <x v="8"/>
    <x v="36"/>
    <x v="136"/>
    <x v="11"/>
    <n v="16200"/>
  </r>
  <r>
    <x v="1"/>
    <x v="2"/>
    <x v="8"/>
    <x v="36"/>
    <x v="137"/>
    <x v="0"/>
    <n v="13500"/>
  </r>
  <r>
    <x v="1"/>
    <x v="2"/>
    <x v="8"/>
    <x v="36"/>
    <x v="137"/>
    <x v="1"/>
    <n v="13500"/>
  </r>
  <r>
    <x v="1"/>
    <x v="2"/>
    <x v="8"/>
    <x v="36"/>
    <x v="137"/>
    <x v="2"/>
    <n v="13500"/>
  </r>
  <r>
    <x v="1"/>
    <x v="2"/>
    <x v="8"/>
    <x v="36"/>
    <x v="137"/>
    <x v="3"/>
    <n v="13500"/>
  </r>
  <r>
    <x v="1"/>
    <x v="2"/>
    <x v="8"/>
    <x v="36"/>
    <x v="137"/>
    <x v="4"/>
    <n v="13500"/>
  </r>
  <r>
    <x v="1"/>
    <x v="2"/>
    <x v="8"/>
    <x v="36"/>
    <x v="137"/>
    <x v="5"/>
    <n v="13500"/>
  </r>
  <r>
    <x v="1"/>
    <x v="2"/>
    <x v="8"/>
    <x v="36"/>
    <x v="137"/>
    <x v="6"/>
    <n v="13500"/>
  </r>
  <r>
    <x v="1"/>
    <x v="2"/>
    <x v="8"/>
    <x v="36"/>
    <x v="137"/>
    <x v="7"/>
    <n v="13500"/>
  </r>
  <r>
    <x v="1"/>
    <x v="2"/>
    <x v="8"/>
    <x v="36"/>
    <x v="137"/>
    <x v="8"/>
    <n v="13500"/>
  </r>
  <r>
    <x v="1"/>
    <x v="2"/>
    <x v="8"/>
    <x v="36"/>
    <x v="137"/>
    <x v="9"/>
    <n v="13500"/>
  </r>
  <r>
    <x v="1"/>
    <x v="2"/>
    <x v="8"/>
    <x v="36"/>
    <x v="137"/>
    <x v="10"/>
    <n v="13500"/>
  </r>
  <r>
    <x v="1"/>
    <x v="2"/>
    <x v="8"/>
    <x v="36"/>
    <x v="137"/>
    <x v="11"/>
    <n v="13500"/>
  </r>
  <r>
    <x v="1"/>
    <x v="2"/>
    <x v="8"/>
    <x v="36"/>
    <x v="138"/>
    <x v="0"/>
    <n v="12993"/>
  </r>
  <r>
    <x v="1"/>
    <x v="2"/>
    <x v="8"/>
    <x v="36"/>
    <x v="138"/>
    <x v="1"/>
    <n v="12993"/>
  </r>
  <r>
    <x v="1"/>
    <x v="2"/>
    <x v="8"/>
    <x v="36"/>
    <x v="138"/>
    <x v="2"/>
    <n v="12993"/>
  </r>
  <r>
    <x v="1"/>
    <x v="2"/>
    <x v="8"/>
    <x v="36"/>
    <x v="138"/>
    <x v="3"/>
    <n v="12993"/>
  </r>
  <r>
    <x v="1"/>
    <x v="2"/>
    <x v="8"/>
    <x v="36"/>
    <x v="138"/>
    <x v="4"/>
    <n v="12993"/>
  </r>
  <r>
    <x v="1"/>
    <x v="2"/>
    <x v="8"/>
    <x v="36"/>
    <x v="138"/>
    <x v="5"/>
    <n v="12993"/>
  </r>
  <r>
    <x v="1"/>
    <x v="2"/>
    <x v="8"/>
    <x v="36"/>
    <x v="138"/>
    <x v="6"/>
    <n v="12993"/>
  </r>
  <r>
    <x v="1"/>
    <x v="2"/>
    <x v="8"/>
    <x v="36"/>
    <x v="138"/>
    <x v="7"/>
    <n v="12993"/>
  </r>
  <r>
    <x v="1"/>
    <x v="2"/>
    <x v="8"/>
    <x v="36"/>
    <x v="138"/>
    <x v="8"/>
    <n v="12993"/>
  </r>
  <r>
    <x v="1"/>
    <x v="2"/>
    <x v="8"/>
    <x v="36"/>
    <x v="138"/>
    <x v="9"/>
    <n v="12993"/>
  </r>
  <r>
    <x v="1"/>
    <x v="2"/>
    <x v="8"/>
    <x v="36"/>
    <x v="138"/>
    <x v="10"/>
    <n v="12993"/>
  </r>
  <r>
    <x v="1"/>
    <x v="2"/>
    <x v="8"/>
    <x v="36"/>
    <x v="138"/>
    <x v="11"/>
    <n v="12993"/>
  </r>
  <r>
    <x v="1"/>
    <x v="5"/>
    <x v="8"/>
    <x v="36"/>
    <x v="139"/>
    <x v="0"/>
    <n v="11568"/>
  </r>
  <r>
    <x v="1"/>
    <x v="5"/>
    <x v="8"/>
    <x v="36"/>
    <x v="139"/>
    <x v="1"/>
    <n v="11568"/>
  </r>
  <r>
    <x v="1"/>
    <x v="5"/>
    <x v="8"/>
    <x v="36"/>
    <x v="139"/>
    <x v="2"/>
    <n v="11568"/>
  </r>
  <r>
    <x v="1"/>
    <x v="5"/>
    <x v="8"/>
    <x v="36"/>
    <x v="139"/>
    <x v="3"/>
    <n v="11568"/>
  </r>
  <r>
    <x v="1"/>
    <x v="5"/>
    <x v="8"/>
    <x v="36"/>
    <x v="139"/>
    <x v="4"/>
    <n v="11568"/>
  </r>
  <r>
    <x v="1"/>
    <x v="5"/>
    <x v="8"/>
    <x v="36"/>
    <x v="139"/>
    <x v="5"/>
    <n v="11568"/>
  </r>
  <r>
    <x v="1"/>
    <x v="5"/>
    <x v="8"/>
    <x v="36"/>
    <x v="139"/>
    <x v="6"/>
    <n v="11568"/>
  </r>
  <r>
    <x v="1"/>
    <x v="5"/>
    <x v="8"/>
    <x v="36"/>
    <x v="139"/>
    <x v="7"/>
    <n v="11568"/>
  </r>
  <r>
    <x v="1"/>
    <x v="5"/>
    <x v="8"/>
    <x v="36"/>
    <x v="139"/>
    <x v="8"/>
    <n v="11568"/>
  </r>
  <r>
    <x v="1"/>
    <x v="5"/>
    <x v="8"/>
    <x v="36"/>
    <x v="139"/>
    <x v="9"/>
    <n v="11568"/>
  </r>
  <r>
    <x v="1"/>
    <x v="5"/>
    <x v="8"/>
    <x v="36"/>
    <x v="139"/>
    <x v="10"/>
    <n v="11568"/>
  </r>
  <r>
    <x v="1"/>
    <x v="5"/>
    <x v="8"/>
    <x v="36"/>
    <x v="139"/>
    <x v="11"/>
    <n v="11568"/>
  </r>
  <r>
    <x v="1"/>
    <x v="5"/>
    <x v="8"/>
    <x v="36"/>
    <x v="140"/>
    <x v="0"/>
    <n v="10125"/>
  </r>
  <r>
    <x v="1"/>
    <x v="5"/>
    <x v="8"/>
    <x v="36"/>
    <x v="140"/>
    <x v="1"/>
    <n v="10125"/>
  </r>
  <r>
    <x v="1"/>
    <x v="5"/>
    <x v="8"/>
    <x v="36"/>
    <x v="140"/>
    <x v="2"/>
    <n v="10125"/>
  </r>
  <r>
    <x v="1"/>
    <x v="5"/>
    <x v="8"/>
    <x v="36"/>
    <x v="140"/>
    <x v="3"/>
    <n v="10125"/>
  </r>
  <r>
    <x v="1"/>
    <x v="5"/>
    <x v="8"/>
    <x v="36"/>
    <x v="140"/>
    <x v="4"/>
    <n v="10125"/>
  </r>
  <r>
    <x v="1"/>
    <x v="5"/>
    <x v="8"/>
    <x v="36"/>
    <x v="140"/>
    <x v="5"/>
    <n v="10125"/>
  </r>
  <r>
    <x v="1"/>
    <x v="5"/>
    <x v="8"/>
    <x v="36"/>
    <x v="140"/>
    <x v="6"/>
    <n v="10125"/>
  </r>
  <r>
    <x v="1"/>
    <x v="5"/>
    <x v="8"/>
    <x v="36"/>
    <x v="140"/>
    <x v="7"/>
    <n v="10125"/>
  </r>
  <r>
    <x v="1"/>
    <x v="5"/>
    <x v="8"/>
    <x v="36"/>
    <x v="140"/>
    <x v="8"/>
    <n v="10125"/>
  </r>
  <r>
    <x v="1"/>
    <x v="5"/>
    <x v="8"/>
    <x v="36"/>
    <x v="140"/>
    <x v="9"/>
    <n v="10125"/>
  </r>
  <r>
    <x v="1"/>
    <x v="5"/>
    <x v="8"/>
    <x v="36"/>
    <x v="140"/>
    <x v="10"/>
    <n v="10125"/>
  </r>
  <r>
    <x v="1"/>
    <x v="5"/>
    <x v="8"/>
    <x v="36"/>
    <x v="140"/>
    <x v="11"/>
    <n v="10125"/>
  </r>
  <r>
    <x v="1"/>
    <x v="2"/>
    <x v="8"/>
    <x v="36"/>
    <x v="141"/>
    <x v="0"/>
    <n v="10125"/>
  </r>
  <r>
    <x v="1"/>
    <x v="2"/>
    <x v="8"/>
    <x v="36"/>
    <x v="141"/>
    <x v="1"/>
    <n v="10125"/>
  </r>
  <r>
    <x v="1"/>
    <x v="2"/>
    <x v="8"/>
    <x v="36"/>
    <x v="141"/>
    <x v="2"/>
    <n v="10125"/>
  </r>
  <r>
    <x v="1"/>
    <x v="2"/>
    <x v="8"/>
    <x v="36"/>
    <x v="141"/>
    <x v="3"/>
    <n v="10125"/>
  </r>
  <r>
    <x v="1"/>
    <x v="2"/>
    <x v="8"/>
    <x v="36"/>
    <x v="141"/>
    <x v="4"/>
    <n v="10125"/>
  </r>
  <r>
    <x v="1"/>
    <x v="2"/>
    <x v="8"/>
    <x v="36"/>
    <x v="141"/>
    <x v="5"/>
    <n v="10125"/>
  </r>
  <r>
    <x v="1"/>
    <x v="2"/>
    <x v="8"/>
    <x v="36"/>
    <x v="141"/>
    <x v="6"/>
    <n v="10125"/>
  </r>
  <r>
    <x v="1"/>
    <x v="2"/>
    <x v="8"/>
    <x v="36"/>
    <x v="141"/>
    <x v="7"/>
    <n v="10125"/>
  </r>
  <r>
    <x v="1"/>
    <x v="2"/>
    <x v="8"/>
    <x v="36"/>
    <x v="141"/>
    <x v="8"/>
    <n v="10125"/>
  </r>
  <r>
    <x v="1"/>
    <x v="2"/>
    <x v="8"/>
    <x v="36"/>
    <x v="141"/>
    <x v="9"/>
    <n v="10125"/>
  </r>
  <r>
    <x v="1"/>
    <x v="2"/>
    <x v="8"/>
    <x v="36"/>
    <x v="141"/>
    <x v="10"/>
    <n v="10125"/>
  </r>
  <r>
    <x v="1"/>
    <x v="2"/>
    <x v="8"/>
    <x v="36"/>
    <x v="141"/>
    <x v="11"/>
    <n v="10125"/>
  </r>
  <r>
    <x v="1"/>
    <x v="2"/>
    <x v="8"/>
    <x v="36"/>
    <x v="142"/>
    <x v="0"/>
    <n v="9542"/>
  </r>
  <r>
    <x v="1"/>
    <x v="2"/>
    <x v="8"/>
    <x v="36"/>
    <x v="142"/>
    <x v="1"/>
    <n v="9542"/>
  </r>
  <r>
    <x v="1"/>
    <x v="2"/>
    <x v="8"/>
    <x v="36"/>
    <x v="142"/>
    <x v="2"/>
    <n v="0"/>
  </r>
  <r>
    <x v="1"/>
    <x v="2"/>
    <x v="8"/>
    <x v="36"/>
    <x v="142"/>
    <x v="3"/>
    <n v="0"/>
  </r>
  <r>
    <x v="1"/>
    <x v="2"/>
    <x v="8"/>
    <x v="36"/>
    <x v="142"/>
    <x v="4"/>
    <n v="0"/>
  </r>
  <r>
    <x v="1"/>
    <x v="2"/>
    <x v="8"/>
    <x v="36"/>
    <x v="142"/>
    <x v="5"/>
    <n v="0"/>
  </r>
  <r>
    <x v="1"/>
    <x v="2"/>
    <x v="8"/>
    <x v="36"/>
    <x v="142"/>
    <x v="6"/>
    <n v="0"/>
  </r>
  <r>
    <x v="1"/>
    <x v="2"/>
    <x v="8"/>
    <x v="36"/>
    <x v="142"/>
    <x v="7"/>
    <n v="0"/>
  </r>
  <r>
    <x v="1"/>
    <x v="2"/>
    <x v="8"/>
    <x v="36"/>
    <x v="142"/>
    <x v="8"/>
    <n v="0"/>
  </r>
  <r>
    <x v="1"/>
    <x v="2"/>
    <x v="8"/>
    <x v="36"/>
    <x v="142"/>
    <x v="9"/>
    <n v="0"/>
  </r>
  <r>
    <x v="1"/>
    <x v="2"/>
    <x v="8"/>
    <x v="36"/>
    <x v="142"/>
    <x v="10"/>
    <n v="0"/>
  </r>
  <r>
    <x v="1"/>
    <x v="2"/>
    <x v="8"/>
    <x v="36"/>
    <x v="142"/>
    <x v="11"/>
    <n v="0"/>
  </r>
  <r>
    <x v="1"/>
    <x v="2"/>
    <x v="8"/>
    <x v="36"/>
    <x v="143"/>
    <x v="0"/>
    <n v="9331"/>
  </r>
  <r>
    <x v="1"/>
    <x v="2"/>
    <x v="8"/>
    <x v="36"/>
    <x v="143"/>
    <x v="1"/>
    <n v="9331"/>
  </r>
  <r>
    <x v="1"/>
    <x v="2"/>
    <x v="8"/>
    <x v="36"/>
    <x v="143"/>
    <x v="2"/>
    <n v="9331"/>
  </r>
  <r>
    <x v="1"/>
    <x v="2"/>
    <x v="8"/>
    <x v="36"/>
    <x v="143"/>
    <x v="3"/>
    <n v="9331"/>
  </r>
  <r>
    <x v="1"/>
    <x v="2"/>
    <x v="8"/>
    <x v="36"/>
    <x v="143"/>
    <x v="4"/>
    <n v="9331"/>
  </r>
  <r>
    <x v="1"/>
    <x v="2"/>
    <x v="8"/>
    <x v="36"/>
    <x v="143"/>
    <x v="5"/>
    <n v="9331"/>
  </r>
  <r>
    <x v="1"/>
    <x v="2"/>
    <x v="8"/>
    <x v="36"/>
    <x v="143"/>
    <x v="6"/>
    <n v="9331"/>
  </r>
  <r>
    <x v="1"/>
    <x v="2"/>
    <x v="8"/>
    <x v="36"/>
    <x v="143"/>
    <x v="7"/>
    <n v="9331"/>
  </r>
  <r>
    <x v="1"/>
    <x v="2"/>
    <x v="8"/>
    <x v="36"/>
    <x v="143"/>
    <x v="8"/>
    <n v="9331"/>
  </r>
  <r>
    <x v="1"/>
    <x v="2"/>
    <x v="8"/>
    <x v="36"/>
    <x v="143"/>
    <x v="9"/>
    <n v="9331"/>
  </r>
  <r>
    <x v="1"/>
    <x v="2"/>
    <x v="8"/>
    <x v="36"/>
    <x v="143"/>
    <x v="10"/>
    <n v="9331"/>
  </r>
  <r>
    <x v="1"/>
    <x v="2"/>
    <x v="8"/>
    <x v="36"/>
    <x v="143"/>
    <x v="11"/>
    <n v="9331"/>
  </r>
  <r>
    <x v="1"/>
    <x v="5"/>
    <x v="8"/>
    <x v="36"/>
    <x v="144"/>
    <x v="0"/>
    <n v="8677"/>
  </r>
  <r>
    <x v="1"/>
    <x v="5"/>
    <x v="8"/>
    <x v="36"/>
    <x v="144"/>
    <x v="1"/>
    <n v="8677"/>
  </r>
  <r>
    <x v="1"/>
    <x v="5"/>
    <x v="8"/>
    <x v="36"/>
    <x v="144"/>
    <x v="2"/>
    <n v="8677"/>
  </r>
  <r>
    <x v="1"/>
    <x v="5"/>
    <x v="8"/>
    <x v="36"/>
    <x v="144"/>
    <x v="3"/>
    <n v="0"/>
  </r>
  <r>
    <x v="1"/>
    <x v="5"/>
    <x v="8"/>
    <x v="36"/>
    <x v="144"/>
    <x v="4"/>
    <n v="0"/>
  </r>
  <r>
    <x v="1"/>
    <x v="5"/>
    <x v="8"/>
    <x v="36"/>
    <x v="144"/>
    <x v="5"/>
    <n v="0"/>
  </r>
  <r>
    <x v="1"/>
    <x v="5"/>
    <x v="8"/>
    <x v="36"/>
    <x v="144"/>
    <x v="6"/>
    <n v="0"/>
  </r>
  <r>
    <x v="1"/>
    <x v="5"/>
    <x v="8"/>
    <x v="36"/>
    <x v="144"/>
    <x v="7"/>
    <n v="0"/>
  </r>
  <r>
    <x v="1"/>
    <x v="5"/>
    <x v="8"/>
    <x v="36"/>
    <x v="144"/>
    <x v="8"/>
    <n v="0"/>
  </r>
  <r>
    <x v="1"/>
    <x v="5"/>
    <x v="8"/>
    <x v="36"/>
    <x v="144"/>
    <x v="9"/>
    <n v="0"/>
  </r>
  <r>
    <x v="1"/>
    <x v="5"/>
    <x v="8"/>
    <x v="36"/>
    <x v="144"/>
    <x v="10"/>
    <n v="0"/>
  </r>
  <r>
    <x v="1"/>
    <x v="5"/>
    <x v="8"/>
    <x v="36"/>
    <x v="144"/>
    <x v="11"/>
    <n v="0"/>
  </r>
  <r>
    <x v="1"/>
    <x v="2"/>
    <x v="8"/>
    <x v="36"/>
    <x v="145"/>
    <x v="0"/>
    <n v="8579"/>
  </r>
  <r>
    <x v="1"/>
    <x v="2"/>
    <x v="8"/>
    <x v="36"/>
    <x v="145"/>
    <x v="1"/>
    <n v="8579"/>
  </r>
  <r>
    <x v="1"/>
    <x v="2"/>
    <x v="8"/>
    <x v="36"/>
    <x v="145"/>
    <x v="2"/>
    <n v="8579"/>
  </r>
  <r>
    <x v="1"/>
    <x v="2"/>
    <x v="8"/>
    <x v="36"/>
    <x v="145"/>
    <x v="3"/>
    <n v="8579"/>
  </r>
  <r>
    <x v="1"/>
    <x v="2"/>
    <x v="8"/>
    <x v="36"/>
    <x v="145"/>
    <x v="4"/>
    <n v="8579"/>
  </r>
  <r>
    <x v="1"/>
    <x v="2"/>
    <x v="8"/>
    <x v="36"/>
    <x v="145"/>
    <x v="5"/>
    <n v="8579"/>
  </r>
  <r>
    <x v="1"/>
    <x v="2"/>
    <x v="8"/>
    <x v="36"/>
    <x v="145"/>
    <x v="6"/>
    <n v="8579"/>
  </r>
  <r>
    <x v="1"/>
    <x v="2"/>
    <x v="8"/>
    <x v="36"/>
    <x v="145"/>
    <x v="7"/>
    <n v="8579"/>
  </r>
  <r>
    <x v="1"/>
    <x v="2"/>
    <x v="8"/>
    <x v="36"/>
    <x v="145"/>
    <x v="8"/>
    <n v="8579"/>
  </r>
  <r>
    <x v="1"/>
    <x v="2"/>
    <x v="8"/>
    <x v="36"/>
    <x v="145"/>
    <x v="9"/>
    <n v="8579"/>
  </r>
  <r>
    <x v="1"/>
    <x v="2"/>
    <x v="8"/>
    <x v="36"/>
    <x v="145"/>
    <x v="10"/>
    <n v="8579"/>
  </r>
  <r>
    <x v="1"/>
    <x v="2"/>
    <x v="8"/>
    <x v="36"/>
    <x v="145"/>
    <x v="11"/>
    <n v="8579"/>
  </r>
  <r>
    <x v="1"/>
    <x v="2"/>
    <x v="8"/>
    <x v="36"/>
    <x v="146"/>
    <x v="0"/>
    <n v="7674"/>
  </r>
  <r>
    <x v="1"/>
    <x v="2"/>
    <x v="8"/>
    <x v="36"/>
    <x v="146"/>
    <x v="1"/>
    <n v="7674"/>
  </r>
  <r>
    <x v="1"/>
    <x v="2"/>
    <x v="8"/>
    <x v="36"/>
    <x v="146"/>
    <x v="2"/>
    <n v="7674"/>
  </r>
  <r>
    <x v="1"/>
    <x v="2"/>
    <x v="8"/>
    <x v="36"/>
    <x v="146"/>
    <x v="3"/>
    <n v="7674"/>
  </r>
  <r>
    <x v="1"/>
    <x v="2"/>
    <x v="8"/>
    <x v="36"/>
    <x v="146"/>
    <x v="4"/>
    <n v="7674"/>
  </r>
  <r>
    <x v="1"/>
    <x v="2"/>
    <x v="8"/>
    <x v="36"/>
    <x v="146"/>
    <x v="5"/>
    <n v="7674"/>
  </r>
  <r>
    <x v="1"/>
    <x v="2"/>
    <x v="8"/>
    <x v="36"/>
    <x v="146"/>
    <x v="6"/>
    <n v="7674"/>
  </r>
  <r>
    <x v="1"/>
    <x v="2"/>
    <x v="8"/>
    <x v="36"/>
    <x v="146"/>
    <x v="7"/>
    <n v="7674"/>
  </r>
  <r>
    <x v="1"/>
    <x v="2"/>
    <x v="8"/>
    <x v="36"/>
    <x v="146"/>
    <x v="8"/>
    <n v="7674"/>
  </r>
  <r>
    <x v="1"/>
    <x v="2"/>
    <x v="8"/>
    <x v="36"/>
    <x v="146"/>
    <x v="9"/>
    <n v="7674"/>
  </r>
  <r>
    <x v="1"/>
    <x v="2"/>
    <x v="8"/>
    <x v="36"/>
    <x v="146"/>
    <x v="10"/>
    <n v="7674"/>
  </r>
  <r>
    <x v="1"/>
    <x v="2"/>
    <x v="8"/>
    <x v="36"/>
    <x v="146"/>
    <x v="11"/>
    <n v="7674"/>
  </r>
  <r>
    <x v="1"/>
    <x v="2"/>
    <x v="8"/>
    <x v="36"/>
    <x v="147"/>
    <x v="0"/>
    <n v="7280"/>
  </r>
  <r>
    <x v="1"/>
    <x v="2"/>
    <x v="8"/>
    <x v="36"/>
    <x v="147"/>
    <x v="1"/>
    <n v="7280"/>
  </r>
  <r>
    <x v="1"/>
    <x v="2"/>
    <x v="8"/>
    <x v="36"/>
    <x v="147"/>
    <x v="2"/>
    <n v="7280"/>
  </r>
  <r>
    <x v="1"/>
    <x v="2"/>
    <x v="8"/>
    <x v="36"/>
    <x v="147"/>
    <x v="3"/>
    <n v="7280"/>
  </r>
  <r>
    <x v="1"/>
    <x v="2"/>
    <x v="8"/>
    <x v="36"/>
    <x v="147"/>
    <x v="4"/>
    <n v="7280"/>
  </r>
  <r>
    <x v="1"/>
    <x v="2"/>
    <x v="8"/>
    <x v="36"/>
    <x v="147"/>
    <x v="5"/>
    <n v="7280"/>
  </r>
  <r>
    <x v="1"/>
    <x v="2"/>
    <x v="8"/>
    <x v="36"/>
    <x v="147"/>
    <x v="6"/>
    <n v="7280"/>
  </r>
  <r>
    <x v="1"/>
    <x v="2"/>
    <x v="8"/>
    <x v="36"/>
    <x v="147"/>
    <x v="7"/>
    <n v="7280"/>
  </r>
  <r>
    <x v="1"/>
    <x v="2"/>
    <x v="8"/>
    <x v="36"/>
    <x v="147"/>
    <x v="8"/>
    <n v="7280"/>
  </r>
  <r>
    <x v="1"/>
    <x v="2"/>
    <x v="8"/>
    <x v="36"/>
    <x v="147"/>
    <x v="9"/>
    <n v="7280"/>
  </r>
  <r>
    <x v="1"/>
    <x v="2"/>
    <x v="8"/>
    <x v="36"/>
    <x v="147"/>
    <x v="10"/>
    <n v="7280"/>
  </r>
  <r>
    <x v="1"/>
    <x v="2"/>
    <x v="8"/>
    <x v="36"/>
    <x v="147"/>
    <x v="11"/>
    <n v="7280"/>
  </r>
  <r>
    <x v="1"/>
    <x v="2"/>
    <x v="8"/>
    <x v="36"/>
    <x v="148"/>
    <x v="0"/>
    <n v="6841"/>
  </r>
  <r>
    <x v="1"/>
    <x v="2"/>
    <x v="8"/>
    <x v="36"/>
    <x v="148"/>
    <x v="1"/>
    <n v="6841"/>
  </r>
  <r>
    <x v="1"/>
    <x v="2"/>
    <x v="8"/>
    <x v="36"/>
    <x v="148"/>
    <x v="2"/>
    <n v="0"/>
  </r>
  <r>
    <x v="1"/>
    <x v="2"/>
    <x v="8"/>
    <x v="36"/>
    <x v="148"/>
    <x v="3"/>
    <n v="0"/>
  </r>
  <r>
    <x v="1"/>
    <x v="2"/>
    <x v="8"/>
    <x v="36"/>
    <x v="148"/>
    <x v="4"/>
    <n v="0"/>
  </r>
  <r>
    <x v="1"/>
    <x v="2"/>
    <x v="8"/>
    <x v="36"/>
    <x v="148"/>
    <x v="5"/>
    <n v="0"/>
  </r>
  <r>
    <x v="1"/>
    <x v="2"/>
    <x v="8"/>
    <x v="36"/>
    <x v="148"/>
    <x v="6"/>
    <n v="0"/>
  </r>
  <r>
    <x v="1"/>
    <x v="2"/>
    <x v="8"/>
    <x v="36"/>
    <x v="148"/>
    <x v="7"/>
    <n v="0"/>
  </r>
  <r>
    <x v="1"/>
    <x v="2"/>
    <x v="8"/>
    <x v="36"/>
    <x v="148"/>
    <x v="8"/>
    <n v="0"/>
  </r>
  <r>
    <x v="1"/>
    <x v="2"/>
    <x v="8"/>
    <x v="36"/>
    <x v="148"/>
    <x v="9"/>
    <n v="0"/>
  </r>
  <r>
    <x v="1"/>
    <x v="2"/>
    <x v="8"/>
    <x v="36"/>
    <x v="148"/>
    <x v="10"/>
    <n v="0"/>
  </r>
  <r>
    <x v="1"/>
    <x v="2"/>
    <x v="8"/>
    <x v="36"/>
    <x v="148"/>
    <x v="11"/>
    <n v="0"/>
  </r>
  <r>
    <x v="1"/>
    <x v="2"/>
    <x v="8"/>
    <x v="36"/>
    <x v="149"/>
    <x v="0"/>
    <n v="6514"/>
  </r>
  <r>
    <x v="1"/>
    <x v="2"/>
    <x v="8"/>
    <x v="36"/>
    <x v="149"/>
    <x v="1"/>
    <n v="0"/>
  </r>
  <r>
    <x v="1"/>
    <x v="2"/>
    <x v="8"/>
    <x v="36"/>
    <x v="149"/>
    <x v="2"/>
    <n v="0"/>
  </r>
  <r>
    <x v="1"/>
    <x v="2"/>
    <x v="8"/>
    <x v="36"/>
    <x v="149"/>
    <x v="3"/>
    <n v="0"/>
  </r>
  <r>
    <x v="1"/>
    <x v="2"/>
    <x v="8"/>
    <x v="36"/>
    <x v="149"/>
    <x v="4"/>
    <n v="0"/>
  </r>
  <r>
    <x v="1"/>
    <x v="2"/>
    <x v="8"/>
    <x v="36"/>
    <x v="149"/>
    <x v="5"/>
    <n v="0"/>
  </r>
  <r>
    <x v="1"/>
    <x v="2"/>
    <x v="8"/>
    <x v="36"/>
    <x v="149"/>
    <x v="6"/>
    <n v="0"/>
  </r>
  <r>
    <x v="1"/>
    <x v="2"/>
    <x v="8"/>
    <x v="36"/>
    <x v="149"/>
    <x v="7"/>
    <n v="0"/>
  </r>
  <r>
    <x v="1"/>
    <x v="2"/>
    <x v="8"/>
    <x v="36"/>
    <x v="149"/>
    <x v="8"/>
    <n v="0"/>
  </r>
  <r>
    <x v="1"/>
    <x v="2"/>
    <x v="8"/>
    <x v="36"/>
    <x v="149"/>
    <x v="9"/>
    <n v="0"/>
  </r>
  <r>
    <x v="1"/>
    <x v="2"/>
    <x v="8"/>
    <x v="36"/>
    <x v="149"/>
    <x v="10"/>
    <n v="0"/>
  </r>
  <r>
    <x v="1"/>
    <x v="2"/>
    <x v="8"/>
    <x v="36"/>
    <x v="149"/>
    <x v="11"/>
    <n v="0"/>
  </r>
  <r>
    <x v="3"/>
    <x v="2"/>
    <x v="8"/>
    <x v="36"/>
    <x v="150"/>
    <x v="0"/>
    <n v="5737"/>
  </r>
  <r>
    <x v="3"/>
    <x v="2"/>
    <x v="8"/>
    <x v="36"/>
    <x v="150"/>
    <x v="1"/>
    <n v="5737"/>
  </r>
  <r>
    <x v="3"/>
    <x v="2"/>
    <x v="8"/>
    <x v="36"/>
    <x v="150"/>
    <x v="2"/>
    <n v="5737"/>
  </r>
  <r>
    <x v="3"/>
    <x v="2"/>
    <x v="8"/>
    <x v="36"/>
    <x v="150"/>
    <x v="3"/>
    <n v="5737"/>
  </r>
  <r>
    <x v="3"/>
    <x v="2"/>
    <x v="8"/>
    <x v="36"/>
    <x v="150"/>
    <x v="4"/>
    <n v="5737"/>
  </r>
  <r>
    <x v="3"/>
    <x v="2"/>
    <x v="8"/>
    <x v="36"/>
    <x v="150"/>
    <x v="5"/>
    <n v="5737"/>
  </r>
  <r>
    <x v="3"/>
    <x v="2"/>
    <x v="8"/>
    <x v="36"/>
    <x v="150"/>
    <x v="6"/>
    <n v="5737"/>
  </r>
  <r>
    <x v="3"/>
    <x v="2"/>
    <x v="8"/>
    <x v="36"/>
    <x v="150"/>
    <x v="7"/>
    <n v="5737"/>
  </r>
  <r>
    <x v="3"/>
    <x v="2"/>
    <x v="8"/>
    <x v="36"/>
    <x v="150"/>
    <x v="8"/>
    <n v="5737"/>
  </r>
  <r>
    <x v="3"/>
    <x v="2"/>
    <x v="8"/>
    <x v="36"/>
    <x v="150"/>
    <x v="9"/>
    <n v="5737"/>
  </r>
  <r>
    <x v="3"/>
    <x v="2"/>
    <x v="8"/>
    <x v="36"/>
    <x v="150"/>
    <x v="10"/>
    <n v="5737"/>
  </r>
  <r>
    <x v="3"/>
    <x v="2"/>
    <x v="8"/>
    <x v="36"/>
    <x v="150"/>
    <x v="11"/>
    <n v="5737"/>
  </r>
  <r>
    <x v="0"/>
    <x v="2"/>
    <x v="8"/>
    <x v="36"/>
    <x v="151"/>
    <x v="0"/>
    <n v="5685"/>
  </r>
  <r>
    <x v="0"/>
    <x v="2"/>
    <x v="8"/>
    <x v="36"/>
    <x v="151"/>
    <x v="1"/>
    <n v="5685"/>
  </r>
  <r>
    <x v="0"/>
    <x v="2"/>
    <x v="8"/>
    <x v="36"/>
    <x v="151"/>
    <x v="2"/>
    <n v="5685"/>
  </r>
  <r>
    <x v="0"/>
    <x v="2"/>
    <x v="8"/>
    <x v="36"/>
    <x v="151"/>
    <x v="3"/>
    <n v="5685"/>
  </r>
  <r>
    <x v="0"/>
    <x v="2"/>
    <x v="8"/>
    <x v="36"/>
    <x v="151"/>
    <x v="4"/>
    <n v="5685"/>
  </r>
  <r>
    <x v="0"/>
    <x v="2"/>
    <x v="8"/>
    <x v="36"/>
    <x v="151"/>
    <x v="5"/>
    <n v="5685"/>
  </r>
  <r>
    <x v="0"/>
    <x v="2"/>
    <x v="8"/>
    <x v="36"/>
    <x v="151"/>
    <x v="6"/>
    <n v="5685"/>
  </r>
  <r>
    <x v="0"/>
    <x v="2"/>
    <x v="8"/>
    <x v="36"/>
    <x v="151"/>
    <x v="7"/>
    <n v="5685"/>
  </r>
  <r>
    <x v="0"/>
    <x v="2"/>
    <x v="8"/>
    <x v="36"/>
    <x v="151"/>
    <x v="8"/>
    <n v="5685"/>
  </r>
  <r>
    <x v="0"/>
    <x v="2"/>
    <x v="8"/>
    <x v="36"/>
    <x v="151"/>
    <x v="9"/>
    <n v="5685"/>
  </r>
  <r>
    <x v="0"/>
    <x v="2"/>
    <x v="8"/>
    <x v="36"/>
    <x v="151"/>
    <x v="10"/>
    <n v="5685"/>
  </r>
  <r>
    <x v="0"/>
    <x v="2"/>
    <x v="8"/>
    <x v="36"/>
    <x v="151"/>
    <x v="11"/>
    <n v="5685"/>
  </r>
  <r>
    <x v="1"/>
    <x v="2"/>
    <x v="8"/>
    <x v="36"/>
    <x v="152"/>
    <x v="0"/>
    <n v="5382"/>
  </r>
  <r>
    <x v="1"/>
    <x v="2"/>
    <x v="8"/>
    <x v="36"/>
    <x v="152"/>
    <x v="1"/>
    <n v="0"/>
  </r>
  <r>
    <x v="1"/>
    <x v="2"/>
    <x v="8"/>
    <x v="36"/>
    <x v="152"/>
    <x v="2"/>
    <n v="0"/>
  </r>
  <r>
    <x v="1"/>
    <x v="2"/>
    <x v="8"/>
    <x v="36"/>
    <x v="152"/>
    <x v="3"/>
    <n v="0"/>
  </r>
  <r>
    <x v="1"/>
    <x v="2"/>
    <x v="8"/>
    <x v="36"/>
    <x v="152"/>
    <x v="4"/>
    <n v="0"/>
  </r>
  <r>
    <x v="1"/>
    <x v="2"/>
    <x v="8"/>
    <x v="36"/>
    <x v="152"/>
    <x v="5"/>
    <n v="0"/>
  </r>
  <r>
    <x v="1"/>
    <x v="2"/>
    <x v="8"/>
    <x v="36"/>
    <x v="152"/>
    <x v="6"/>
    <n v="0"/>
  </r>
  <r>
    <x v="1"/>
    <x v="2"/>
    <x v="8"/>
    <x v="36"/>
    <x v="152"/>
    <x v="7"/>
    <n v="0"/>
  </r>
  <r>
    <x v="1"/>
    <x v="2"/>
    <x v="8"/>
    <x v="36"/>
    <x v="152"/>
    <x v="8"/>
    <n v="0"/>
  </r>
  <r>
    <x v="1"/>
    <x v="2"/>
    <x v="8"/>
    <x v="36"/>
    <x v="152"/>
    <x v="9"/>
    <n v="0"/>
  </r>
  <r>
    <x v="1"/>
    <x v="2"/>
    <x v="8"/>
    <x v="36"/>
    <x v="152"/>
    <x v="10"/>
    <n v="0"/>
  </r>
  <r>
    <x v="1"/>
    <x v="2"/>
    <x v="8"/>
    <x v="36"/>
    <x v="152"/>
    <x v="11"/>
    <n v="0"/>
  </r>
  <r>
    <x v="1"/>
    <x v="0"/>
    <x v="8"/>
    <x v="36"/>
    <x v="153"/>
    <x v="0"/>
    <n v="5356"/>
  </r>
  <r>
    <x v="1"/>
    <x v="0"/>
    <x v="8"/>
    <x v="36"/>
    <x v="153"/>
    <x v="1"/>
    <n v="5356"/>
  </r>
  <r>
    <x v="1"/>
    <x v="0"/>
    <x v="8"/>
    <x v="36"/>
    <x v="153"/>
    <x v="2"/>
    <n v="5356"/>
  </r>
  <r>
    <x v="1"/>
    <x v="0"/>
    <x v="8"/>
    <x v="36"/>
    <x v="153"/>
    <x v="3"/>
    <n v="5356"/>
  </r>
  <r>
    <x v="1"/>
    <x v="0"/>
    <x v="8"/>
    <x v="36"/>
    <x v="153"/>
    <x v="4"/>
    <n v="5356"/>
  </r>
  <r>
    <x v="1"/>
    <x v="0"/>
    <x v="8"/>
    <x v="36"/>
    <x v="153"/>
    <x v="5"/>
    <n v="5356"/>
  </r>
  <r>
    <x v="1"/>
    <x v="0"/>
    <x v="8"/>
    <x v="36"/>
    <x v="153"/>
    <x v="6"/>
    <n v="5356"/>
  </r>
  <r>
    <x v="1"/>
    <x v="0"/>
    <x v="8"/>
    <x v="36"/>
    <x v="153"/>
    <x v="7"/>
    <n v="5356"/>
  </r>
  <r>
    <x v="1"/>
    <x v="0"/>
    <x v="8"/>
    <x v="36"/>
    <x v="153"/>
    <x v="8"/>
    <n v="5356"/>
  </r>
  <r>
    <x v="1"/>
    <x v="0"/>
    <x v="8"/>
    <x v="36"/>
    <x v="153"/>
    <x v="9"/>
    <n v="5356"/>
  </r>
  <r>
    <x v="1"/>
    <x v="0"/>
    <x v="8"/>
    <x v="36"/>
    <x v="153"/>
    <x v="10"/>
    <n v="5356"/>
  </r>
  <r>
    <x v="1"/>
    <x v="0"/>
    <x v="8"/>
    <x v="36"/>
    <x v="153"/>
    <x v="11"/>
    <n v="5356"/>
  </r>
  <r>
    <x v="4"/>
    <x v="0"/>
    <x v="8"/>
    <x v="36"/>
    <x v="154"/>
    <x v="0"/>
    <n v="5054"/>
  </r>
  <r>
    <x v="4"/>
    <x v="0"/>
    <x v="8"/>
    <x v="36"/>
    <x v="154"/>
    <x v="1"/>
    <n v="5054"/>
  </r>
  <r>
    <x v="4"/>
    <x v="0"/>
    <x v="8"/>
    <x v="36"/>
    <x v="154"/>
    <x v="2"/>
    <n v="5054"/>
  </r>
  <r>
    <x v="4"/>
    <x v="0"/>
    <x v="8"/>
    <x v="36"/>
    <x v="154"/>
    <x v="3"/>
    <n v="5054"/>
  </r>
  <r>
    <x v="4"/>
    <x v="0"/>
    <x v="8"/>
    <x v="36"/>
    <x v="154"/>
    <x v="4"/>
    <n v="5054"/>
  </r>
  <r>
    <x v="4"/>
    <x v="0"/>
    <x v="8"/>
    <x v="36"/>
    <x v="154"/>
    <x v="5"/>
    <n v="5054"/>
  </r>
  <r>
    <x v="4"/>
    <x v="0"/>
    <x v="8"/>
    <x v="36"/>
    <x v="154"/>
    <x v="6"/>
    <n v="5054"/>
  </r>
  <r>
    <x v="4"/>
    <x v="0"/>
    <x v="8"/>
    <x v="36"/>
    <x v="154"/>
    <x v="7"/>
    <n v="5054"/>
  </r>
  <r>
    <x v="4"/>
    <x v="0"/>
    <x v="8"/>
    <x v="36"/>
    <x v="154"/>
    <x v="8"/>
    <n v="5054"/>
  </r>
  <r>
    <x v="4"/>
    <x v="0"/>
    <x v="8"/>
    <x v="36"/>
    <x v="154"/>
    <x v="9"/>
    <n v="5054"/>
  </r>
  <r>
    <x v="4"/>
    <x v="0"/>
    <x v="8"/>
    <x v="36"/>
    <x v="154"/>
    <x v="10"/>
    <n v="5054"/>
  </r>
  <r>
    <x v="4"/>
    <x v="0"/>
    <x v="8"/>
    <x v="36"/>
    <x v="154"/>
    <x v="11"/>
    <n v="5054"/>
  </r>
  <r>
    <x v="2"/>
    <x v="1"/>
    <x v="8"/>
    <x v="36"/>
    <x v="155"/>
    <x v="0"/>
    <n v="5037"/>
  </r>
  <r>
    <x v="2"/>
    <x v="1"/>
    <x v="8"/>
    <x v="36"/>
    <x v="155"/>
    <x v="1"/>
    <n v="5037"/>
  </r>
  <r>
    <x v="2"/>
    <x v="1"/>
    <x v="8"/>
    <x v="36"/>
    <x v="155"/>
    <x v="2"/>
    <n v="5037"/>
  </r>
  <r>
    <x v="2"/>
    <x v="1"/>
    <x v="8"/>
    <x v="36"/>
    <x v="155"/>
    <x v="3"/>
    <n v="5037"/>
  </r>
  <r>
    <x v="2"/>
    <x v="1"/>
    <x v="8"/>
    <x v="36"/>
    <x v="155"/>
    <x v="4"/>
    <n v="5037"/>
  </r>
  <r>
    <x v="2"/>
    <x v="1"/>
    <x v="8"/>
    <x v="36"/>
    <x v="155"/>
    <x v="5"/>
    <n v="5037"/>
  </r>
  <r>
    <x v="2"/>
    <x v="1"/>
    <x v="8"/>
    <x v="36"/>
    <x v="155"/>
    <x v="6"/>
    <n v="5037"/>
  </r>
  <r>
    <x v="2"/>
    <x v="1"/>
    <x v="8"/>
    <x v="36"/>
    <x v="155"/>
    <x v="7"/>
    <n v="5037"/>
  </r>
  <r>
    <x v="2"/>
    <x v="1"/>
    <x v="8"/>
    <x v="36"/>
    <x v="155"/>
    <x v="8"/>
    <n v="5037"/>
  </r>
  <r>
    <x v="2"/>
    <x v="1"/>
    <x v="8"/>
    <x v="36"/>
    <x v="155"/>
    <x v="9"/>
    <n v="5037"/>
  </r>
  <r>
    <x v="2"/>
    <x v="1"/>
    <x v="8"/>
    <x v="36"/>
    <x v="155"/>
    <x v="10"/>
    <n v="5037"/>
  </r>
  <r>
    <x v="2"/>
    <x v="1"/>
    <x v="8"/>
    <x v="36"/>
    <x v="155"/>
    <x v="11"/>
    <n v="5037"/>
  </r>
  <r>
    <x v="1"/>
    <x v="2"/>
    <x v="8"/>
    <x v="36"/>
    <x v="156"/>
    <x v="0"/>
    <n v="4726"/>
  </r>
  <r>
    <x v="1"/>
    <x v="2"/>
    <x v="8"/>
    <x v="36"/>
    <x v="156"/>
    <x v="1"/>
    <n v="4726"/>
  </r>
  <r>
    <x v="1"/>
    <x v="2"/>
    <x v="8"/>
    <x v="36"/>
    <x v="156"/>
    <x v="2"/>
    <n v="0"/>
  </r>
  <r>
    <x v="1"/>
    <x v="2"/>
    <x v="8"/>
    <x v="36"/>
    <x v="156"/>
    <x v="3"/>
    <n v="0"/>
  </r>
  <r>
    <x v="1"/>
    <x v="2"/>
    <x v="8"/>
    <x v="36"/>
    <x v="156"/>
    <x v="4"/>
    <n v="0"/>
  </r>
  <r>
    <x v="1"/>
    <x v="2"/>
    <x v="8"/>
    <x v="36"/>
    <x v="156"/>
    <x v="5"/>
    <n v="0"/>
  </r>
  <r>
    <x v="1"/>
    <x v="2"/>
    <x v="8"/>
    <x v="36"/>
    <x v="156"/>
    <x v="6"/>
    <n v="0"/>
  </r>
  <r>
    <x v="1"/>
    <x v="2"/>
    <x v="8"/>
    <x v="36"/>
    <x v="156"/>
    <x v="7"/>
    <n v="0"/>
  </r>
  <r>
    <x v="1"/>
    <x v="2"/>
    <x v="8"/>
    <x v="36"/>
    <x v="156"/>
    <x v="8"/>
    <n v="0"/>
  </r>
  <r>
    <x v="1"/>
    <x v="2"/>
    <x v="8"/>
    <x v="36"/>
    <x v="156"/>
    <x v="9"/>
    <n v="0"/>
  </r>
  <r>
    <x v="1"/>
    <x v="2"/>
    <x v="8"/>
    <x v="36"/>
    <x v="156"/>
    <x v="10"/>
    <n v="0"/>
  </r>
  <r>
    <x v="1"/>
    <x v="2"/>
    <x v="8"/>
    <x v="36"/>
    <x v="156"/>
    <x v="11"/>
    <n v="0"/>
  </r>
  <r>
    <x v="1"/>
    <x v="2"/>
    <x v="8"/>
    <x v="36"/>
    <x v="157"/>
    <x v="0"/>
    <n v="4263"/>
  </r>
  <r>
    <x v="1"/>
    <x v="2"/>
    <x v="8"/>
    <x v="36"/>
    <x v="157"/>
    <x v="1"/>
    <n v="4263"/>
  </r>
  <r>
    <x v="1"/>
    <x v="2"/>
    <x v="8"/>
    <x v="36"/>
    <x v="157"/>
    <x v="2"/>
    <n v="4263"/>
  </r>
  <r>
    <x v="1"/>
    <x v="2"/>
    <x v="8"/>
    <x v="36"/>
    <x v="157"/>
    <x v="3"/>
    <n v="4263"/>
  </r>
  <r>
    <x v="1"/>
    <x v="2"/>
    <x v="8"/>
    <x v="36"/>
    <x v="157"/>
    <x v="4"/>
    <n v="4263"/>
  </r>
  <r>
    <x v="1"/>
    <x v="2"/>
    <x v="8"/>
    <x v="36"/>
    <x v="157"/>
    <x v="5"/>
    <n v="4263"/>
  </r>
  <r>
    <x v="1"/>
    <x v="2"/>
    <x v="8"/>
    <x v="36"/>
    <x v="157"/>
    <x v="6"/>
    <n v="4263"/>
  </r>
  <r>
    <x v="1"/>
    <x v="2"/>
    <x v="8"/>
    <x v="36"/>
    <x v="157"/>
    <x v="7"/>
    <n v="4263"/>
  </r>
  <r>
    <x v="1"/>
    <x v="2"/>
    <x v="8"/>
    <x v="36"/>
    <x v="157"/>
    <x v="8"/>
    <n v="4263"/>
  </r>
  <r>
    <x v="1"/>
    <x v="2"/>
    <x v="8"/>
    <x v="36"/>
    <x v="157"/>
    <x v="9"/>
    <n v="4263"/>
  </r>
  <r>
    <x v="1"/>
    <x v="2"/>
    <x v="8"/>
    <x v="36"/>
    <x v="157"/>
    <x v="10"/>
    <n v="4263"/>
  </r>
  <r>
    <x v="1"/>
    <x v="2"/>
    <x v="8"/>
    <x v="36"/>
    <x v="157"/>
    <x v="11"/>
    <n v="4263"/>
  </r>
  <r>
    <x v="1"/>
    <x v="2"/>
    <x v="8"/>
    <x v="36"/>
    <x v="158"/>
    <x v="0"/>
    <n v="4174"/>
  </r>
  <r>
    <x v="1"/>
    <x v="2"/>
    <x v="8"/>
    <x v="36"/>
    <x v="158"/>
    <x v="1"/>
    <n v="4174"/>
  </r>
  <r>
    <x v="1"/>
    <x v="2"/>
    <x v="8"/>
    <x v="36"/>
    <x v="158"/>
    <x v="2"/>
    <n v="4174"/>
  </r>
  <r>
    <x v="1"/>
    <x v="2"/>
    <x v="8"/>
    <x v="36"/>
    <x v="158"/>
    <x v="3"/>
    <n v="4174"/>
  </r>
  <r>
    <x v="1"/>
    <x v="2"/>
    <x v="8"/>
    <x v="36"/>
    <x v="158"/>
    <x v="4"/>
    <n v="4174"/>
  </r>
  <r>
    <x v="1"/>
    <x v="2"/>
    <x v="8"/>
    <x v="36"/>
    <x v="158"/>
    <x v="5"/>
    <n v="4174"/>
  </r>
  <r>
    <x v="1"/>
    <x v="2"/>
    <x v="8"/>
    <x v="36"/>
    <x v="158"/>
    <x v="6"/>
    <n v="4174"/>
  </r>
  <r>
    <x v="1"/>
    <x v="2"/>
    <x v="8"/>
    <x v="36"/>
    <x v="158"/>
    <x v="7"/>
    <n v="4174"/>
  </r>
  <r>
    <x v="1"/>
    <x v="2"/>
    <x v="8"/>
    <x v="36"/>
    <x v="158"/>
    <x v="8"/>
    <n v="4174"/>
  </r>
  <r>
    <x v="1"/>
    <x v="2"/>
    <x v="8"/>
    <x v="36"/>
    <x v="158"/>
    <x v="9"/>
    <n v="4174"/>
  </r>
  <r>
    <x v="1"/>
    <x v="2"/>
    <x v="8"/>
    <x v="36"/>
    <x v="158"/>
    <x v="10"/>
    <n v="4174"/>
  </r>
  <r>
    <x v="1"/>
    <x v="2"/>
    <x v="8"/>
    <x v="36"/>
    <x v="158"/>
    <x v="11"/>
    <n v="4174"/>
  </r>
  <r>
    <x v="1"/>
    <x v="2"/>
    <x v="8"/>
    <x v="36"/>
    <x v="159"/>
    <x v="0"/>
    <n v="4085"/>
  </r>
  <r>
    <x v="1"/>
    <x v="2"/>
    <x v="8"/>
    <x v="36"/>
    <x v="159"/>
    <x v="1"/>
    <n v="4085"/>
  </r>
  <r>
    <x v="1"/>
    <x v="2"/>
    <x v="8"/>
    <x v="36"/>
    <x v="159"/>
    <x v="2"/>
    <n v="4085"/>
  </r>
  <r>
    <x v="1"/>
    <x v="2"/>
    <x v="8"/>
    <x v="36"/>
    <x v="159"/>
    <x v="3"/>
    <n v="4085"/>
  </r>
  <r>
    <x v="1"/>
    <x v="2"/>
    <x v="8"/>
    <x v="36"/>
    <x v="159"/>
    <x v="4"/>
    <n v="4085"/>
  </r>
  <r>
    <x v="1"/>
    <x v="2"/>
    <x v="8"/>
    <x v="36"/>
    <x v="159"/>
    <x v="5"/>
    <n v="4085"/>
  </r>
  <r>
    <x v="1"/>
    <x v="2"/>
    <x v="8"/>
    <x v="36"/>
    <x v="159"/>
    <x v="6"/>
    <n v="4085"/>
  </r>
  <r>
    <x v="1"/>
    <x v="2"/>
    <x v="8"/>
    <x v="36"/>
    <x v="159"/>
    <x v="7"/>
    <n v="4085"/>
  </r>
  <r>
    <x v="1"/>
    <x v="2"/>
    <x v="8"/>
    <x v="36"/>
    <x v="159"/>
    <x v="8"/>
    <n v="4085"/>
  </r>
  <r>
    <x v="1"/>
    <x v="2"/>
    <x v="8"/>
    <x v="36"/>
    <x v="159"/>
    <x v="9"/>
    <n v="4085"/>
  </r>
  <r>
    <x v="1"/>
    <x v="2"/>
    <x v="8"/>
    <x v="36"/>
    <x v="159"/>
    <x v="10"/>
    <n v="4085"/>
  </r>
  <r>
    <x v="1"/>
    <x v="2"/>
    <x v="8"/>
    <x v="36"/>
    <x v="159"/>
    <x v="11"/>
    <n v="4085"/>
  </r>
  <r>
    <x v="1"/>
    <x v="2"/>
    <x v="8"/>
    <x v="36"/>
    <x v="160"/>
    <x v="0"/>
    <n v="3918"/>
  </r>
  <r>
    <x v="1"/>
    <x v="2"/>
    <x v="8"/>
    <x v="36"/>
    <x v="160"/>
    <x v="1"/>
    <n v="3918"/>
  </r>
  <r>
    <x v="1"/>
    <x v="2"/>
    <x v="8"/>
    <x v="36"/>
    <x v="160"/>
    <x v="2"/>
    <n v="3918"/>
  </r>
  <r>
    <x v="1"/>
    <x v="2"/>
    <x v="8"/>
    <x v="36"/>
    <x v="160"/>
    <x v="3"/>
    <n v="3918"/>
  </r>
  <r>
    <x v="1"/>
    <x v="2"/>
    <x v="8"/>
    <x v="36"/>
    <x v="160"/>
    <x v="4"/>
    <n v="3918"/>
  </r>
  <r>
    <x v="1"/>
    <x v="2"/>
    <x v="8"/>
    <x v="36"/>
    <x v="160"/>
    <x v="5"/>
    <n v="3918"/>
  </r>
  <r>
    <x v="1"/>
    <x v="2"/>
    <x v="8"/>
    <x v="36"/>
    <x v="160"/>
    <x v="6"/>
    <n v="3918"/>
  </r>
  <r>
    <x v="1"/>
    <x v="2"/>
    <x v="8"/>
    <x v="36"/>
    <x v="160"/>
    <x v="7"/>
    <n v="3918"/>
  </r>
  <r>
    <x v="1"/>
    <x v="2"/>
    <x v="8"/>
    <x v="36"/>
    <x v="160"/>
    <x v="8"/>
    <n v="3918"/>
  </r>
  <r>
    <x v="1"/>
    <x v="2"/>
    <x v="8"/>
    <x v="36"/>
    <x v="160"/>
    <x v="9"/>
    <n v="3918"/>
  </r>
  <r>
    <x v="1"/>
    <x v="2"/>
    <x v="8"/>
    <x v="36"/>
    <x v="160"/>
    <x v="10"/>
    <n v="3918"/>
  </r>
  <r>
    <x v="1"/>
    <x v="2"/>
    <x v="8"/>
    <x v="36"/>
    <x v="160"/>
    <x v="11"/>
    <n v="3918"/>
  </r>
  <r>
    <x v="1"/>
    <x v="2"/>
    <x v="8"/>
    <x v="36"/>
    <x v="161"/>
    <x v="0"/>
    <n v="3908"/>
  </r>
  <r>
    <x v="1"/>
    <x v="2"/>
    <x v="8"/>
    <x v="36"/>
    <x v="161"/>
    <x v="1"/>
    <n v="3908"/>
  </r>
  <r>
    <x v="1"/>
    <x v="2"/>
    <x v="8"/>
    <x v="36"/>
    <x v="161"/>
    <x v="2"/>
    <n v="3908"/>
  </r>
  <r>
    <x v="1"/>
    <x v="2"/>
    <x v="8"/>
    <x v="36"/>
    <x v="161"/>
    <x v="3"/>
    <n v="3908"/>
  </r>
  <r>
    <x v="1"/>
    <x v="2"/>
    <x v="8"/>
    <x v="36"/>
    <x v="161"/>
    <x v="4"/>
    <n v="3908"/>
  </r>
  <r>
    <x v="1"/>
    <x v="2"/>
    <x v="8"/>
    <x v="36"/>
    <x v="161"/>
    <x v="5"/>
    <n v="3908"/>
  </r>
  <r>
    <x v="1"/>
    <x v="2"/>
    <x v="8"/>
    <x v="36"/>
    <x v="161"/>
    <x v="6"/>
    <n v="3908"/>
  </r>
  <r>
    <x v="1"/>
    <x v="2"/>
    <x v="8"/>
    <x v="36"/>
    <x v="161"/>
    <x v="7"/>
    <n v="3908"/>
  </r>
  <r>
    <x v="1"/>
    <x v="2"/>
    <x v="8"/>
    <x v="36"/>
    <x v="161"/>
    <x v="8"/>
    <n v="3908"/>
  </r>
  <r>
    <x v="1"/>
    <x v="2"/>
    <x v="8"/>
    <x v="36"/>
    <x v="161"/>
    <x v="9"/>
    <n v="3908"/>
  </r>
  <r>
    <x v="1"/>
    <x v="2"/>
    <x v="8"/>
    <x v="36"/>
    <x v="161"/>
    <x v="10"/>
    <n v="3908"/>
  </r>
  <r>
    <x v="1"/>
    <x v="2"/>
    <x v="8"/>
    <x v="36"/>
    <x v="161"/>
    <x v="11"/>
    <n v="3908"/>
  </r>
  <r>
    <x v="1"/>
    <x v="1"/>
    <x v="8"/>
    <x v="36"/>
    <x v="162"/>
    <x v="0"/>
    <n v="3777"/>
  </r>
  <r>
    <x v="1"/>
    <x v="1"/>
    <x v="8"/>
    <x v="36"/>
    <x v="162"/>
    <x v="1"/>
    <n v="3777"/>
  </r>
  <r>
    <x v="1"/>
    <x v="1"/>
    <x v="8"/>
    <x v="36"/>
    <x v="162"/>
    <x v="2"/>
    <n v="3777"/>
  </r>
  <r>
    <x v="1"/>
    <x v="1"/>
    <x v="8"/>
    <x v="36"/>
    <x v="162"/>
    <x v="3"/>
    <n v="3777"/>
  </r>
  <r>
    <x v="1"/>
    <x v="1"/>
    <x v="8"/>
    <x v="36"/>
    <x v="162"/>
    <x v="4"/>
    <n v="3777"/>
  </r>
  <r>
    <x v="1"/>
    <x v="1"/>
    <x v="8"/>
    <x v="36"/>
    <x v="162"/>
    <x v="5"/>
    <n v="3777"/>
  </r>
  <r>
    <x v="1"/>
    <x v="1"/>
    <x v="8"/>
    <x v="36"/>
    <x v="162"/>
    <x v="6"/>
    <n v="3777"/>
  </r>
  <r>
    <x v="1"/>
    <x v="1"/>
    <x v="8"/>
    <x v="36"/>
    <x v="162"/>
    <x v="7"/>
    <n v="3777"/>
  </r>
  <r>
    <x v="1"/>
    <x v="1"/>
    <x v="8"/>
    <x v="36"/>
    <x v="162"/>
    <x v="8"/>
    <n v="3777"/>
  </r>
  <r>
    <x v="1"/>
    <x v="1"/>
    <x v="8"/>
    <x v="36"/>
    <x v="162"/>
    <x v="9"/>
    <n v="3777"/>
  </r>
  <r>
    <x v="1"/>
    <x v="1"/>
    <x v="8"/>
    <x v="36"/>
    <x v="162"/>
    <x v="10"/>
    <n v="3777"/>
  </r>
  <r>
    <x v="1"/>
    <x v="1"/>
    <x v="8"/>
    <x v="36"/>
    <x v="162"/>
    <x v="11"/>
    <n v="3777"/>
  </r>
  <r>
    <x v="1"/>
    <x v="2"/>
    <x v="8"/>
    <x v="36"/>
    <x v="163"/>
    <x v="0"/>
    <n v="3690"/>
  </r>
  <r>
    <x v="1"/>
    <x v="2"/>
    <x v="8"/>
    <x v="36"/>
    <x v="163"/>
    <x v="1"/>
    <n v="3690"/>
  </r>
  <r>
    <x v="1"/>
    <x v="2"/>
    <x v="8"/>
    <x v="36"/>
    <x v="163"/>
    <x v="2"/>
    <n v="3690"/>
  </r>
  <r>
    <x v="1"/>
    <x v="2"/>
    <x v="8"/>
    <x v="36"/>
    <x v="163"/>
    <x v="3"/>
    <n v="3690"/>
  </r>
  <r>
    <x v="1"/>
    <x v="2"/>
    <x v="8"/>
    <x v="36"/>
    <x v="163"/>
    <x v="4"/>
    <n v="3690"/>
  </r>
  <r>
    <x v="1"/>
    <x v="2"/>
    <x v="8"/>
    <x v="36"/>
    <x v="163"/>
    <x v="5"/>
    <n v="3690"/>
  </r>
  <r>
    <x v="1"/>
    <x v="2"/>
    <x v="8"/>
    <x v="36"/>
    <x v="163"/>
    <x v="6"/>
    <n v="3690"/>
  </r>
  <r>
    <x v="1"/>
    <x v="2"/>
    <x v="8"/>
    <x v="36"/>
    <x v="163"/>
    <x v="7"/>
    <n v="3690"/>
  </r>
  <r>
    <x v="1"/>
    <x v="2"/>
    <x v="8"/>
    <x v="36"/>
    <x v="163"/>
    <x v="8"/>
    <n v="3690"/>
  </r>
  <r>
    <x v="1"/>
    <x v="2"/>
    <x v="8"/>
    <x v="36"/>
    <x v="163"/>
    <x v="9"/>
    <n v="3690"/>
  </r>
  <r>
    <x v="1"/>
    <x v="2"/>
    <x v="8"/>
    <x v="36"/>
    <x v="163"/>
    <x v="10"/>
    <n v="3690"/>
  </r>
  <r>
    <x v="1"/>
    <x v="2"/>
    <x v="8"/>
    <x v="36"/>
    <x v="163"/>
    <x v="11"/>
    <n v="3690"/>
  </r>
  <r>
    <x v="1"/>
    <x v="2"/>
    <x v="8"/>
    <x v="36"/>
    <x v="164"/>
    <x v="0"/>
    <n v="3641"/>
  </r>
  <r>
    <x v="1"/>
    <x v="2"/>
    <x v="8"/>
    <x v="36"/>
    <x v="164"/>
    <x v="1"/>
    <n v="0"/>
  </r>
  <r>
    <x v="1"/>
    <x v="2"/>
    <x v="8"/>
    <x v="36"/>
    <x v="164"/>
    <x v="2"/>
    <n v="0"/>
  </r>
  <r>
    <x v="1"/>
    <x v="2"/>
    <x v="8"/>
    <x v="36"/>
    <x v="164"/>
    <x v="3"/>
    <n v="0"/>
  </r>
  <r>
    <x v="1"/>
    <x v="2"/>
    <x v="8"/>
    <x v="36"/>
    <x v="164"/>
    <x v="4"/>
    <n v="0"/>
  </r>
  <r>
    <x v="1"/>
    <x v="2"/>
    <x v="8"/>
    <x v="36"/>
    <x v="164"/>
    <x v="5"/>
    <n v="0"/>
  </r>
  <r>
    <x v="1"/>
    <x v="2"/>
    <x v="8"/>
    <x v="36"/>
    <x v="164"/>
    <x v="6"/>
    <n v="0"/>
  </r>
  <r>
    <x v="1"/>
    <x v="2"/>
    <x v="8"/>
    <x v="36"/>
    <x v="164"/>
    <x v="7"/>
    <n v="0"/>
  </r>
  <r>
    <x v="1"/>
    <x v="2"/>
    <x v="8"/>
    <x v="36"/>
    <x v="164"/>
    <x v="8"/>
    <n v="0"/>
  </r>
  <r>
    <x v="1"/>
    <x v="2"/>
    <x v="8"/>
    <x v="36"/>
    <x v="164"/>
    <x v="9"/>
    <n v="0"/>
  </r>
  <r>
    <x v="1"/>
    <x v="2"/>
    <x v="8"/>
    <x v="36"/>
    <x v="164"/>
    <x v="10"/>
    <n v="0"/>
  </r>
  <r>
    <x v="1"/>
    <x v="2"/>
    <x v="8"/>
    <x v="36"/>
    <x v="164"/>
    <x v="11"/>
    <n v="0"/>
  </r>
  <r>
    <x v="1"/>
    <x v="4"/>
    <x v="8"/>
    <x v="36"/>
    <x v="165"/>
    <x v="0"/>
    <n v="3638"/>
  </r>
  <r>
    <x v="1"/>
    <x v="4"/>
    <x v="8"/>
    <x v="36"/>
    <x v="165"/>
    <x v="1"/>
    <n v="4000"/>
  </r>
  <r>
    <x v="1"/>
    <x v="4"/>
    <x v="8"/>
    <x v="36"/>
    <x v="165"/>
    <x v="2"/>
    <n v="4000"/>
  </r>
  <r>
    <x v="1"/>
    <x v="4"/>
    <x v="8"/>
    <x v="36"/>
    <x v="165"/>
    <x v="3"/>
    <n v="4000"/>
  </r>
  <r>
    <x v="1"/>
    <x v="4"/>
    <x v="8"/>
    <x v="36"/>
    <x v="165"/>
    <x v="4"/>
    <n v="4000"/>
  </r>
  <r>
    <x v="1"/>
    <x v="4"/>
    <x v="8"/>
    <x v="36"/>
    <x v="165"/>
    <x v="5"/>
    <n v="4000"/>
  </r>
  <r>
    <x v="1"/>
    <x v="4"/>
    <x v="8"/>
    <x v="36"/>
    <x v="165"/>
    <x v="6"/>
    <n v="4000"/>
  </r>
  <r>
    <x v="1"/>
    <x v="4"/>
    <x v="8"/>
    <x v="36"/>
    <x v="165"/>
    <x v="7"/>
    <n v="4000"/>
  </r>
  <r>
    <x v="1"/>
    <x v="4"/>
    <x v="8"/>
    <x v="36"/>
    <x v="165"/>
    <x v="8"/>
    <n v="4000"/>
  </r>
  <r>
    <x v="1"/>
    <x v="4"/>
    <x v="8"/>
    <x v="36"/>
    <x v="165"/>
    <x v="9"/>
    <n v="4000"/>
  </r>
  <r>
    <x v="1"/>
    <x v="4"/>
    <x v="8"/>
    <x v="36"/>
    <x v="165"/>
    <x v="10"/>
    <n v="4000"/>
  </r>
  <r>
    <x v="1"/>
    <x v="4"/>
    <x v="8"/>
    <x v="36"/>
    <x v="165"/>
    <x v="11"/>
    <n v="4000"/>
  </r>
  <r>
    <x v="1"/>
    <x v="2"/>
    <x v="8"/>
    <x v="36"/>
    <x v="166"/>
    <x v="0"/>
    <n v="1690"/>
  </r>
  <r>
    <x v="1"/>
    <x v="2"/>
    <x v="8"/>
    <x v="36"/>
    <x v="166"/>
    <x v="1"/>
    <n v="1690"/>
  </r>
  <r>
    <x v="1"/>
    <x v="2"/>
    <x v="8"/>
    <x v="36"/>
    <x v="166"/>
    <x v="2"/>
    <n v="0"/>
  </r>
  <r>
    <x v="1"/>
    <x v="2"/>
    <x v="8"/>
    <x v="36"/>
    <x v="166"/>
    <x v="3"/>
    <n v="0"/>
  </r>
  <r>
    <x v="1"/>
    <x v="2"/>
    <x v="8"/>
    <x v="36"/>
    <x v="166"/>
    <x v="4"/>
    <n v="0"/>
  </r>
  <r>
    <x v="1"/>
    <x v="2"/>
    <x v="8"/>
    <x v="36"/>
    <x v="166"/>
    <x v="5"/>
    <n v="0"/>
  </r>
  <r>
    <x v="1"/>
    <x v="2"/>
    <x v="8"/>
    <x v="36"/>
    <x v="166"/>
    <x v="6"/>
    <n v="0"/>
  </r>
  <r>
    <x v="1"/>
    <x v="2"/>
    <x v="8"/>
    <x v="36"/>
    <x v="166"/>
    <x v="7"/>
    <n v="0"/>
  </r>
  <r>
    <x v="1"/>
    <x v="2"/>
    <x v="8"/>
    <x v="36"/>
    <x v="166"/>
    <x v="8"/>
    <n v="0"/>
  </r>
  <r>
    <x v="1"/>
    <x v="2"/>
    <x v="8"/>
    <x v="36"/>
    <x v="166"/>
    <x v="9"/>
    <n v="0"/>
  </r>
  <r>
    <x v="1"/>
    <x v="2"/>
    <x v="8"/>
    <x v="36"/>
    <x v="166"/>
    <x v="10"/>
    <n v="0"/>
  </r>
  <r>
    <x v="1"/>
    <x v="2"/>
    <x v="8"/>
    <x v="36"/>
    <x v="166"/>
    <x v="11"/>
    <n v="0"/>
  </r>
  <r>
    <x v="1"/>
    <x v="2"/>
    <x v="8"/>
    <x v="36"/>
    <x v="167"/>
    <x v="0"/>
    <n v="3607"/>
  </r>
  <r>
    <x v="1"/>
    <x v="2"/>
    <x v="8"/>
    <x v="36"/>
    <x v="167"/>
    <x v="1"/>
    <n v="3607"/>
  </r>
  <r>
    <x v="1"/>
    <x v="2"/>
    <x v="8"/>
    <x v="36"/>
    <x v="167"/>
    <x v="2"/>
    <n v="0"/>
  </r>
  <r>
    <x v="1"/>
    <x v="2"/>
    <x v="8"/>
    <x v="36"/>
    <x v="167"/>
    <x v="3"/>
    <n v="0"/>
  </r>
  <r>
    <x v="1"/>
    <x v="2"/>
    <x v="8"/>
    <x v="36"/>
    <x v="167"/>
    <x v="4"/>
    <n v="0"/>
  </r>
  <r>
    <x v="1"/>
    <x v="2"/>
    <x v="8"/>
    <x v="36"/>
    <x v="167"/>
    <x v="5"/>
    <n v="0"/>
  </r>
  <r>
    <x v="1"/>
    <x v="2"/>
    <x v="8"/>
    <x v="36"/>
    <x v="167"/>
    <x v="6"/>
    <n v="0"/>
  </r>
  <r>
    <x v="1"/>
    <x v="2"/>
    <x v="8"/>
    <x v="36"/>
    <x v="167"/>
    <x v="7"/>
    <n v="0"/>
  </r>
  <r>
    <x v="1"/>
    <x v="2"/>
    <x v="8"/>
    <x v="36"/>
    <x v="167"/>
    <x v="8"/>
    <n v="0"/>
  </r>
  <r>
    <x v="1"/>
    <x v="2"/>
    <x v="8"/>
    <x v="36"/>
    <x v="167"/>
    <x v="9"/>
    <n v="0"/>
  </r>
  <r>
    <x v="1"/>
    <x v="2"/>
    <x v="8"/>
    <x v="36"/>
    <x v="167"/>
    <x v="10"/>
    <n v="0"/>
  </r>
  <r>
    <x v="1"/>
    <x v="2"/>
    <x v="8"/>
    <x v="36"/>
    <x v="167"/>
    <x v="11"/>
    <n v="0"/>
  </r>
  <r>
    <x v="3"/>
    <x v="0"/>
    <x v="8"/>
    <x v="36"/>
    <x v="168"/>
    <x v="0"/>
    <n v="3598"/>
  </r>
  <r>
    <x v="3"/>
    <x v="0"/>
    <x v="8"/>
    <x v="36"/>
    <x v="168"/>
    <x v="1"/>
    <n v="3598"/>
  </r>
  <r>
    <x v="3"/>
    <x v="0"/>
    <x v="8"/>
    <x v="36"/>
    <x v="168"/>
    <x v="2"/>
    <n v="3598"/>
  </r>
  <r>
    <x v="3"/>
    <x v="0"/>
    <x v="8"/>
    <x v="36"/>
    <x v="168"/>
    <x v="3"/>
    <n v="3598"/>
  </r>
  <r>
    <x v="3"/>
    <x v="0"/>
    <x v="8"/>
    <x v="36"/>
    <x v="168"/>
    <x v="4"/>
    <n v="3598"/>
  </r>
  <r>
    <x v="3"/>
    <x v="0"/>
    <x v="8"/>
    <x v="36"/>
    <x v="168"/>
    <x v="5"/>
    <n v="3598"/>
  </r>
  <r>
    <x v="3"/>
    <x v="0"/>
    <x v="8"/>
    <x v="36"/>
    <x v="168"/>
    <x v="6"/>
    <n v="3598"/>
  </r>
  <r>
    <x v="3"/>
    <x v="0"/>
    <x v="8"/>
    <x v="36"/>
    <x v="168"/>
    <x v="7"/>
    <n v="3598"/>
  </r>
  <r>
    <x v="3"/>
    <x v="0"/>
    <x v="8"/>
    <x v="36"/>
    <x v="168"/>
    <x v="8"/>
    <n v="3598"/>
  </r>
  <r>
    <x v="3"/>
    <x v="0"/>
    <x v="8"/>
    <x v="36"/>
    <x v="168"/>
    <x v="9"/>
    <n v="3598"/>
  </r>
  <r>
    <x v="3"/>
    <x v="0"/>
    <x v="8"/>
    <x v="36"/>
    <x v="168"/>
    <x v="10"/>
    <n v="3598"/>
  </r>
  <r>
    <x v="3"/>
    <x v="0"/>
    <x v="8"/>
    <x v="36"/>
    <x v="168"/>
    <x v="11"/>
    <n v="3598"/>
  </r>
  <r>
    <x v="3"/>
    <x v="2"/>
    <x v="8"/>
    <x v="36"/>
    <x v="169"/>
    <x v="0"/>
    <n v="3591"/>
  </r>
  <r>
    <x v="3"/>
    <x v="2"/>
    <x v="8"/>
    <x v="36"/>
    <x v="169"/>
    <x v="1"/>
    <n v="3591"/>
  </r>
  <r>
    <x v="3"/>
    <x v="2"/>
    <x v="8"/>
    <x v="36"/>
    <x v="169"/>
    <x v="2"/>
    <n v="3591"/>
  </r>
  <r>
    <x v="3"/>
    <x v="2"/>
    <x v="8"/>
    <x v="36"/>
    <x v="169"/>
    <x v="3"/>
    <n v="3591"/>
  </r>
  <r>
    <x v="3"/>
    <x v="2"/>
    <x v="8"/>
    <x v="36"/>
    <x v="169"/>
    <x v="4"/>
    <n v="3591"/>
  </r>
  <r>
    <x v="3"/>
    <x v="2"/>
    <x v="8"/>
    <x v="36"/>
    <x v="169"/>
    <x v="5"/>
    <n v="3591"/>
  </r>
  <r>
    <x v="3"/>
    <x v="2"/>
    <x v="8"/>
    <x v="36"/>
    <x v="169"/>
    <x v="6"/>
    <n v="3591"/>
  </r>
  <r>
    <x v="3"/>
    <x v="2"/>
    <x v="8"/>
    <x v="36"/>
    <x v="169"/>
    <x v="7"/>
    <n v="3591"/>
  </r>
  <r>
    <x v="3"/>
    <x v="2"/>
    <x v="8"/>
    <x v="36"/>
    <x v="169"/>
    <x v="8"/>
    <n v="3591"/>
  </r>
  <r>
    <x v="3"/>
    <x v="2"/>
    <x v="8"/>
    <x v="36"/>
    <x v="169"/>
    <x v="9"/>
    <n v="3591"/>
  </r>
  <r>
    <x v="3"/>
    <x v="2"/>
    <x v="8"/>
    <x v="36"/>
    <x v="169"/>
    <x v="10"/>
    <n v="3591"/>
  </r>
  <r>
    <x v="3"/>
    <x v="2"/>
    <x v="8"/>
    <x v="36"/>
    <x v="169"/>
    <x v="11"/>
    <n v="3591"/>
  </r>
  <r>
    <x v="1"/>
    <x v="2"/>
    <x v="8"/>
    <x v="36"/>
    <x v="170"/>
    <x v="0"/>
    <n v="3550"/>
  </r>
  <r>
    <x v="1"/>
    <x v="2"/>
    <x v="8"/>
    <x v="36"/>
    <x v="170"/>
    <x v="1"/>
    <n v="3550"/>
  </r>
  <r>
    <x v="1"/>
    <x v="2"/>
    <x v="8"/>
    <x v="36"/>
    <x v="170"/>
    <x v="2"/>
    <n v="3550"/>
  </r>
  <r>
    <x v="1"/>
    <x v="2"/>
    <x v="8"/>
    <x v="36"/>
    <x v="170"/>
    <x v="3"/>
    <n v="3550"/>
  </r>
  <r>
    <x v="1"/>
    <x v="2"/>
    <x v="8"/>
    <x v="36"/>
    <x v="170"/>
    <x v="4"/>
    <n v="3550"/>
  </r>
  <r>
    <x v="1"/>
    <x v="2"/>
    <x v="8"/>
    <x v="36"/>
    <x v="170"/>
    <x v="5"/>
    <n v="3550"/>
  </r>
  <r>
    <x v="1"/>
    <x v="2"/>
    <x v="8"/>
    <x v="36"/>
    <x v="170"/>
    <x v="6"/>
    <n v="3550"/>
  </r>
  <r>
    <x v="1"/>
    <x v="2"/>
    <x v="8"/>
    <x v="36"/>
    <x v="170"/>
    <x v="7"/>
    <n v="3550"/>
  </r>
  <r>
    <x v="1"/>
    <x v="2"/>
    <x v="8"/>
    <x v="36"/>
    <x v="170"/>
    <x v="8"/>
    <n v="3550"/>
  </r>
  <r>
    <x v="1"/>
    <x v="2"/>
    <x v="8"/>
    <x v="36"/>
    <x v="170"/>
    <x v="9"/>
    <n v="3550"/>
  </r>
  <r>
    <x v="1"/>
    <x v="2"/>
    <x v="8"/>
    <x v="36"/>
    <x v="170"/>
    <x v="10"/>
    <n v="3550"/>
  </r>
  <r>
    <x v="1"/>
    <x v="2"/>
    <x v="8"/>
    <x v="36"/>
    <x v="170"/>
    <x v="11"/>
    <n v="3550"/>
  </r>
  <r>
    <x v="1"/>
    <x v="5"/>
    <x v="8"/>
    <x v="36"/>
    <x v="171"/>
    <x v="0"/>
    <n v="0"/>
  </r>
  <r>
    <x v="1"/>
    <x v="5"/>
    <x v="8"/>
    <x v="36"/>
    <x v="171"/>
    <x v="1"/>
    <n v="8500"/>
  </r>
  <r>
    <x v="1"/>
    <x v="5"/>
    <x v="8"/>
    <x v="36"/>
    <x v="171"/>
    <x v="2"/>
    <n v="8500"/>
  </r>
  <r>
    <x v="1"/>
    <x v="5"/>
    <x v="8"/>
    <x v="36"/>
    <x v="171"/>
    <x v="3"/>
    <n v="8500"/>
  </r>
  <r>
    <x v="1"/>
    <x v="5"/>
    <x v="8"/>
    <x v="36"/>
    <x v="171"/>
    <x v="4"/>
    <n v="8500"/>
  </r>
  <r>
    <x v="1"/>
    <x v="5"/>
    <x v="8"/>
    <x v="36"/>
    <x v="171"/>
    <x v="5"/>
    <n v="8500"/>
  </r>
  <r>
    <x v="1"/>
    <x v="5"/>
    <x v="8"/>
    <x v="36"/>
    <x v="171"/>
    <x v="6"/>
    <n v="8500"/>
  </r>
  <r>
    <x v="1"/>
    <x v="5"/>
    <x v="8"/>
    <x v="36"/>
    <x v="171"/>
    <x v="7"/>
    <n v="8500"/>
  </r>
  <r>
    <x v="1"/>
    <x v="5"/>
    <x v="8"/>
    <x v="36"/>
    <x v="171"/>
    <x v="8"/>
    <n v="8500"/>
  </r>
  <r>
    <x v="1"/>
    <x v="5"/>
    <x v="8"/>
    <x v="36"/>
    <x v="171"/>
    <x v="9"/>
    <n v="8500"/>
  </r>
  <r>
    <x v="1"/>
    <x v="5"/>
    <x v="8"/>
    <x v="36"/>
    <x v="171"/>
    <x v="10"/>
    <n v="8500"/>
  </r>
  <r>
    <x v="1"/>
    <x v="5"/>
    <x v="8"/>
    <x v="36"/>
    <x v="171"/>
    <x v="11"/>
    <n v="8500"/>
  </r>
  <r>
    <x v="3"/>
    <x v="2"/>
    <x v="8"/>
    <x v="36"/>
    <x v="172"/>
    <x v="0"/>
    <n v="3459"/>
  </r>
  <r>
    <x v="3"/>
    <x v="2"/>
    <x v="8"/>
    <x v="36"/>
    <x v="172"/>
    <x v="1"/>
    <n v="3459"/>
  </r>
  <r>
    <x v="3"/>
    <x v="2"/>
    <x v="8"/>
    <x v="36"/>
    <x v="172"/>
    <x v="2"/>
    <n v="3459"/>
  </r>
  <r>
    <x v="3"/>
    <x v="2"/>
    <x v="8"/>
    <x v="36"/>
    <x v="172"/>
    <x v="3"/>
    <n v="3459"/>
  </r>
  <r>
    <x v="3"/>
    <x v="2"/>
    <x v="8"/>
    <x v="36"/>
    <x v="172"/>
    <x v="4"/>
    <n v="3459"/>
  </r>
  <r>
    <x v="3"/>
    <x v="2"/>
    <x v="8"/>
    <x v="36"/>
    <x v="172"/>
    <x v="5"/>
    <n v="3459"/>
  </r>
  <r>
    <x v="3"/>
    <x v="2"/>
    <x v="8"/>
    <x v="36"/>
    <x v="172"/>
    <x v="6"/>
    <n v="3459"/>
  </r>
  <r>
    <x v="3"/>
    <x v="2"/>
    <x v="8"/>
    <x v="36"/>
    <x v="172"/>
    <x v="7"/>
    <n v="3459"/>
  </r>
  <r>
    <x v="3"/>
    <x v="2"/>
    <x v="8"/>
    <x v="36"/>
    <x v="172"/>
    <x v="8"/>
    <n v="3459"/>
  </r>
  <r>
    <x v="3"/>
    <x v="2"/>
    <x v="8"/>
    <x v="36"/>
    <x v="172"/>
    <x v="9"/>
    <n v="3459"/>
  </r>
  <r>
    <x v="3"/>
    <x v="2"/>
    <x v="8"/>
    <x v="36"/>
    <x v="172"/>
    <x v="10"/>
    <n v="3459"/>
  </r>
  <r>
    <x v="3"/>
    <x v="2"/>
    <x v="8"/>
    <x v="36"/>
    <x v="172"/>
    <x v="11"/>
    <n v="3459"/>
  </r>
  <r>
    <x v="1"/>
    <x v="2"/>
    <x v="8"/>
    <x v="36"/>
    <x v="173"/>
    <x v="0"/>
    <n v="3359"/>
  </r>
  <r>
    <x v="1"/>
    <x v="2"/>
    <x v="8"/>
    <x v="36"/>
    <x v="173"/>
    <x v="1"/>
    <n v="3359"/>
  </r>
  <r>
    <x v="1"/>
    <x v="2"/>
    <x v="8"/>
    <x v="36"/>
    <x v="173"/>
    <x v="2"/>
    <n v="0"/>
  </r>
  <r>
    <x v="1"/>
    <x v="2"/>
    <x v="8"/>
    <x v="36"/>
    <x v="173"/>
    <x v="3"/>
    <n v="0"/>
  </r>
  <r>
    <x v="1"/>
    <x v="2"/>
    <x v="8"/>
    <x v="36"/>
    <x v="173"/>
    <x v="4"/>
    <n v="0"/>
  </r>
  <r>
    <x v="1"/>
    <x v="2"/>
    <x v="8"/>
    <x v="36"/>
    <x v="173"/>
    <x v="5"/>
    <n v="0"/>
  </r>
  <r>
    <x v="1"/>
    <x v="2"/>
    <x v="8"/>
    <x v="36"/>
    <x v="173"/>
    <x v="6"/>
    <n v="0"/>
  </r>
  <r>
    <x v="1"/>
    <x v="2"/>
    <x v="8"/>
    <x v="36"/>
    <x v="173"/>
    <x v="7"/>
    <n v="0"/>
  </r>
  <r>
    <x v="1"/>
    <x v="2"/>
    <x v="8"/>
    <x v="36"/>
    <x v="173"/>
    <x v="8"/>
    <n v="0"/>
  </r>
  <r>
    <x v="1"/>
    <x v="2"/>
    <x v="8"/>
    <x v="36"/>
    <x v="173"/>
    <x v="9"/>
    <n v="0"/>
  </r>
  <r>
    <x v="1"/>
    <x v="2"/>
    <x v="8"/>
    <x v="36"/>
    <x v="173"/>
    <x v="10"/>
    <n v="0"/>
  </r>
  <r>
    <x v="1"/>
    <x v="2"/>
    <x v="8"/>
    <x v="36"/>
    <x v="173"/>
    <x v="11"/>
    <n v="0"/>
  </r>
  <r>
    <x v="2"/>
    <x v="0"/>
    <x v="8"/>
    <x v="36"/>
    <x v="174"/>
    <x v="0"/>
    <n v="3320"/>
  </r>
  <r>
    <x v="2"/>
    <x v="0"/>
    <x v="8"/>
    <x v="36"/>
    <x v="174"/>
    <x v="1"/>
    <n v="3320"/>
  </r>
  <r>
    <x v="2"/>
    <x v="0"/>
    <x v="8"/>
    <x v="36"/>
    <x v="174"/>
    <x v="2"/>
    <n v="3320"/>
  </r>
  <r>
    <x v="2"/>
    <x v="0"/>
    <x v="8"/>
    <x v="36"/>
    <x v="174"/>
    <x v="3"/>
    <n v="3320"/>
  </r>
  <r>
    <x v="2"/>
    <x v="0"/>
    <x v="8"/>
    <x v="36"/>
    <x v="174"/>
    <x v="4"/>
    <n v="3320"/>
  </r>
  <r>
    <x v="2"/>
    <x v="0"/>
    <x v="8"/>
    <x v="36"/>
    <x v="174"/>
    <x v="5"/>
    <n v="3320"/>
  </r>
  <r>
    <x v="2"/>
    <x v="0"/>
    <x v="8"/>
    <x v="36"/>
    <x v="174"/>
    <x v="6"/>
    <n v="3320"/>
  </r>
  <r>
    <x v="2"/>
    <x v="0"/>
    <x v="8"/>
    <x v="36"/>
    <x v="174"/>
    <x v="7"/>
    <n v="3320"/>
  </r>
  <r>
    <x v="2"/>
    <x v="0"/>
    <x v="8"/>
    <x v="36"/>
    <x v="174"/>
    <x v="8"/>
    <n v="3320"/>
  </r>
  <r>
    <x v="2"/>
    <x v="0"/>
    <x v="8"/>
    <x v="36"/>
    <x v="174"/>
    <x v="9"/>
    <n v="3320"/>
  </r>
  <r>
    <x v="2"/>
    <x v="0"/>
    <x v="8"/>
    <x v="36"/>
    <x v="174"/>
    <x v="10"/>
    <n v="3320"/>
  </r>
  <r>
    <x v="2"/>
    <x v="0"/>
    <x v="8"/>
    <x v="36"/>
    <x v="174"/>
    <x v="11"/>
    <n v="3320"/>
  </r>
  <r>
    <x v="1"/>
    <x v="2"/>
    <x v="8"/>
    <x v="36"/>
    <x v="175"/>
    <x v="0"/>
    <n v="3283"/>
  </r>
  <r>
    <x v="1"/>
    <x v="2"/>
    <x v="8"/>
    <x v="36"/>
    <x v="175"/>
    <x v="1"/>
    <n v="3283"/>
  </r>
  <r>
    <x v="1"/>
    <x v="2"/>
    <x v="8"/>
    <x v="36"/>
    <x v="175"/>
    <x v="2"/>
    <n v="3283"/>
  </r>
  <r>
    <x v="1"/>
    <x v="2"/>
    <x v="8"/>
    <x v="36"/>
    <x v="175"/>
    <x v="3"/>
    <n v="3283"/>
  </r>
  <r>
    <x v="1"/>
    <x v="2"/>
    <x v="8"/>
    <x v="36"/>
    <x v="175"/>
    <x v="4"/>
    <n v="3283"/>
  </r>
  <r>
    <x v="1"/>
    <x v="2"/>
    <x v="8"/>
    <x v="36"/>
    <x v="175"/>
    <x v="5"/>
    <n v="3283"/>
  </r>
  <r>
    <x v="1"/>
    <x v="2"/>
    <x v="8"/>
    <x v="36"/>
    <x v="175"/>
    <x v="6"/>
    <n v="3283"/>
  </r>
  <r>
    <x v="1"/>
    <x v="2"/>
    <x v="8"/>
    <x v="36"/>
    <x v="175"/>
    <x v="7"/>
    <n v="3283"/>
  </r>
  <r>
    <x v="1"/>
    <x v="2"/>
    <x v="8"/>
    <x v="36"/>
    <x v="175"/>
    <x v="8"/>
    <n v="3283"/>
  </r>
  <r>
    <x v="1"/>
    <x v="2"/>
    <x v="8"/>
    <x v="36"/>
    <x v="175"/>
    <x v="9"/>
    <n v="3283"/>
  </r>
  <r>
    <x v="1"/>
    <x v="2"/>
    <x v="8"/>
    <x v="36"/>
    <x v="175"/>
    <x v="10"/>
    <n v="3283"/>
  </r>
  <r>
    <x v="1"/>
    <x v="2"/>
    <x v="8"/>
    <x v="36"/>
    <x v="175"/>
    <x v="11"/>
    <n v="3283"/>
  </r>
  <r>
    <x v="3"/>
    <x v="5"/>
    <x v="8"/>
    <x v="36"/>
    <x v="176"/>
    <x v="0"/>
    <n v="3219"/>
  </r>
  <r>
    <x v="3"/>
    <x v="5"/>
    <x v="8"/>
    <x v="36"/>
    <x v="176"/>
    <x v="1"/>
    <n v="3219"/>
  </r>
  <r>
    <x v="3"/>
    <x v="5"/>
    <x v="8"/>
    <x v="36"/>
    <x v="176"/>
    <x v="2"/>
    <n v="3219"/>
  </r>
  <r>
    <x v="3"/>
    <x v="5"/>
    <x v="8"/>
    <x v="36"/>
    <x v="176"/>
    <x v="3"/>
    <n v="3219"/>
  </r>
  <r>
    <x v="3"/>
    <x v="5"/>
    <x v="8"/>
    <x v="36"/>
    <x v="176"/>
    <x v="4"/>
    <n v="3219"/>
  </r>
  <r>
    <x v="3"/>
    <x v="5"/>
    <x v="8"/>
    <x v="36"/>
    <x v="176"/>
    <x v="5"/>
    <n v="3219"/>
  </r>
  <r>
    <x v="3"/>
    <x v="5"/>
    <x v="8"/>
    <x v="36"/>
    <x v="176"/>
    <x v="6"/>
    <n v="3219"/>
  </r>
  <r>
    <x v="3"/>
    <x v="5"/>
    <x v="8"/>
    <x v="36"/>
    <x v="176"/>
    <x v="7"/>
    <n v="3219"/>
  </r>
  <r>
    <x v="3"/>
    <x v="5"/>
    <x v="8"/>
    <x v="36"/>
    <x v="176"/>
    <x v="8"/>
    <n v="3219"/>
  </r>
  <r>
    <x v="3"/>
    <x v="5"/>
    <x v="8"/>
    <x v="36"/>
    <x v="176"/>
    <x v="9"/>
    <n v="3219"/>
  </r>
  <r>
    <x v="3"/>
    <x v="5"/>
    <x v="8"/>
    <x v="36"/>
    <x v="176"/>
    <x v="10"/>
    <n v="3219"/>
  </r>
  <r>
    <x v="3"/>
    <x v="5"/>
    <x v="8"/>
    <x v="36"/>
    <x v="176"/>
    <x v="11"/>
    <n v="3219"/>
  </r>
  <r>
    <x v="3"/>
    <x v="5"/>
    <x v="8"/>
    <x v="36"/>
    <x v="177"/>
    <x v="0"/>
    <n v="3219"/>
  </r>
  <r>
    <x v="3"/>
    <x v="5"/>
    <x v="8"/>
    <x v="36"/>
    <x v="177"/>
    <x v="1"/>
    <n v="3219"/>
  </r>
  <r>
    <x v="3"/>
    <x v="5"/>
    <x v="8"/>
    <x v="36"/>
    <x v="177"/>
    <x v="2"/>
    <n v="3219"/>
  </r>
  <r>
    <x v="3"/>
    <x v="5"/>
    <x v="8"/>
    <x v="36"/>
    <x v="177"/>
    <x v="3"/>
    <n v="3219"/>
  </r>
  <r>
    <x v="3"/>
    <x v="5"/>
    <x v="8"/>
    <x v="36"/>
    <x v="177"/>
    <x v="4"/>
    <n v="3219"/>
  </r>
  <r>
    <x v="3"/>
    <x v="5"/>
    <x v="8"/>
    <x v="36"/>
    <x v="177"/>
    <x v="5"/>
    <n v="3219"/>
  </r>
  <r>
    <x v="3"/>
    <x v="5"/>
    <x v="8"/>
    <x v="36"/>
    <x v="177"/>
    <x v="6"/>
    <n v="3219"/>
  </r>
  <r>
    <x v="3"/>
    <x v="5"/>
    <x v="8"/>
    <x v="36"/>
    <x v="177"/>
    <x v="7"/>
    <n v="3219"/>
  </r>
  <r>
    <x v="3"/>
    <x v="5"/>
    <x v="8"/>
    <x v="36"/>
    <x v="177"/>
    <x v="8"/>
    <n v="3219"/>
  </r>
  <r>
    <x v="3"/>
    <x v="5"/>
    <x v="8"/>
    <x v="36"/>
    <x v="177"/>
    <x v="9"/>
    <n v="3219"/>
  </r>
  <r>
    <x v="3"/>
    <x v="5"/>
    <x v="8"/>
    <x v="36"/>
    <x v="177"/>
    <x v="10"/>
    <n v="3219"/>
  </r>
  <r>
    <x v="3"/>
    <x v="5"/>
    <x v="8"/>
    <x v="36"/>
    <x v="177"/>
    <x v="11"/>
    <n v="3219"/>
  </r>
  <r>
    <x v="3"/>
    <x v="5"/>
    <x v="8"/>
    <x v="36"/>
    <x v="178"/>
    <x v="0"/>
    <n v="3219"/>
  </r>
  <r>
    <x v="3"/>
    <x v="5"/>
    <x v="8"/>
    <x v="36"/>
    <x v="178"/>
    <x v="1"/>
    <n v="3219"/>
  </r>
  <r>
    <x v="3"/>
    <x v="5"/>
    <x v="8"/>
    <x v="36"/>
    <x v="178"/>
    <x v="2"/>
    <n v="3219"/>
  </r>
  <r>
    <x v="3"/>
    <x v="5"/>
    <x v="8"/>
    <x v="36"/>
    <x v="178"/>
    <x v="3"/>
    <n v="3219"/>
  </r>
  <r>
    <x v="3"/>
    <x v="5"/>
    <x v="8"/>
    <x v="36"/>
    <x v="178"/>
    <x v="4"/>
    <n v="3219"/>
  </r>
  <r>
    <x v="3"/>
    <x v="5"/>
    <x v="8"/>
    <x v="36"/>
    <x v="178"/>
    <x v="5"/>
    <n v="3219"/>
  </r>
  <r>
    <x v="3"/>
    <x v="5"/>
    <x v="8"/>
    <x v="36"/>
    <x v="178"/>
    <x v="6"/>
    <n v="3219"/>
  </r>
  <r>
    <x v="3"/>
    <x v="5"/>
    <x v="8"/>
    <x v="36"/>
    <x v="178"/>
    <x v="7"/>
    <n v="3219"/>
  </r>
  <r>
    <x v="3"/>
    <x v="5"/>
    <x v="8"/>
    <x v="36"/>
    <x v="178"/>
    <x v="8"/>
    <n v="3219"/>
  </r>
  <r>
    <x v="3"/>
    <x v="5"/>
    <x v="8"/>
    <x v="36"/>
    <x v="178"/>
    <x v="9"/>
    <n v="3219"/>
  </r>
  <r>
    <x v="3"/>
    <x v="5"/>
    <x v="8"/>
    <x v="36"/>
    <x v="178"/>
    <x v="10"/>
    <n v="3219"/>
  </r>
  <r>
    <x v="3"/>
    <x v="5"/>
    <x v="8"/>
    <x v="36"/>
    <x v="178"/>
    <x v="11"/>
    <n v="3219"/>
  </r>
  <r>
    <x v="3"/>
    <x v="5"/>
    <x v="8"/>
    <x v="36"/>
    <x v="179"/>
    <x v="0"/>
    <n v="3219"/>
  </r>
  <r>
    <x v="3"/>
    <x v="5"/>
    <x v="8"/>
    <x v="36"/>
    <x v="179"/>
    <x v="1"/>
    <n v="3219"/>
  </r>
  <r>
    <x v="3"/>
    <x v="5"/>
    <x v="8"/>
    <x v="36"/>
    <x v="179"/>
    <x v="2"/>
    <n v="3219"/>
  </r>
  <r>
    <x v="3"/>
    <x v="5"/>
    <x v="8"/>
    <x v="36"/>
    <x v="179"/>
    <x v="3"/>
    <n v="0"/>
  </r>
  <r>
    <x v="3"/>
    <x v="5"/>
    <x v="8"/>
    <x v="36"/>
    <x v="179"/>
    <x v="4"/>
    <n v="0"/>
  </r>
  <r>
    <x v="3"/>
    <x v="5"/>
    <x v="8"/>
    <x v="36"/>
    <x v="179"/>
    <x v="5"/>
    <n v="0"/>
  </r>
  <r>
    <x v="3"/>
    <x v="5"/>
    <x v="8"/>
    <x v="36"/>
    <x v="179"/>
    <x v="6"/>
    <n v="0"/>
  </r>
  <r>
    <x v="3"/>
    <x v="5"/>
    <x v="8"/>
    <x v="36"/>
    <x v="179"/>
    <x v="7"/>
    <n v="0"/>
  </r>
  <r>
    <x v="3"/>
    <x v="5"/>
    <x v="8"/>
    <x v="36"/>
    <x v="179"/>
    <x v="8"/>
    <n v="0"/>
  </r>
  <r>
    <x v="3"/>
    <x v="5"/>
    <x v="8"/>
    <x v="36"/>
    <x v="179"/>
    <x v="9"/>
    <n v="0"/>
  </r>
  <r>
    <x v="3"/>
    <x v="5"/>
    <x v="8"/>
    <x v="36"/>
    <x v="179"/>
    <x v="10"/>
    <n v="0"/>
  </r>
  <r>
    <x v="3"/>
    <x v="5"/>
    <x v="8"/>
    <x v="36"/>
    <x v="179"/>
    <x v="11"/>
    <n v="0"/>
  </r>
  <r>
    <x v="1"/>
    <x v="2"/>
    <x v="8"/>
    <x v="36"/>
    <x v="180"/>
    <x v="0"/>
    <n v="3218"/>
  </r>
  <r>
    <x v="1"/>
    <x v="2"/>
    <x v="8"/>
    <x v="36"/>
    <x v="180"/>
    <x v="1"/>
    <n v="0"/>
  </r>
  <r>
    <x v="1"/>
    <x v="2"/>
    <x v="8"/>
    <x v="36"/>
    <x v="180"/>
    <x v="2"/>
    <n v="0"/>
  </r>
  <r>
    <x v="1"/>
    <x v="2"/>
    <x v="8"/>
    <x v="36"/>
    <x v="180"/>
    <x v="3"/>
    <n v="0"/>
  </r>
  <r>
    <x v="1"/>
    <x v="2"/>
    <x v="8"/>
    <x v="36"/>
    <x v="180"/>
    <x v="4"/>
    <n v="0"/>
  </r>
  <r>
    <x v="1"/>
    <x v="2"/>
    <x v="8"/>
    <x v="36"/>
    <x v="180"/>
    <x v="5"/>
    <n v="0"/>
  </r>
  <r>
    <x v="1"/>
    <x v="2"/>
    <x v="8"/>
    <x v="36"/>
    <x v="180"/>
    <x v="6"/>
    <n v="0"/>
  </r>
  <r>
    <x v="1"/>
    <x v="2"/>
    <x v="8"/>
    <x v="36"/>
    <x v="180"/>
    <x v="7"/>
    <n v="0"/>
  </r>
  <r>
    <x v="1"/>
    <x v="2"/>
    <x v="8"/>
    <x v="36"/>
    <x v="180"/>
    <x v="8"/>
    <n v="0"/>
  </r>
  <r>
    <x v="1"/>
    <x v="2"/>
    <x v="8"/>
    <x v="36"/>
    <x v="180"/>
    <x v="9"/>
    <n v="0"/>
  </r>
  <r>
    <x v="1"/>
    <x v="2"/>
    <x v="8"/>
    <x v="36"/>
    <x v="180"/>
    <x v="10"/>
    <n v="0"/>
  </r>
  <r>
    <x v="1"/>
    <x v="2"/>
    <x v="8"/>
    <x v="36"/>
    <x v="180"/>
    <x v="11"/>
    <n v="0"/>
  </r>
  <r>
    <x v="3"/>
    <x v="4"/>
    <x v="8"/>
    <x v="36"/>
    <x v="181"/>
    <x v="0"/>
    <n v="3126"/>
  </r>
  <r>
    <x v="3"/>
    <x v="4"/>
    <x v="8"/>
    <x v="36"/>
    <x v="181"/>
    <x v="1"/>
    <n v="3126"/>
  </r>
  <r>
    <x v="3"/>
    <x v="4"/>
    <x v="8"/>
    <x v="36"/>
    <x v="181"/>
    <x v="2"/>
    <n v="0"/>
  </r>
  <r>
    <x v="3"/>
    <x v="4"/>
    <x v="8"/>
    <x v="36"/>
    <x v="181"/>
    <x v="3"/>
    <n v="0"/>
  </r>
  <r>
    <x v="3"/>
    <x v="4"/>
    <x v="8"/>
    <x v="36"/>
    <x v="181"/>
    <x v="4"/>
    <n v="0"/>
  </r>
  <r>
    <x v="3"/>
    <x v="4"/>
    <x v="8"/>
    <x v="36"/>
    <x v="181"/>
    <x v="5"/>
    <n v="0"/>
  </r>
  <r>
    <x v="3"/>
    <x v="4"/>
    <x v="8"/>
    <x v="36"/>
    <x v="181"/>
    <x v="6"/>
    <n v="0"/>
  </r>
  <r>
    <x v="3"/>
    <x v="4"/>
    <x v="8"/>
    <x v="36"/>
    <x v="181"/>
    <x v="7"/>
    <n v="0"/>
  </r>
  <r>
    <x v="3"/>
    <x v="4"/>
    <x v="8"/>
    <x v="36"/>
    <x v="181"/>
    <x v="8"/>
    <n v="0"/>
  </r>
  <r>
    <x v="3"/>
    <x v="4"/>
    <x v="8"/>
    <x v="36"/>
    <x v="181"/>
    <x v="9"/>
    <n v="0"/>
  </r>
  <r>
    <x v="3"/>
    <x v="4"/>
    <x v="8"/>
    <x v="36"/>
    <x v="181"/>
    <x v="10"/>
    <n v="0"/>
  </r>
  <r>
    <x v="3"/>
    <x v="4"/>
    <x v="8"/>
    <x v="36"/>
    <x v="181"/>
    <x v="11"/>
    <n v="0"/>
  </r>
  <r>
    <x v="1"/>
    <x v="2"/>
    <x v="8"/>
    <x v="36"/>
    <x v="182"/>
    <x v="0"/>
    <n v="1544"/>
  </r>
  <r>
    <x v="1"/>
    <x v="2"/>
    <x v="8"/>
    <x v="36"/>
    <x v="182"/>
    <x v="1"/>
    <n v="0"/>
  </r>
  <r>
    <x v="1"/>
    <x v="2"/>
    <x v="8"/>
    <x v="36"/>
    <x v="182"/>
    <x v="2"/>
    <n v="0"/>
  </r>
  <r>
    <x v="1"/>
    <x v="2"/>
    <x v="8"/>
    <x v="36"/>
    <x v="182"/>
    <x v="3"/>
    <n v="0"/>
  </r>
  <r>
    <x v="1"/>
    <x v="2"/>
    <x v="8"/>
    <x v="36"/>
    <x v="182"/>
    <x v="4"/>
    <n v="0"/>
  </r>
  <r>
    <x v="1"/>
    <x v="2"/>
    <x v="8"/>
    <x v="36"/>
    <x v="182"/>
    <x v="5"/>
    <n v="0"/>
  </r>
  <r>
    <x v="1"/>
    <x v="2"/>
    <x v="8"/>
    <x v="36"/>
    <x v="182"/>
    <x v="6"/>
    <n v="0"/>
  </r>
  <r>
    <x v="1"/>
    <x v="2"/>
    <x v="8"/>
    <x v="36"/>
    <x v="182"/>
    <x v="7"/>
    <n v="0"/>
  </r>
  <r>
    <x v="1"/>
    <x v="2"/>
    <x v="8"/>
    <x v="36"/>
    <x v="182"/>
    <x v="8"/>
    <n v="0"/>
  </r>
  <r>
    <x v="1"/>
    <x v="2"/>
    <x v="8"/>
    <x v="36"/>
    <x v="182"/>
    <x v="9"/>
    <n v="0"/>
  </r>
  <r>
    <x v="1"/>
    <x v="2"/>
    <x v="8"/>
    <x v="36"/>
    <x v="182"/>
    <x v="10"/>
    <n v="0"/>
  </r>
  <r>
    <x v="1"/>
    <x v="2"/>
    <x v="8"/>
    <x v="36"/>
    <x v="182"/>
    <x v="11"/>
    <n v="0"/>
  </r>
  <r>
    <x v="1"/>
    <x v="5"/>
    <x v="8"/>
    <x v="36"/>
    <x v="183"/>
    <x v="0"/>
    <n v="3024"/>
  </r>
  <r>
    <x v="1"/>
    <x v="5"/>
    <x v="8"/>
    <x v="36"/>
    <x v="183"/>
    <x v="1"/>
    <n v="3024"/>
  </r>
  <r>
    <x v="1"/>
    <x v="5"/>
    <x v="8"/>
    <x v="36"/>
    <x v="183"/>
    <x v="2"/>
    <n v="3024"/>
  </r>
  <r>
    <x v="1"/>
    <x v="5"/>
    <x v="8"/>
    <x v="36"/>
    <x v="183"/>
    <x v="3"/>
    <n v="3024"/>
  </r>
  <r>
    <x v="1"/>
    <x v="5"/>
    <x v="8"/>
    <x v="36"/>
    <x v="183"/>
    <x v="4"/>
    <n v="3024"/>
  </r>
  <r>
    <x v="1"/>
    <x v="5"/>
    <x v="8"/>
    <x v="36"/>
    <x v="183"/>
    <x v="5"/>
    <n v="3024"/>
  </r>
  <r>
    <x v="1"/>
    <x v="5"/>
    <x v="8"/>
    <x v="36"/>
    <x v="183"/>
    <x v="6"/>
    <n v="3024"/>
  </r>
  <r>
    <x v="1"/>
    <x v="5"/>
    <x v="8"/>
    <x v="36"/>
    <x v="183"/>
    <x v="7"/>
    <n v="3024"/>
  </r>
  <r>
    <x v="1"/>
    <x v="5"/>
    <x v="8"/>
    <x v="36"/>
    <x v="183"/>
    <x v="8"/>
    <n v="3024"/>
  </r>
  <r>
    <x v="1"/>
    <x v="5"/>
    <x v="8"/>
    <x v="36"/>
    <x v="183"/>
    <x v="9"/>
    <n v="3024"/>
  </r>
  <r>
    <x v="1"/>
    <x v="5"/>
    <x v="8"/>
    <x v="36"/>
    <x v="183"/>
    <x v="10"/>
    <n v="3024"/>
  </r>
  <r>
    <x v="1"/>
    <x v="5"/>
    <x v="8"/>
    <x v="36"/>
    <x v="183"/>
    <x v="11"/>
    <n v="3024"/>
  </r>
  <r>
    <x v="1"/>
    <x v="4"/>
    <x v="8"/>
    <x v="36"/>
    <x v="184"/>
    <x v="0"/>
    <n v="2934"/>
  </r>
  <r>
    <x v="1"/>
    <x v="4"/>
    <x v="8"/>
    <x v="36"/>
    <x v="184"/>
    <x v="1"/>
    <n v="2934"/>
  </r>
  <r>
    <x v="1"/>
    <x v="4"/>
    <x v="8"/>
    <x v="36"/>
    <x v="184"/>
    <x v="2"/>
    <n v="2934"/>
  </r>
  <r>
    <x v="1"/>
    <x v="4"/>
    <x v="8"/>
    <x v="36"/>
    <x v="184"/>
    <x v="3"/>
    <n v="2934"/>
  </r>
  <r>
    <x v="1"/>
    <x v="4"/>
    <x v="8"/>
    <x v="36"/>
    <x v="184"/>
    <x v="4"/>
    <n v="2934"/>
  </r>
  <r>
    <x v="1"/>
    <x v="4"/>
    <x v="8"/>
    <x v="36"/>
    <x v="184"/>
    <x v="5"/>
    <n v="2934"/>
  </r>
  <r>
    <x v="1"/>
    <x v="4"/>
    <x v="8"/>
    <x v="36"/>
    <x v="184"/>
    <x v="6"/>
    <n v="2934"/>
  </r>
  <r>
    <x v="1"/>
    <x v="4"/>
    <x v="8"/>
    <x v="36"/>
    <x v="184"/>
    <x v="7"/>
    <n v="2934"/>
  </r>
  <r>
    <x v="1"/>
    <x v="4"/>
    <x v="8"/>
    <x v="36"/>
    <x v="184"/>
    <x v="8"/>
    <n v="2934"/>
  </r>
  <r>
    <x v="1"/>
    <x v="4"/>
    <x v="8"/>
    <x v="36"/>
    <x v="184"/>
    <x v="9"/>
    <n v="2934"/>
  </r>
  <r>
    <x v="1"/>
    <x v="4"/>
    <x v="8"/>
    <x v="36"/>
    <x v="184"/>
    <x v="10"/>
    <n v="2934"/>
  </r>
  <r>
    <x v="1"/>
    <x v="4"/>
    <x v="8"/>
    <x v="36"/>
    <x v="184"/>
    <x v="11"/>
    <n v="2934"/>
  </r>
  <r>
    <x v="1"/>
    <x v="2"/>
    <x v="8"/>
    <x v="36"/>
    <x v="185"/>
    <x v="0"/>
    <n v="2604"/>
  </r>
  <r>
    <x v="1"/>
    <x v="2"/>
    <x v="8"/>
    <x v="36"/>
    <x v="185"/>
    <x v="1"/>
    <n v="2604"/>
  </r>
  <r>
    <x v="1"/>
    <x v="2"/>
    <x v="8"/>
    <x v="36"/>
    <x v="185"/>
    <x v="2"/>
    <n v="2604"/>
  </r>
  <r>
    <x v="1"/>
    <x v="2"/>
    <x v="8"/>
    <x v="36"/>
    <x v="185"/>
    <x v="3"/>
    <n v="2604"/>
  </r>
  <r>
    <x v="1"/>
    <x v="2"/>
    <x v="8"/>
    <x v="36"/>
    <x v="185"/>
    <x v="4"/>
    <n v="2604"/>
  </r>
  <r>
    <x v="1"/>
    <x v="2"/>
    <x v="8"/>
    <x v="36"/>
    <x v="185"/>
    <x v="5"/>
    <n v="2604"/>
  </r>
  <r>
    <x v="1"/>
    <x v="2"/>
    <x v="8"/>
    <x v="36"/>
    <x v="185"/>
    <x v="6"/>
    <n v="2604"/>
  </r>
  <r>
    <x v="1"/>
    <x v="2"/>
    <x v="8"/>
    <x v="36"/>
    <x v="185"/>
    <x v="7"/>
    <n v="2604"/>
  </r>
  <r>
    <x v="1"/>
    <x v="2"/>
    <x v="8"/>
    <x v="36"/>
    <x v="185"/>
    <x v="8"/>
    <n v="2604"/>
  </r>
  <r>
    <x v="1"/>
    <x v="2"/>
    <x v="8"/>
    <x v="36"/>
    <x v="185"/>
    <x v="9"/>
    <n v="2604"/>
  </r>
  <r>
    <x v="1"/>
    <x v="2"/>
    <x v="8"/>
    <x v="36"/>
    <x v="185"/>
    <x v="10"/>
    <n v="2604"/>
  </r>
  <r>
    <x v="1"/>
    <x v="2"/>
    <x v="8"/>
    <x v="36"/>
    <x v="185"/>
    <x v="11"/>
    <n v="2604"/>
  </r>
  <r>
    <x v="3"/>
    <x v="2"/>
    <x v="8"/>
    <x v="36"/>
    <x v="186"/>
    <x v="0"/>
    <n v="2539"/>
  </r>
  <r>
    <x v="3"/>
    <x v="2"/>
    <x v="8"/>
    <x v="36"/>
    <x v="186"/>
    <x v="1"/>
    <n v="2539"/>
  </r>
  <r>
    <x v="3"/>
    <x v="2"/>
    <x v="8"/>
    <x v="36"/>
    <x v="186"/>
    <x v="2"/>
    <n v="1777"/>
  </r>
  <r>
    <x v="3"/>
    <x v="2"/>
    <x v="8"/>
    <x v="36"/>
    <x v="186"/>
    <x v="3"/>
    <n v="1777"/>
  </r>
  <r>
    <x v="3"/>
    <x v="2"/>
    <x v="8"/>
    <x v="36"/>
    <x v="186"/>
    <x v="4"/>
    <n v="1777"/>
  </r>
  <r>
    <x v="3"/>
    <x v="2"/>
    <x v="8"/>
    <x v="36"/>
    <x v="186"/>
    <x v="5"/>
    <n v="1777"/>
  </r>
  <r>
    <x v="3"/>
    <x v="2"/>
    <x v="8"/>
    <x v="36"/>
    <x v="186"/>
    <x v="6"/>
    <n v="1777"/>
  </r>
  <r>
    <x v="3"/>
    <x v="2"/>
    <x v="8"/>
    <x v="36"/>
    <x v="186"/>
    <x v="7"/>
    <n v="1777"/>
  </r>
  <r>
    <x v="3"/>
    <x v="2"/>
    <x v="8"/>
    <x v="36"/>
    <x v="186"/>
    <x v="8"/>
    <n v="1777"/>
  </r>
  <r>
    <x v="3"/>
    <x v="2"/>
    <x v="8"/>
    <x v="36"/>
    <x v="186"/>
    <x v="9"/>
    <n v="1777"/>
  </r>
  <r>
    <x v="3"/>
    <x v="2"/>
    <x v="8"/>
    <x v="36"/>
    <x v="186"/>
    <x v="10"/>
    <n v="1777"/>
  </r>
  <r>
    <x v="3"/>
    <x v="2"/>
    <x v="8"/>
    <x v="36"/>
    <x v="186"/>
    <x v="11"/>
    <n v="1777"/>
  </r>
  <r>
    <x v="1"/>
    <x v="2"/>
    <x v="8"/>
    <x v="36"/>
    <x v="187"/>
    <x v="0"/>
    <n v="2460"/>
  </r>
  <r>
    <x v="1"/>
    <x v="2"/>
    <x v="8"/>
    <x v="36"/>
    <x v="187"/>
    <x v="1"/>
    <n v="2460"/>
  </r>
  <r>
    <x v="1"/>
    <x v="2"/>
    <x v="8"/>
    <x v="36"/>
    <x v="187"/>
    <x v="2"/>
    <n v="2460"/>
  </r>
  <r>
    <x v="1"/>
    <x v="2"/>
    <x v="8"/>
    <x v="36"/>
    <x v="187"/>
    <x v="3"/>
    <n v="2460"/>
  </r>
  <r>
    <x v="1"/>
    <x v="2"/>
    <x v="8"/>
    <x v="36"/>
    <x v="187"/>
    <x v="4"/>
    <n v="2460"/>
  </r>
  <r>
    <x v="1"/>
    <x v="2"/>
    <x v="8"/>
    <x v="36"/>
    <x v="187"/>
    <x v="5"/>
    <n v="2460"/>
  </r>
  <r>
    <x v="1"/>
    <x v="2"/>
    <x v="8"/>
    <x v="36"/>
    <x v="187"/>
    <x v="6"/>
    <n v="2460"/>
  </r>
  <r>
    <x v="1"/>
    <x v="2"/>
    <x v="8"/>
    <x v="36"/>
    <x v="187"/>
    <x v="7"/>
    <n v="2460"/>
  </r>
  <r>
    <x v="1"/>
    <x v="2"/>
    <x v="8"/>
    <x v="36"/>
    <x v="187"/>
    <x v="8"/>
    <n v="2460"/>
  </r>
  <r>
    <x v="1"/>
    <x v="2"/>
    <x v="8"/>
    <x v="36"/>
    <x v="187"/>
    <x v="9"/>
    <n v="2460"/>
  </r>
  <r>
    <x v="1"/>
    <x v="2"/>
    <x v="8"/>
    <x v="36"/>
    <x v="187"/>
    <x v="10"/>
    <n v="2460"/>
  </r>
  <r>
    <x v="1"/>
    <x v="2"/>
    <x v="8"/>
    <x v="36"/>
    <x v="187"/>
    <x v="11"/>
    <n v="2460"/>
  </r>
  <r>
    <x v="1"/>
    <x v="2"/>
    <x v="8"/>
    <x v="36"/>
    <x v="188"/>
    <x v="0"/>
    <n v="2457"/>
  </r>
  <r>
    <x v="1"/>
    <x v="2"/>
    <x v="8"/>
    <x v="36"/>
    <x v="188"/>
    <x v="1"/>
    <n v="2457"/>
  </r>
  <r>
    <x v="1"/>
    <x v="2"/>
    <x v="8"/>
    <x v="36"/>
    <x v="188"/>
    <x v="2"/>
    <n v="0"/>
  </r>
  <r>
    <x v="1"/>
    <x v="2"/>
    <x v="8"/>
    <x v="36"/>
    <x v="188"/>
    <x v="3"/>
    <n v="0"/>
  </r>
  <r>
    <x v="1"/>
    <x v="2"/>
    <x v="8"/>
    <x v="36"/>
    <x v="188"/>
    <x v="4"/>
    <n v="0"/>
  </r>
  <r>
    <x v="1"/>
    <x v="2"/>
    <x v="8"/>
    <x v="36"/>
    <x v="188"/>
    <x v="5"/>
    <n v="0"/>
  </r>
  <r>
    <x v="1"/>
    <x v="2"/>
    <x v="8"/>
    <x v="36"/>
    <x v="188"/>
    <x v="6"/>
    <n v="0"/>
  </r>
  <r>
    <x v="1"/>
    <x v="2"/>
    <x v="8"/>
    <x v="36"/>
    <x v="188"/>
    <x v="7"/>
    <n v="0"/>
  </r>
  <r>
    <x v="1"/>
    <x v="2"/>
    <x v="8"/>
    <x v="36"/>
    <x v="188"/>
    <x v="8"/>
    <n v="0"/>
  </r>
  <r>
    <x v="1"/>
    <x v="2"/>
    <x v="8"/>
    <x v="36"/>
    <x v="188"/>
    <x v="9"/>
    <n v="0"/>
  </r>
  <r>
    <x v="1"/>
    <x v="2"/>
    <x v="8"/>
    <x v="36"/>
    <x v="188"/>
    <x v="10"/>
    <n v="0"/>
  </r>
  <r>
    <x v="1"/>
    <x v="2"/>
    <x v="8"/>
    <x v="36"/>
    <x v="188"/>
    <x v="11"/>
    <n v="0"/>
  </r>
  <r>
    <x v="1"/>
    <x v="5"/>
    <x v="8"/>
    <x v="36"/>
    <x v="189"/>
    <x v="0"/>
    <n v="2430"/>
  </r>
  <r>
    <x v="1"/>
    <x v="5"/>
    <x v="8"/>
    <x v="36"/>
    <x v="189"/>
    <x v="1"/>
    <n v="2430"/>
  </r>
  <r>
    <x v="1"/>
    <x v="5"/>
    <x v="8"/>
    <x v="36"/>
    <x v="189"/>
    <x v="2"/>
    <n v="2430"/>
  </r>
  <r>
    <x v="1"/>
    <x v="5"/>
    <x v="8"/>
    <x v="36"/>
    <x v="189"/>
    <x v="3"/>
    <n v="2430"/>
  </r>
  <r>
    <x v="1"/>
    <x v="5"/>
    <x v="8"/>
    <x v="36"/>
    <x v="189"/>
    <x v="4"/>
    <n v="2430"/>
  </r>
  <r>
    <x v="1"/>
    <x v="5"/>
    <x v="8"/>
    <x v="36"/>
    <x v="189"/>
    <x v="5"/>
    <n v="2430"/>
  </r>
  <r>
    <x v="1"/>
    <x v="5"/>
    <x v="8"/>
    <x v="36"/>
    <x v="189"/>
    <x v="6"/>
    <n v="2430"/>
  </r>
  <r>
    <x v="1"/>
    <x v="5"/>
    <x v="8"/>
    <x v="36"/>
    <x v="189"/>
    <x v="7"/>
    <n v="2430"/>
  </r>
  <r>
    <x v="1"/>
    <x v="5"/>
    <x v="8"/>
    <x v="36"/>
    <x v="189"/>
    <x v="8"/>
    <n v="2430"/>
  </r>
  <r>
    <x v="1"/>
    <x v="5"/>
    <x v="8"/>
    <x v="36"/>
    <x v="189"/>
    <x v="9"/>
    <n v="2430"/>
  </r>
  <r>
    <x v="1"/>
    <x v="5"/>
    <x v="8"/>
    <x v="36"/>
    <x v="189"/>
    <x v="10"/>
    <n v="2430"/>
  </r>
  <r>
    <x v="1"/>
    <x v="5"/>
    <x v="8"/>
    <x v="36"/>
    <x v="189"/>
    <x v="11"/>
    <n v="2430"/>
  </r>
  <r>
    <x v="1"/>
    <x v="2"/>
    <x v="8"/>
    <x v="36"/>
    <x v="190"/>
    <x v="0"/>
    <n v="2338"/>
  </r>
  <r>
    <x v="1"/>
    <x v="2"/>
    <x v="8"/>
    <x v="36"/>
    <x v="190"/>
    <x v="1"/>
    <n v="2338"/>
  </r>
  <r>
    <x v="1"/>
    <x v="2"/>
    <x v="8"/>
    <x v="36"/>
    <x v="190"/>
    <x v="2"/>
    <n v="2338"/>
  </r>
  <r>
    <x v="1"/>
    <x v="2"/>
    <x v="8"/>
    <x v="36"/>
    <x v="190"/>
    <x v="3"/>
    <n v="2338"/>
  </r>
  <r>
    <x v="1"/>
    <x v="2"/>
    <x v="8"/>
    <x v="36"/>
    <x v="190"/>
    <x v="4"/>
    <n v="2338"/>
  </r>
  <r>
    <x v="1"/>
    <x v="2"/>
    <x v="8"/>
    <x v="36"/>
    <x v="190"/>
    <x v="5"/>
    <n v="2338"/>
  </r>
  <r>
    <x v="1"/>
    <x v="2"/>
    <x v="8"/>
    <x v="36"/>
    <x v="190"/>
    <x v="6"/>
    <n v="2338"/>
  </r>
  <r>
    <x v="1"/>
    <x v="2"/>
    <x v="8"/>
    <x v="36"/>
    <x v="190"/>
    <x v="7"/>
    <n v="2338"/>
  </r>
  <r>
    <x v="1"/>
    <x v="2"/>
    <x v="8"/>
    <x v="36"/>
    <x v="190"/>
    <x v="8"/>
    <n v="2338"/>
  </r>
  <r>
    <x v="1"/>
    <x v="2"/>
    <x v="8"/>
    <x v="36"/>
    <x v="190"/>
    <x v="9"/>
    <n v="2338"/>
  </r>
  <r>
    <x v="1"/>
    <x v="2"/>
    <x v="8"/>
    <x v="36"/>
    <x v="190"/>
    <x v="10"/>
    <n v="2338"/>
  </r>
  <r>
    <x v="1"/>
    <x v="2"/>
    <x v="8"/>
    <x v="36"/>
    <x v="190"/>
    <x v="11"/>
    <n v="2338"/>
  </r>
  <r>
    <x v="1"/>
    <x v="0"/>
    <x v="8"/>
    <x v="36"/>
    <x v="191"/>
    <x v="0"/>
    <n v="2317"/>
  </r>
  <r>
    <x v="1"/>
    <x v="0"/>
    <x v="8"/>
    <x v="36"/>
    <x v="191"/>
    <x v="1"/>
    <n v="2317"/>
  </r>
  <r>
    <x v="1"/>
    <x v="0"/>
    <x v="8"/>
    <x v="36"/>
    <x v="191"/>
    <x v="2"/>
    <n v="2317"/>
  </r>
  <r>
    <x v="1"/>
    <x v="0"/>
    <x v="8"/>
    <x v="36"/>
    <x v="191"/>
    <x v="3"/>
    <n v="2317"/>
  </r>
  <r>
    <x v="1"/>
    <x v="0"/>
    <x v="8"/>
    <x v="36"/>
    <x v="191"/>
    <x v="4"/>
    <n v="2317"/>
  </r>
  <r>
    <x v="1"/>
    <x v="0"/>
    <x v="8"/>
    <x v="36"/>
    <x v="191"/>
    <x v="5"/>
    <n v="2317"/>
  </r>
  <r>
    <x v="1"/>
    <x v="0"/>
    <x v="8"/>
    <x v="36"/>
    <x v="191"/>
    <x v="6"/>
    <n v="2317"/>
  </r>
  <r>
    <x v="1"/>
    <x v="0"/>
    <x v="8"/>
    <x v="36"/>
    <x v="191"/>
    <x v="7"/>
    <n v="2317"/>
  </r>
  <r>
    <x v="1"/>
    <x v="0"/>
    <x v="8"/>
    <x v="36"/>
    <x v="191"/>
    <x v="8"/>
    <n v="2317"/>
  </r>
  <r>
    <x v="1"/>
    <x v="0"/>
    <x v="8"/>
    <x v="36"/>
    <x v="191"/>
    <x v="9"/>
    <n v="2317"/>
  </r>
  <r>
    <x v="1"/>
    <x v="0"/>
    <x v="8"/>
    <x v="36"/>
    <x v="191"/>
    <x v="10"/>
    <n v="2317"/>
  </r>
  <r>
    <x v="1"/>
    <x v="0"/>
    <x v="8"/>
    <x v="36"/>
    <x v="191"/>
    <x v="11"/>
    <n v="2317"/>
  </r>
  <r>
    <x v="2"/>
    <x v="1"/>
    <x v="8"/>
    <x v="36"/>
    <x v="192"/>
    <x v="0"/>
    <n v="2284"/>
  </r>
  <r>
    <x v="2"/>
    <x v="1"/>
    <x v="8"/>
    <x v="36"/>
    <x v="192"/>
    <x v="1"/>
    <n v="2284"/>
  </r>
  <r>
    <x v="2"/>
    <x v="1"/>
    <x v="8"/>
    <x v="36"/>
    <x v="192"/>
    <x v="2"/>
    <n v="2284"/>
  </r>
  <r>
    <x v="2"/>
    <x v="1"/>
    <x v="8"/>
    <x v="36"/>
    <x v="192"/>
    <x v="3"/>
    <n v="2284"/>
  </r>
  <r>
    <x v="2"/>
    <x v="1"/>
    <x v="8"/>
    <x v="36"/>
    <x v="192"/>
    <x v="4"/>
    <n v="2284"/>
  </r>
  <r>
    <x v="2"/>
    <x v="1"/>
    <x v="8"/>
    <x v="36"/>
    <x v="192"/>
    <x v="5"/>
    <n v="2284"/>
  </r>
  <r>
    <x v="2"/>
    <x v="1"/>
    <x v="8"/>
    <x v="36"/>
    <x v="192"/>
    <x v="6"/>
    <n v="2284"/>
  </r>
  <r>
    <x v="2"/>
    <x v="1"/>
    <x v="8"/>
    <x v="36"/>
    <x v="192"/>
    <x v="7"/>
    <n v="2284"/>
  </r>
  <r>
    <x v="2"/>
    <x v="1"/>
    <x v="8"/>
    <x v="36"/>
    <x v="192"/>
    <x v="8"/>
    <n v="2284"/>
  </r>
  <r>
    <x v="2"/>
    <x v="1"/>
    <x v="8"/>
    <x v="36"/>
    <x v="192"/>
    <x v="9"/>
    <n v="2284"/>
  </r>
  <r>
    <x v="2"/>
    <x v="1"/>
    <x v="8"/>
    <x v="36"/>
    <x v="192"/>
    <x v="10"/>
    <n v="2284"/>
  </r>
  <r>
    <x v="2"/>
    <x v="1"/>
    <x v="8"/>
    <x v="36"/>
    <x v="192"/>
    <x v="11"/>
    <n v="2284"/>
  </r>
  <r>
    <x v="1"/>
    <x v="2"/>
    <x v="8"/>
    <x v="36"/>
    <x v="193"/>
    <x v="0"/>
    <n v="2174"/>
  </r>
  <r>
    <x v="1"/>
    <x v="2"/>
    <x v="8"/>
    <x v="36"/>
    <x v="193"/>
    <x v="1"/>
    <n v="2174"/>
  </r>
  <r>
    <x v="1"/>
    <x v="2"/>
    <x v="8"/>
    <x v="36"/>
    <x v="193"/>
    <x v="2"/>
    <n v="0"/>
  </r>
  <r>
    <x v="1"/>
    <x v="2"/>
    <x v="8"/>
    <x v="36"/>
    <x v="193"/>
    <x v="3"/>
    <n v="0"/>
  </r>
  <r>
    <x v="1"/>
    <x v="2"/>
    <x v="8"/>
    <x v="36"/>
    <x v="193"/>
    <x v="4"/>
    <n v="0"/>
  </r>
  <r>
    <x v="1"/>
    <x v="2"/>
    <x v="8"/>
    <x v="36"/>
    <x v="193"/>
    <x v="5"/>
    <n v="0"/>
  </r>
  <r>
    <x v="1"/>
    <x v="2"/>
    <x v="8"/>
    <x v="36"/>
    <x v="193"/>
    <x v="6"/>
    <n v="0"/>
  </r>
  <r>
    <x v="1"/>
    <x v="2"/>
    <x v="8"/>
    <x v="36"/>
    <x v="193"/>
    <x v="7"/>
    <n v="0"/>
  </r>
  <r>
    <x v="1"/>
    <x v="2"/>
    <x v="8"/>
    <x v="36"/>
    <x v="193"/>
    <x v="8"/>
    <n v="0"/>
  </r>
  <r>
    <x v="1"/>
    <x v="2"/>
    <x v="8"/>
    <x v="36"/>
    <x v="193"/>
    <x v="9"/>
    <n v="0"/>
  </r>
  <r>
    <x v="1"/>
    <x v="2"/>
    <x v="8"/>
    <x v="36"/>
    <x v="193"/>
    <x v="10"/>
    <n v="0"/>
  </r>
  <r>
    <x v="1"/>
    <x v="2"/>
    <x v="8"/>
    <x v="36"/>
    <x v="193"/>
    <x v="11"/>
    <n v="0"/>
  </r>
  <r>
    <x v="1"/>
    <x v="1"/>
    <x v="8"/>
    <x v="36"/>
    <x v="194"/>
    <x v="0"/>
    <n v="1900"/>
  </r>
  <r>
    <x v="1"/>
    <x v="1"/>
    <x v="8"/>
    <x v="36"/>
    <x v="194"/>
    <x v="1"/>
    <n v="1900"/>
  </r>
  <r>
    <x v="1"/>
    <x v="1"/>
    <x v="8"/>
    <x v="36"/>
    <x v="194"/>
    <x v="2"/>
    <n v="1900"/>
  </r>
  <r>
    <x v="1"/>
    <x v="1"/>
    <x v="8"/>
    <x v="36"/>
    <x v="194"/>
    <x v="3"/>
    <n v="1900"/>
  </r>
  <r>
    <x v="1"/>
    <x v="1"/>
    <x v="8"/>
    <x v="36"/>
    <x v="194"/>
    <x v="4"/>
    <n v="1900"/>
  </r>
  <r>
    <x v="1"/>
    <x v="1"/>
    <x v="8"/>
    <x v="36"/>
    <x v="194"/>
    <x v="5"/>
    <n v="1900"/>
  </r>
  <r>
    <x v="1"/>
    <x v="1"/>
    <x v="8"/>
    <x v="36"/>
    <x v="194"/>
    <x v="6"/>
    <n v="1900"/>
  </r>
  <r>
    <x v="1"/>
    <x v="1"/>
    <x v="8"/>
    <x v="36"/>
    <x v="194"/>
    <x v="7"/>
    <n v="1900"/>
  </r>
  <r>
    <x v="1"/>
    <x v="1"/>
    <x v="8"/>
    <x v="36"/>
    <x v="194"/>
    <x v="8"/>
    <n v="1900"/>
  </r>
  <r>
    <x v="1"/>
    <x v="1"/>
    <x v="8"/>
    <x v="36"/>
    <x v="194"/>
    <x v="9"/>
    <n v="1900"/>
  </r>
  <r>
    <x v="1"/>
    <x v="1"/>
    <x v="8"/>
    <x v="36"/>
    <x v="194"/>
    <x v="10"/>
    <n v="1900"/>
  </r>
  <r>
    <x v="1"/>
    <x v="1"/>
    <x v="8"/>
    <x v="36"/>
    <x v="194"/>
    <x v="11"/>
    <n v="1900"/>
  </r>
  <r>
    <x v="1"/>
    <x v="2"/>
    <x v="8"/>
    <x v="36"/>
    <x v="195"/>
    <x v="0"/>
    <n v="2163"/>
  </r>
  <r>
    <x v="1"/>
    <x v="2"/>
    <x v="8"/>
    <x v="36"/>
    <x v="195"/>
    <x v="1"/>
    <n v="2163"/>
  </r>
  <r>
    <x v="1"/>
    <x v="2"/>
    <x v="8"/>
    <x v="36"/>
    <x v="195"/>
    <x v="2"/>
    <n v="2163"/>
  </r>
  <r>
    <x v="1"/>
    <x v="2"/>
    <x v="8"/>
    <x v="36"/>
    <x v="195"/>
    <x v="3"/>
    <n v="2163"/>
  </r>
  <r>
    <x v="1"/>
    <x v="2"/>
    <x v="8"/>
    <x v="36"/>
    <x v="195"/>
    <x v="4"/>
    <n v="2163"/>
  </r>
  <r>
    <x v="1"/>
    <x v="2"/>
    <x v="8"/>
    <x v="36"/>
    <x v="195"/>
    <x v="5"/>
    <n v="2163"/>
  </r>
  <r>
    <x v="1"/>
    <x v="2"/>
    <x v="8"/>
    <x v="36"/>
    <x v="195"/>
    <x v="6"/>
    <n v="2163"/>
  </r>
  <r>
    <x v="1"/>
    <x v="2"/>
    <x v="8"/>
    <x v="36"/>
    <x v="195"/>
    <x v="7"/>
    <n v="2163"/>
  </r>
  <r>
    <x v="1"/>
    <x v="2"/>
    <x v="8"/>
    <x v="36"/>
    <x v="195"/>
    <x v="8"/>
    <n v="2163"/>
  </r>
  <r>
    <x v="1"/>
    <x v="2"/>
    <x v="8"/>
    <x v="36"/>
    <x v="195"/>
    <x v="9"/>
    <n v="2163"/>
  </r>
  <r>
    <x v="1"/>
    <x v="2"/>
    <x v="8"/>
    <x v="36"/>
    <x v="195"/>
    <x v="10"/>
    <n v="2163"/>
  </r>
  <r>
    <x v="1"/>
    <x v="2"/>
    <x v="8"/>
    <x v="36"/>
    <x v="195"/>
    <x v="11"/>
    <n v="2163"/>
  </r>
  <r>
    <x v="3"/>
    <x v="1"/>
    <x v="8"/>
    <x v="36"/>
    <x v="196"/>
    <x v="0"/>
    <n v="2103"/>
  </r>
  <r>
    <x v="3"/>
    <x v="1"/>
    <x v="8"/>
    <x v="36"/>
    <x v="196"/>
    <x v="1"/>
    <n v="2103"/>
  </r>
  <r>
    <x v="3"/>
    <x v="1"/>
    <x v="8"/>
    <x v="36"/>
    <x v="196"/>
    <x v="2"/>
    <n v="2103"/>
  </r>
  <r>
    <x v="3"/>
    <x v="1"/>
    <x v="8"/>
    <x v="36"/>
    <x v="196"/>
    <x v="3"/>
    <n v="2103"/>
  </r>
  <r>
    <x v="3"/>
    <x v="1"/>
    <x v="8"/>
    <x v="36"/>
    <x v="196"/>
    <x v="4"/>
    <n v="2103"/>
  </r>
  <r>
    <x v="3"/>
    <x v="1"/>
    <x v="8"/>
    <x v="36"/>
    <x v="196"/>
    <x v="5"/>
    <n v="2103"/>
  </r>
  <r>
    <x v="3"/>
    <x v="1"/>
    <x v="8"/>
    <x v="36"/>
    <x v="196"/>
    <x v="6"/>
    <n v="2103"/>
  </r>
  <r>
    <x v="3"/>
    <x v="1"/>
    <x v="8"/>
    <x v="36"/>
    <x v="196"/>
    <x v="7"/>
    <n v="2103"/>
  </r>
  <r>
    <x v="3"/>
    <x v="1"/>
    <x v="8"/>
    <x v="36"/>
    <x v="196"/>
    <x v="8"/>
    <n v="2103"/>
  </r>
  <r>
    <x v="3"/>
    <x v="1"/>
    <x v="8"/>
    <x v="36"/>
    <x v="196"/>
    <x v="9"/>
    <n v="2103"/>
  </r>
  <r>
    <x v="3"/>
    <x v="1"/>
    <x v="8"/>
    <x v="36"/>
    <x v="196"/>
    <x v="10"/>
    <n v="2103"/>
  </r>
  <r>
    <x v="3"/>
    <x v="1"/>
    <x v="8"/>
    <x v="36"/>
    <x v="196"/>
    <x v="11"/>
    <n v="2103"/>
  </r>
  <r>
    <x v="1"/>
    <x v="0"/>
    <x v="8"/>
    <x v="36"/>
    <x v="197"/>
    <x v="0"/>
    <n v="2066"/>
  </r>
  <r>
    <x v="1"/>
    <x v="0"/>
    <x v="8"/>
    <x v="36"/>
    <x v="197"/>
    <x v="1"/>
    <n v="2066"/>
  </r>
  <r>
    <x v="1"/>
    <x v="0"/>
    <x v="8"/>
    <x v="36"/>
    <x v="197"/>
    <x v="2"/>
    <n v="2066"/>
  </r>
  <r>
    <x v="1"/>
    <x v="0"/>
    <x v="8"/>
    <x v="36"/>
    <x v="197"/>
    <x v="3"/>
    <n v="2066"/>
  </r>
  <r>
    <x v="1"/>
    <x v="0"/>
    <x v="8"/>
    <x v="36"/>
    <x v="197"/>
    <x v="4"/>
    <n v="2066"/>
  </r>
  <r>
    <x v="1"/>
    <x v="0"/>
    <x v="8"/>
    <x v="36"/>
    <x v="197"/>
    <x v="5"/>
    <n v="2066"/>
  </r>
  <r>
    <x v="1"/>
    <x v="0"/>
    <x v="8"/>
    <x v="36"/>
    <x v="197"/>
    <x v="6"/>
    <n v="2066"/>
  </r>
  <r>
    <x v="1"/>
    <x v="0"/>
    <x v="8"/>
    <x v="36"/>
    <x v="197"/>
    <x v="7"/>
    <n v="2066"/>
  </r>
  <r>
    <x v="1"/>
    <x v="0"/>
    <x v="8"/>
    <x v="36"/>
    <x v="197"/>
    <x v="8"/>
    <n v="2066"/>
  </r>
  <r>
    <x v="1"/>
    <x v="0"/>
    <x v="8"/>
    <x v="36"/>
    <x v="197"/>
    <x v="9"/>
    <n v="2066"/>
  </r>
  <r>
    <x v="1"/>
    <x v="0"/>
    <x v="8"/>
    <x v="36"/>
    <x v="197"/>
    <x v="10"/>
    <n v="2066"/>
  </r>
  <r>
    <x v="1"/>
    <x v="0"/>
    <x v="8"/>
    <x v="36"/>
    <x v="197"/>
    <x v="11"/>
    <n v="2066"/>
  </r>
  <r>
    <x v="3"/>
    <x v="2"/>
    <x v="8"/>
    <x v="36"/>
    <x v="198"/>
    <x v="0"/>
    <n v="2025"/>
  </r>
  <r>
    <x v="3"/>
    <x v="2"/>
    <x v="8"/>
    <x v="36"/>
    <x v="198"/>
    <x v="1"/>
    <n v="2025"/>
  </r>
  <r>
    <x v="3"/>
    <x v="2"/>
    <x v="8"/>
    <x v="36"/>
    <x v="198"/>
    <x v="2"/>
    <n v="2025"/>
  </r>
  <r>
    <x v="3"/>
    <x v="2"/>
    <x v="8"/>
    <x v="36"/>
    <x v="198"/>
    <x v="3"/>
    <n v="2025"/>
  </r>
  <r>
    <x v="3"/>
    <x v="2"/>
    <x v="8"/>
    <x v="36"/>
    <x v="198"/>
    <x v="4"/>
    <n v="2025"/>
  </r>
  <r>
    <x v="3"/>
    <x v="2"/>
    <x v="8"/>
    <x v="36"/>
    <x v="198"/>
    <x v="5"/>
    <n v="2025"/>
  </r>
  <r>
    <x v="3"/>
    <x v="2"/>
    <x v="8"/>
    <x v="36"/>
    <x v="198"/>
    <x v="6"/>
    <n v="2025"/>
  </r>
  <r>
    <x v="3"/>
    <x v="2"/>
    <x v="8"/>
    <x v="36"/>
    <x v="198"/>
    <x v="7"/>
    <n v="2025"/>
  </r>
  <r>
    <x v="3"/>
    <x v="2"/>
    <x v="8"/>
    <x v="36"/>
    <x v="198"/>
    <x v="8"/>
    <n v="2025"/>
  </r>
  <r>
    <x v="3"/>
    <x v="2"/>
    <x v="8"/>
    <x v="36"/>
    <x v="198"/>
    <x v="9"/>
    <n v="2025"/>
  </r>
  <r>
    <x v="3"/>
    <x v="2"/>
    <x v="8"/>
    <x v="36"/>
    <x v="198"/>
    <x v="10"/>
    <n v="2025"/>
  </r>
  <r>
    <x v="3"/>
    <x v="2"/>
    <x v="8"/>
    <x v="36"/>
    <x v="198"/>
    <x v="11"/>
    <n v="2025"/>
  </r>
  <r>
    <x v="1"/>
    <x v="2"/>
    <x v="8"/>
    <x v="36"/>
    <x v="199"/>
    <x v="0"/>
    <n v="2023"/>
  </r>
  <r>
    <x v="1"/>
    <x v="2"/>
    <x v="8"/>
    <x v="36"/>
    <x v="199"/>
    <x v="1"/>
    <n v="2023"/>
  </r>
  <r>
    <x v="1"/>
    <x v="2"/>
    <x v="8"/>
    <x v="36"/>
    <x v="199"/>
    <x v="2"/>
    <n v="2023"/>
  </r>
  <r>
    <x v="1"/>
    <x v="2"/>
    <x v="8"/>
    <x v="36"/>
    <x v="199"/>
    <x v="3"/>
    <n v="2023"/>
  </r>
  <r>
    <x v="1"/>
    <x v="2"/>
    <x v="8"/>
    <x v="36"/>
    <x v="199"/>
    <x v="4"/>
    <n v="2023"/>
  </r>
  <r>
    <x v="1"/>
    <x v="2"/>
    <x v="8"/>
    <x v="36"/>
    <x v="199"/>
    <x v="5"/>
    <n v="2023"/>
  </r>
  <r>
    <x v="1"/>
    <x v="2"/>
    <x v="8"/>
    <x v="36"/>
    <x v="199"/>
    <x v="6"/>
    <n v="2023"/>
  </r>
  <r>
    <x v="1"/>
    <x v="2"/>
    <x v="8"/>
    <x v="36"/>
    <x v="199"/>
    <x v="7"/>
    <n v="2023"/>
  </r>
  <r>
    <x v="1"/>
    <x v="2"/>
    <x v="8"/>
    <x v="36"/>
    <x v="199"/>
    <x v="8"/>
    <n v="2023"/>
  </r>
  <r>
    <x v="1"/>
    <x v="2"/>
    <x v="8"/>
    <x v="36"/>
    <x v="199"/>
    <x v="9"/>
    <n v="2023"/>
  </r>
  <r>
    <x v="1"/>
    <x v="2"/>
    <x v="8"/>
    <x v="36"/>
    <x v="199"/>
    <x v="10"/>
    <n v="2023"/>
  </r>
  <r>
    <x v="1"/>
    <x v="2"/>
    <x v="8"/>
    <x v="36"/>
    <x v="199"/>
    <x v="11"/>
    <n v="2023"/>
  </r>
  <r>
    <x v="1"/>
    <x v="2"/>
    <x v="8"/>
    <x v="36"/>
    <x v="200"/>
    <x v="0"/>
    <n v="2021"/>
  </r>
  <r>
    <x v="1"/>
    <x v="2"/>
    <x v="8"/>
    <x v="36"/>
    <x v="200"/>
    <x v="1"/>
    <n v="2021"/>
  </r>
  <r>
    <x v="1"/>
    <x v="2"/>
    <x v="8"/>
    <x v="36"/>
    <x v="200"/>
    <x v="2"/>
    <n v="0"/>
  </r>
  <r>
    <x v="1"/>
    <x v="2"/>
    <x v="8"/>
    <x v="36"/>
    <x v="200"/>
    <x v="3"/>
    <n v="0"/>
  </r>
  <r>
    <x v="1"/>
    <x v="2"/>
    <x v="8"/>
    <x v="36"/>
    <x v="200"/>
    <x v="4"/>
    <n v="0"/>
  </r>
  <r>
    <x v="1"/>
    <x v="2"/>
    <x v="8"/>
    <x v="36"/>
    <x v="200"/>
    <x v="5"/>
    <n v="0"/>
  </r>
  <r>
    <x v="1"/>
    <x v="2"/>
    <x v="8"/>
    <x v="36"/>
    <x v="200"/>
    <x v="6"/>
    <n v="0"/>
  </r>
  <r>
    <x v="1"/>
    <x v="2"/>
    <x v="8"/>
    <x v="36"/>
    <x v="200"/>
    <x v="7"/>
    <n v="0"/>
  </r>
  <r>
    <x v="1"/>
    <x v="2"/>
    <x v="8"/>
    <x v="36"/>
    <x v="200"/>
    <x v="8"/>
    <n v="0"/>
  </r>
  <r>
    <x v="1"/>
    <x v="2"/>
    <x v="8"/>
    <x v="36"/>
    <x v="200"/>
    <x v="9"/>
    <n v="0"/>
  </r>
  <r>
    <x v="1"/>
    <x v="2"/>
    <x v="8"/>
    <x v="36"/>
    <x v="200"/>
    <x v="10"/>
    <n v="0"/>
  </r>
  <r>
    <x v="1"/>
    <x v="2"/>
    <x v="8"/>
    <x v="36"/>
    <x v="200"/>
    <x v="11"/>
    <n v="0"/>
  </r>
  <r>
    <x v="1"/>
    <x v="5"/>
    <x v="8"/>
    <x v="36"/>
    <x v="201"/>
    <x v="0"/>
    <n v="2018"/>
  </r>
  <r>
    <x v="1"/>
    <x v="5"/>
    <x v="8"/>
    <x v="36"/>
    <x v="201"/>
    <x v="1"/>
    <n v="2018"/>
  </r>
  <r>
    <x v="1"/>
    <x v="5"/>
    <x v="8"/>
    <x v="36"/>
    <x v="201"/>
    <x v="2"/>
    <n v="2018"/>
  </r>
  <r>
    <x v="1"/>
    <x v="5"/>
    <x v="8"/>
    <x v="36"/>
    <x v="201"/>
    <x v="3"/>
    <n v="2018"/>
  </r>
  <r>
    <x v="1"/>
    <x v="5"/>
    <x v="8"/>
    <x v="36"/>
    <x v="201"/>
    <x v="4"/>
    <n v="2018"/>
  </r>
  <r>
    <x v="1"/>
    <x v="5"/>
    <x v="8"/>
    <x v="36"/>
    <x v="201"/>
    <x v="5"/>
    <n v="2018"/>
  </r>
  <r>
    <x v="1"/>
    <x v="5"/>
    <x v="8"/>
    <x v="36"/>
    <x v="201"/>
    <x v="6"/>
    <n v="2018"/>
  </r>
  <r>
    <x v="1"/>
    <x v="5"/>
    <x v="8"/>
    <x v="36"/>
    <x v="201"/>
    <x v="7"/>
    <n v="2018"/>
  </r>
  <r>
    <x v="1"/>
    <x v="5"/>
    <x v="8"/>
    <x v="36"/>
    <x v="201"/>
    <x v="8"/>
    <n v="2018"/>
  </r>
  <r>
    <x v="1"/>
    <x v="5"/>
    <x v="8"/>
    <x v="36"/>
    <x v="201"/>
    <x v="9"/>
    <n v="2018"/>
  </r>
  <r>
    <x v="1"/>
    <x v="5"/>
    <x v="8"/>
    <x v="36"/>
    <x v="201"/>
    <x v="10"/>
    <n v="2018"/>
  </r>
  <r>
    <x v="1"/>
    <x v="5"/>
    <x v="8"/>
    <x v="36"/>
    <x v="201"/>
    <x v="11"/>
    <n v="2018"/>
  </r>
  <r>
    <x v="1"/>
    <x v="2"/>
    <x v="8"/>
    <x v="36"/>
    <x v="202"/>
    <x v="0"/>
    <n v="1920"/>
  </r>
  <r>
    <x v="1"/>
    <x v="2"/>
    <x v="8"/>
    <x v="36"/>
    <x v="202"/>
    <x v="1"/>
    <n v="0"/>
  </r>
  <r>
    <x v="1"/>
    <x v="2"/>
    <x v="8"/>
    <x v="36"/>
    <x v="202"/>
    <x v="2"/>
    <n v="0"/>
  </r>
  <r>
    <x v="1"/>
    <x v="2"/>
    <x v="8"/>
    <x v="36"/>
    <x v="202"/>
    <x v="3"/>
    <n v="0"/>
  </r>
  <r>
    <x v="1"/>
    <x v="2"/>
    <x v="8"/>
    <x v="36"/>
    <x v="202"/>
    <x v="4"/>
    <n v="0"/>
  </r>
  <r>
    <x v="1"/>
    <x v="2"/>
    <x v="8"/>
    <x v="36"/>
    <x v="202"/>
    <x v="5"/>
    <n v="0"/>
  </r>
  <r>
    <x v="1"/>
    <x v="2"/>
    <x v="8"/>
    <x v="36"/>
    <x v="202"/>
    <x v="6"/>
    <n v="0"/>
  </r>
  <r>
    <x v="1"/>
    <x v="2"/>
    <x v="8"/>
    <x v="36"/>
    <x v="202"/>
    <x v="7"/>
    <n v="0"/>
  </r>
  <r>
    <x v="1"/>
    <x v="2"/>
    <x v="8"/>
    <x v="36"/>
    <x v="202"/>
    <x v="8"/>
    <n v="0"/>
  </r>
  <r>
    <x v="1"/>
    <x v="2"/>
    <x v="8"/>
    <x v="36"/>
    <x v="202"/>
    <x v="9"/>
    <n v="0"/>
  </r>
  <r>
    <x v="1"/>
    <x v="2"/>
    <x v="8"/>
    <x v="36"/>
    <x v="202"/>
    <x v="10"/>
    <n v="0"/>
  </r>
  <r>
    <x v="1"/>
    <x v="2"/>
    <x v="8"/>
    <x v="36"/>
    <x v="202"/>
    <x v="11"/>
    <n v="0"/>
  </r>
  <r>
    <x v="1"/>
    <x v="2"/>
    <x v="8"/>
    <x v="36"/>
    <x v="203"/>
    <x v="0"/>
    <n v="1918"/>
  </r>
  <r>
    <x v="1"/>
    <x v="2"/>
    <x v="8"/>
    <x v="36"/>
    <x v="203"/>
    <x v="1"/>
    <n v="1918"/>
  </r>
  <r>
    <x v="1"/>
    <x v="2"/>
    <x v="8"/>
    <x v="36"/>
    <x v="203"/>
    <x v="2"/>
    <n v="1918"/>
  </r>
  <r>
    <x v="1"/>
    <x v="2"/>
    <x v="8"/>
    <x v="36"/>
    <x v="203"/>
    <x v="3"/>
    <n v="1918"/>
  </r>
  <r>
    <x v="1"/>
    <x v="2"/>
    <x v="8"/>
    <x v="36"/>
    <x v="203"/>
    <x v="4"/>
    <n v="1918"/>
  </r>
  <r>
    <x v="1"/>
    <x v="2"/>
    <x v="8"/>
    <x v="36"/>
    <x v="203"/>
    <x v="5"/>
    <n v="1918"/>
  </r>
  <r>
    <x v="1"/>
    <x v="2"/>
    <x v="8"/>
    <x v="36"/>
    <x v="203"/>
    <x v="6"/>
    <n v="1918"/>
  </r>
  <r>
    <x v="1"/>
    <x v="2"/>
    <x v="8"/>
    <x v="36"/>
    <x v="203"/>
    <x v="7"/>
    <n v="1918"/>
  </r>
  <r>
    <x v="1"/>
    <x v="2"/>
    <x v="8"/>
    <x v="36"/>
    <x v="203"/>
    <x v="8"/>
    <n v="1918"/>
  </r>
  <r>
    <x v="1"/>
    <x v="2"/>
    <x v="8"/>
    <x v="36"/>
    <x v="203"/>
    <x v="9"/>
    <n v="1918"/>
  </r>
  <r>
    <x v="1"/>
    <x v="2"/>
    <x v="8"/>
    <x v="36"/>
    <x v="203"/>
    <x v="10"/>
    <n v="1918"/>
  </r>
  <r>
    <x v="1"/>
    <x v="2"/>
    <x v="8"/>
    <x v="36"/>
    <x v="203"/>
    <x v="11"/>
    <n v="1918"/>
  </r>
  <r>
    <x v="3"/>
    <x v="2"/>
    <x v="8"/>
    <x v="36"/>
    <x v="204"/>
    <x v="0"/>
    <n v="1885"/>
  </r>
  <r>
    <x v="3"/>
    <x v="2"/>
    <x v="8"/>
    <x v="36"/>
    <x v="204"/>
    <x v="1"/>
    <n v="1885"/>
  </r>
  <r>
    <x v="3"/>
    <x v="2"/>
    <x v="8"/>
    <x v="36"/>
    <x v="204"/>
    <x v="2"/>
    <n v="1885"/>
  </r>
  <r>
    <x v="3"/>
    <x v="2"/>
    <x v="8"/>
    <x v="36"/>
    <x v="204"/>
    <x v="3"/>
    <n v="1885"/>
  </r>
  <r>
    <x v="3"/>
    <x v="2"/>
    <x v="8"/>
    <x v="36"/>
    <x v="204"/>
    <x v="4"/>
    <n v="1885"/>
  </r>
  <r>
    <x v="3"/>
    <x v="2"/>
    <x v="8"/>
    <x v="36"/>
    <x v="204"/>
    <x v="5"/>
    <n v="1885"/>
  </r>
  <r>
    <x v="3"/>
    <x v="2"/>
    <x v="8"/>
    <x v="36"/>
    <x v="204"/>
    <x v="6"/>
    <n v="1885"/>
  </r>
  <r>
    <x v="3"/>
    <x v="2"/>
    <x v="8"/>
    <x v="36"/>
    <x v="204"/>
    <x v="7"/>
    <n v="1885"/>
  </r>
  <r>
    <x v="3"/>
    <x v="2"/>
    <x v="8"/>
    <x v="36"/>
    <x v="204"/>
    <x v="8"/>
    <n v="1885"/>
  </r>
  <r>
    <x v="3"/>
    <x v="2"/>
    <x v="8"/>
    <x v="36"/>
    <x v="204"/>
    <x v="9"/>
    <n v="1885"/>
  </r>
  <r>
    <x v="3"/>
    <x v="2"/>
    <x v="8"/>
    <x v="36"/>
    <x v="204"/>
    <x v="10"/>
    <n v="1885"/>
  </r>
  <r>
    <x v="3"/>
    <x v="2"/>
    <x v="8"/>
    <x v="36"/>
    <x v="204"/>
    <x v="11"/>
    <n v="1885"/>
  </r>
  <r>
    <x v="1"/>
    <x v="2"/>
    <x v="8"/>
    <x v="36"/>
    <x v="205"/>
    <x v="0"/>
    <n v="1831"/>
  </r>
  <r>
    <x v="1"/>
    <x v="2"/>
    <x v="8"/>
    <x v="36"/>
    <x v="205"/>
    <x v="1"/>
    <n v="1831"/>
  </r>
  <r>
    <x v="1"/>
    <x v="2"/>
    <x v="8"/>
    <x v="36"/>
    <x v="205"/>
    <x v="2"/>
    <n v="1831"/>
  </r>
  <r>
    <x v="1"/>
    <x v="2"/>
    <x v="8"/>
    <x v="36"/>
    <x v="205"/>
    <x v="3"/>
    <n v="1831"/>
  </r>
  <r>
    <x v="1"/>
    <x v="2"/>
    <x v="8"/>
    <x v="36"/>
    <x v="205"/>
    <x v="4"/>
    <n v="1831"/>
  </r>
  <r>
    <x v="1"/>
    <x v="2"/>
    <x v="8"/>
    <x v="36"/>
    <x v="205"/>
    <x v="5"/>
    <n v="1831"/>
  </r>
  <r>
    <x v="1"/>
    <x v="2"/>
    <x v="8"/>
    <x v="36"/>
    <x v="205"/>
    <x v="6"/>
    <n v="1831"/>
  </r>
  <r>
    <x v="1"/>
    <x v="2"/>
    <x v="8"/>
    <x v="36"/>
    <x v="205"/>
    <x v="7"/>
    <n v="1831"/>
  </r>
  <r>
    <x v="1"/>
    <x v="2"/>
    <x v="8"/>
    <x v="36"/>
    <x v="205"/>
    <x v="8"/>
    <n v="1831"/>
  </r>
  <r>
    <x v="1"/>
    <x v="2"/>
    <x v="8"/>
    <x v="36"/>
    <x v="205"/>
    <x v="9"/>
    <n v="1831"/>
  </r>
  <r>
    <x v="1"/>
    <x v="2"/>
    <x v="8"/>
    <x v="36"/>
    <x v="205"/>
    <x v="10"/>
    <n v="1831"/>
  </r>
  <r>
    <x v="1"/>
    <x v="2"/>
    <x v="8"/>
    <x v="36"/>
    <x v="205"/>
    <x v="11"/>
    <n v="1831"/>
  </r>
  <r>
    <x v="1"/>
    <x v="1"/>
    <x v="8"/>
    <x v="36"/>
    <x v="206"/>
    <x v="0"/>
    <n v="2565"/>
  </r>
  <r>
    <x v="1"/>
    <x v="1"/>
    <x v="8"/>
    <x v="36"/>
    <x v="206"/>
    <x v="1"/>
    <n v="2565"/>
  </r>
  <r>
    <x v="1"/>
    <x v="1"/>
    <x v="8"/>
    <x v="36"/>
    <x v="206"/>
    <x v="2"/>
    <n v="2565"/>
  </r>
  <r>
    <x v="1"/>
    <x v="1"/>
    <x v="8"/>
    <x v="36"/>
    <x v="206"/>
    <x v="3"/>
    <n v="2565"/>
  </r>
  <r>
    <x v="1"/>
    <x v="1"/>
    <x v="8"/>
    <x v="36"/>
    <x v="206"/>
    <x v="4"/>
    <n v="2565"/>
  </r>
  <r>
    <x v="1"/>
    <x v="1"/>
    <x v="8"/>
    <x v="36"/>
    <x v="206"/>
    <x v="5"/>
    <n v="2565"/>
  </r>
  <r>
    <x v="1"/>
    <x v="1"/>
    <x v="8"/>
    <x v="36"/>
    <x v="206"/>
    <x v="6"/>
    <n v="2565"/>
  </r>
  <r>
    <x v="1"/>
    <x v="1"/>
    <x v="8"/>
    <x v="36"/>
    <x v="206"/>
    <x v="7"/>
    <n v="2565"/>
  </r>
  <r>
    <x v="1"/>
    <x v="1"/>
    <x v="8"/>
    <x v="36"/>
    <x v="206"/>
    <x v="8"/>
    <n v="2565"/>
  </r>
  <r>
    <x v="1"/>
    <x v="1"/>
    <x v="8"/>
    <x v="36"/>
    <x v="206"/>
    <x v="9"/>
    <n v="2565"/>
  </r>
  <r>
    <x v="1"/>
    <x v="1"/>
    <x v="8"/>
    <x v="36"/>
    <x v="206"/>
    <x v="10"/>
    <n v="2565"/>
  </r>
  <r>
    <x v="1"/>
    <x v="1"/>
    <x v="8"/>
    <x v="36"/>
    <x v="206"/>
    <x v="11"/>
    <n v="2565"/>
  </r>
  <r>
    <x v="3"/>
    <x v="5"/>
    <x v="8"/>
    <x v="36"/>
    <x v="207"/>
    <x v="0"/>
    <n v="1765"/>
  </r>
  <r>
    <x v="3"/>
    <x v="5"/>
    <x v="8"/>
    <x v="36"/>
    <x v="207"/>
    <x v="1"/>
    <n v="1765"/>
  </r>
  <r>
    <x v="3"/>
    <x v="5"/>
    <x v="8"/>
    <x v="36"/>
    <x v="207"/>
    <x v="2"/>
    <n v="1765"/>
  </r>
  <r>
    <x v="3"/>
    <x v="5"/>
    <x v="8"/>
    <x v="36"/>
    <x v="207"/>
    <x v="3"/>
    <n v="1765"/>
  </r>
  <r>
    <x v="3"/>
    <x v="5"/>
    <x v="8"/>
    <x v="36"/>
    <x v="207"/>
    <x v="4"/>
    <n v="1765"/>
  </r>
  <r>
    <x v="3"/>
    <x v="5"/>
    <x v="8"/>
    <x v="36"/>
    <x v="207"/>
    <x v="5"/>
    <n v="1765"/>
  </r>
  <r>
    <x v="3"/>
    <x v="5"/>
    <x v="8"/>
    <x v="36"/>
    <x v="207"/>
    <x v="6"/>
    <n v="1765"/>
  </r>
  <r>
    <x v="3"/>
    <x v="5"/>
    <x v="8"/>
    <x v="36"/>
    <x v="207"/>
    <x v="7"/>
    <n v="1765"/>
  </r>
  <r>
    <x v="3"/>
    <x v="5"/>
    <x v="8"/>
    <x v="36"/>
    <x v="207"/>
    <x v="8"/>
    <n v="1765"/>
  </r>
  <r>
    <x v="3"/>
    <x v="5"/>
    <x v="8"/>
    <x v="36"/>
    <x v="207"/>
    <x v="9"/>
    <n v="1765"/>
  </r>
  <r>
    <x v="3"/>
    <x v="5"/>
    <x v="8"/>
    <x v="36"/>
    <x v="207"/>
    <x v="10"/>
    <n v="1765"/>
  </r>
  <r>
    <x v="3"/>
    <x v="5"/>
    <x v="8"/>
    <x v="36"/>
    <x v="207"/>
    <x v="11"/>
    <n v="1765"/>
  </r>
  <r>
    <x v="3"/>
    <x v="2"/>
    <x v="8"/>
    <x v="36"/>
    <x v="208"/>
    <x v="0"/>
    <n v="1746"/>
  </r>
  <r>
    <x v="3"/>
    <x v="2"/>
    <x v="8"/>
    <x v="36"/>
    <x v="208"/>
    <x v="1"/>
    <n v="1746"/>
  </r>
  <r>
    <x v="3"/>
    <x v="2"/>
    <x v="8"/>
    <x v="36"/>
    <x v="208"/>
    <x v="2"/>
    <n v="1746"/>
  </r>
  <r>
    <x v="3"/>
    <x v="2"/>
    <x v="8"/>
    <x v="36"/>
    <x v="208"/>
    <x v="3"/>
    <n v="1746"/>
  </r>
  <r>
    <x v="3"/>
    <x v="2"/>
    <x v="8"/>
    <x v="36"/>
    <x v="208"/>
    <x v="4"/>
    <n v="1746"/>
  </r>
  <r>
    <x v="3"/>
    <x v="2"/>
    <x v="8"/>
    <x v="36"/>
    <x v="208"/>
    <x v="5"/>
    <n v="1746"/>
  </r>
  <r>
    <x v="3"/>
    <x v="2"/>
    <x v="8"/>
    <x v="36"/>
    <x v="208"/>
    <x v="6"/>
    <n v="1746"/>
  </r>
  <r>
    <x v="3"/>
    <x v="2"/>
    <x v="8"/>
    <x v="36"/>
    <x v="208"/>
    <x v="7"/>
    <n v="1746"/>
  </r>
  <r>
    <x v="3"/>
    <x v="2"/>
    <x v="8"/>
    <x v="36"/>
    <x v="208"/>
    <x v="8"/>
    <n v="1746"/>
  </r>
  <r>
    <x v="3"/>
    <x v="2"/>
    <x v="8"/>
    <x v="36"/>
    <x v="208"/>
    <x v="9"/>
    <n v="1746"/>
  </r>
  <r>
    <x v="3"/>
    <x v="2"/>
    <x v="8"/>
    <x v="36"/>
    <x v="208"/>
    <x v="10"/>
    <n v="1746"/>
  </r>
  <r>
    <x v="3"/>
    <x v="2"/>
    <x v="8"/>
    <x v="36"/>
    <x v="208"/>
    <x v="11"/>
    <n v="1746"/>
  </r>
  <r>
    <x v="1"/>
    <x v="2"/>
    <x v="8"/>
    <x v="36"/>
    <x v="209"/>
    <x v="0"/>
    <n v="1590"/>
  </r>
  <r>
    <x v="1"/>
    <x v="2"/>
    <x v="8"/>
    <x v="36"/>
    <x v="209"/>
    <x v="1"/>
    <n v="1590"/>
  </r>
  <r>
    <x v="1"/>
    <x v="2"/>
    <x v="8"/>
    <x v="36"/>
    <x v="209"/>
    <x v="2"/>
    <n v="1590"/>
  </r>
  <r>
    <x v="1"/>
    <x v="2"/>
    <x v="8"/>
    <x v="36"/>
    <x v="209"/>
    <x v="3"/>
    <n v="1590"/>
  </r>
  <r>
    <x v="1"/>
    <x v="2"/>
    <x v="8"/>
    <x v="36"/>
    <x v="209"/>
    <x v="4"/>
    <n v="1590"/>
  </r>
  <r>
    <x v="1"/>
    <x v="2"/>
    <x v="8"/>
    <x v="36"/>
    <x v="209"/>
    <x v="5"/>
    <n v="1590"/>
  </r>
  <r>
    <x v="1"/>
    <x v="2"/>
    <x v="8"/>
    <x v="36"/>
    <x v="209"/>
    <x v="6"/>
    <n v="1590"/>
  </r>
  <r>
    <x v="1"/>
    <x v="2"/>
    <x v="8"/>
    <x v="36"/>
    <x v="209"/>
    <x v="7"/>
    <n v="1590"/>
  </r>
  <r>
    <x v="1"/>
    <x v="2"/>
    <x v="8"/>
    <x v="36"/>
    <x v="209"/>
    <x v="8"/>
    <n v="1590"/>
  </r>
  <r>
    <x v="1"/>
    <x v="2"/>
    <x v="8"/>
    <x v="36"/>
    <x v="209"/>
    <x v="9"/>
    <n v="1590"/>
  </r>
  <r>
    <x v="1"/>
    <x v="2"/>
    <x v="8"/>
    <x v="36"/>
    <x v="209"/>
    <x v="10"/>
    <n v="1590"/>
  </r>
  <r>
    <x v="1"/>
    <x v="2"/>
    <x v="8"/>
    <x v="36"/>
    <x v="209"/>
    <x v="11"/>
    <n v="1590"/>
  </r>
  <r>
    <x v="3"/>
    <x v="2"/>
    <x v="8"/>
    <x v="36"/>
    <x v="210"/>
    <x v="0"/>
    <n v="1539"/>
  </r>
  <r>
    <x v="3"/>
    <x v="2"/>
    <x v="8"/>
    <x v="36"/>
    <x v="210"/>
    <x v="1"/>
    <n v="1539"/>
  </r>
  <r>
    <x v="3"/>
    <x v="2"/>
    <x v="8"/>
    <x v="36"/>
    <x v="210"/>
    <x v="2"/>
    <n v="0"/>
  </r>
  <r>
    <x v="3"/>
    <x v="2"/>
    <x v="8"/>
    <x v="36"/>
    <x v="210"/>
    <x v="3"/>
    <n v="0"/>
  </r>
  <r>
    <x v="3"/>
    <x v="2"/>
    <x v="8"/>
    <x v="36"/>
    <x v="210"/>
    <x v="4"/>
    <n v="0"/>
  </r>
  <r>
    <x v="3"/>
    <x v="2"/>
    <x v="8"/>
    <x v="36"/>
    <x v="210"/>
    <x v="5"/>
    <n v="0"/>
  </r>
  <r>
    <x v="3"/>
    <x v="2"/>
    <x v="8"/>
    <x v="36"/>
    <x v="210"/>
    <x v="6"/>
    <n v="0"/>
  </r>
  <r>
    <x v="3"/>
    <x v="2"/>
    <x v="8"/>
    <x v="36"/>
    <x v="210"/>
    <x v="7"/>
    <n v="0"/>
  </r>
  <r>
    <x v="3"/>
    <x v="2"/>
    <x v="8"/>
    <x v="36"/>
    <x v="210"/>
    <x v="8"/>
    <n v="0"/>
  </r>
  <r>
    <x v="3"/>
    <x v="2"/>
    <x v="8"/>
    <x v="36"/>
    <x v="210"/>
    <x v="9"/>
    <n v="0"/>
  </r>
  <r>
    <x v="3"/>
    <x v="2"/>
    <x v="8"/>
    <x v="36"/>
    <x v="210"/>
    <x v="10"/>
    <n v="0"/>
  </r>
  <r>
    <x v="3"/>
    <x v="2"/>
    <x v="8"/>
    <x v="36"/>
    <x v="210"/>
    <x v="11"/>
    <n v="0"/>
  </r>
  <r>
    <x v="1"/>
    <x v="2"/>
    <x v="8"/>
    <x v="36"/>
    <x v="211"/>
    <x v="0"/>
    <n v="1487"/>
  </r>
  <r>
    <x v="1"/>
    <x v="2"/>
    <x v="8"/>
    <x v="36"/>
    <x v="211"/>
    <x v="1"/>
    <n v="0"/>
  </r>
  <r>
    <x v="1"/>
    <x v="2"/>
    <x v="8"/>
    <x v="36"/>
    <x v="211"/>
    <x v="2"/>
    <n v="0"/>
  </r>
  <r>
    <x v="1"/>
    <x v="2"/>
    <x v="8"/>
    <x v="36"/>
    <x v="211"/>
    <x v="3"/>
    <n v="0"/>
  </r>
  <r>
    <x v="1"/>
    <x v="2"/>
    <x v="8"/>
    <x v="36"/>
    <x v="211"/>
    <x v="4"/>
    <n v="0"/>
  </r>
  <r>
    <x v="1"/>
    <x v="2"/>
    <x v="8"/>
    <x v="36"/>
    <x v="211"/>
    <x v="5"/>
    <n v="0"/>
  </r>
  <r>
    <x v="1"/>
    <x v="2"/>
    <x v="8"/>
    <x v="36"/>
    <x v="211"/>
    <x v="6"/>
    <n v="0"/>
  </r>
  <r>
    <x v="1"/>
    <x v="2"/>
    <x v="8"/>
    <x v="36"/>
    <x v="211"/>
    <x v="7"/>
    <n v="0"/>
  </r>
  <r>
    <x v="1"/>
    <x v="2"/>
    <x v="8"/>
    <x v="36"/>
    <x v="211"/>
    <x v="8"/>
    <n v="0"/>
  </r>
  <r>
    <x v="1"/>
    <x v="2"/>
    <x v="8"/>
    <x v="36"/>
    <x v="211"/>
    <x v="9"/>
    <n v="0"/>
  </r>
  <r>
    <x v="1"/>
    <x v="2"/>
    <x v="8"/>
    <x v="36"/>
    <x v="211"/>
    <x v="10"/>
    <n v="0"/>
  </r>
  <r>
    <x v="1"/>
    <x v="2"/>
    <x v="8"/>
    <x v="36"/>
    <x v="211"/>
    <x v="11"/>
    <n v="0"/>
  </r>
  <r>
    <x v="3"/>
    <x v="5"/>
    <x v="8"/>
    <x v="36"/>
    <x v="212"/>
    <x v="0"/>
    <n v="1468"/>
  </r>
  <r>
    <x v="3"/>
    <x v="5"/>
    <x v="8"/>
    <x v="36"/>
    <x v="212"/>
    <x v="1"/>
    <n v="1468"/>
  </r>
  <r>
    <x v="3"/>
    <x v="5"/>
    <x v="8"/>
    <x v="36"/>
    <x v="212"/>
    <x v="2"/>
    <n v="1468"/>
  </r>
  <r>
    <x v="3"/>
    <x v="5"/>
    <x v="8"/>
    <x v="36"/>
    <x v="212"/>
    <x v="3"/>
    <n v="1468"/>
  </r>
  <r>
    <x v="3"/>
    <x v="5"/>
    <x v="8"/>
    <x v="36"/>
    <x v="212"/>
    <x v="4"/>
    <n v="1468"/>
  </r>
  <r>
    <x v="3"/>
    <x v="5"/>
    <x v="8"/>
    <x v="36"/>
    <x v="212"/>
    <x v="5"/>
    <n v="1468"/>
  </r>
  <r>
    <x v="3"/>
    <x v="5"/>
    <x v="8"/>
    <x v="36"/>
    <x v="212"/>
    <x v="6"/>
    <n v="1468"/>
  </r>
  <r>
    <x v="3"/>
    <x v="5"/>
    <x v="8"/>
    <x v="36"/>
    <x v="212"/>
    <x v="7"/>
    <n v="1468"/>
  </r>
  <r>
    <x v="3"/>
    <x v="5"/>
    <x v="8"/>
    <x v="36"/>
    <x v="212"/>
    <x v="8"/>
    <n v="1468"/>
  </r>
  <r>
    <x v="3"/>
    <x v="5"/>
    <x v="8"/>
    <x v="36"/>
    <x v="212"/>
    <x v="9"/>
    <n v="1468"/>
  </r>
  <r>
    <x v="3"/>
    <x v="5"/>
    <x v="8"/>
    <x v="36"/>
    <x v="212"/>
    <x v="10"/>
    <n v="1468"/>
  </r>
  <r>
    <x v="3"/>
    <x v="5"/>
    <x v="8"/>
    <x v="36"/>
    <x v="212"/>
    <x v="11"/>
    <n v="1468"/>
  </r>
  <r>
    <x v="1"/>
    <x v="1"/>
    <x v="8"/>
    <x v="36"/>
    <x v="213"/>
    <x v="0"/>
    <n v="1159"/>
  </r>
  <r>
    <x v="1"/>
    <x v="1"/>
    <x v="8"/>
    <x v="36"/>
    <x v="213"/>
    <x v="1"/>
    <n v="1159"/>
  </r>
  <r>
    <x v="1"/>
    <x v="1"/>
    <x v="8"/>
    <x v="36"/>
    <x v="213"/>
    <x v="2"/>
    <n v="1159"/>
  </r>
  <r>
    <x v="1"/>
    <x v="1"/>
    <x v="8"/>
    <x v="36"/>
    <x v="213"/>
    <x v="3"/>
    <n v="1159"/>
  </r>
  <r>
    <x v="1"/>
    <x v="1"/>
    <x v="8"/>
    <x v="36"/>
    <x v="213"/>
    <x v="4"/>
    <n v="1159"/>
  </r>
  <r>
    <x v="1"/>
    <x v="1"/>
    <x v="8"/>
    <x v="36"/>
    <x v="213"/>
    <x v="5"/>
    <n v="1159"/>
  </r>
  <r>
    <x v="1"/>
    <x v="1"/>
    <x v="8"/>
    <x v="36"/>
    <x v="213"/>
    <x v="6"/>
    <n v="1159"/>
  </r>
  <r>
    <x v="1"/>
    <x v="1"/>
    <x v="8"/>
    <x v="36"/>
    <x v="213"/>
    <x v="7"/>
    <n v="1159"/>
  </r>
  <r>
    <x v="1"/>
    <x v="1"/>
    <x v="8"/>
    <x v="36"/>
    <x v="213"/>
    <x v="8"/>
    <n v="1159"/>
  </r>
  <r>
    <x v="1"/>
    <x v="1"/>
    <x v="8"/>
    <x v="36"/>
    <x v="213"/>
    <x v="9"/>
    <n v="1159"/>
  </r>
  <r>
    <x v="1"/>
    <x v="1"/>
    <x v="8"/>
    <x v="36"/>
    <x v="213"/>
    <x v="10"/>
    <n v="1159"/>
  </r>
  <r>
    <x v="1"/>
    <x v="1"/>
    <x v="8"/>
    <x v="36"/>
    <x v="213"/>
    <x v="11"/>
    <n v="1159"/>
  </r>
  <r>
    <x v="3"/>
    <x v="2"/>
    <x v="8"/>
    <x v="36"/>
    <x v="214"/>
    <x v="0"/>
    <n v="1071"/>
  </r>
  <r>
    <x v="3"/>
    <x v="2"/>
    <x v="8"/>
    <x v="36"/>
    <x v="214"/>
    <x v="1"/>
    <n v="1071"/>
  </r>
  <r>
    <x v="3"/>
    <x v="2"/>
    <x v="8"/>
    <x v="36"/>
    <x v="214"/>
    <x v="2"/>
    <n v="2000"/>
  </r>
  <r>
    <x v="3"/>
    <x v="2"/>
    <x v="8"/>
    <x v="36"/>
    <x v="214"/>
    <x v="3"/>
    <n v="2000"/>
  </r>
  <r>
    <x v="3"/>
    <x v="2"/>
    <x v="8"/>
    <x v="36"/>
    <x v="214"/>
    <x v="4"/>
    <n v="2000"/>
  </r>
  <r>
    <x v="3"/>
    <x v="2"/>
    <x v="8"/>
    <x v="36"/>
    <x v="214"/>
    <x v="5"/>
    <n v="2000"/>
  </r>
  <r>
    <x v="3"/>
    <x v="2"/>
    <x v="8"/>
    <x v="36"/>
    <x v="214"/>
    <x v="6"/>
    <n v="2000"/>
  </r>
  <r>
    <x v="3"/>
    <x v="2"/>
    <x v="8"/>
    <x v="36"/>
    <x v="214"/>
    <x v="7"/>
    <n v="2000"/>
  </r>
  <r>
    <x v="3"/>
    <x v="2"/>
    <x v="8"/>
    <x v="36"/>
    <x v="214"/>
    <x v="8"/>
    <n v="2000"/>
  </r>
  <r>
    <x v="3"/>
    <x v="2"/>
    <x v="8"/>
    <x v="36"/>
    <x v="214"/>
    <x v="9"/>
    <n v="2000"/>
  </r>
  <r>
    <x v="3"/>
    <x v="2"/>
    <x v="8"/>
    <x v="36"/>
    <x v="214"/>
    <x v="10"/>
    <n v="2000"/>
  </r>
  <r>
    <x v="3"/>
    <x v="2"/>
    <x v="8"/>
    <x v="36"/>
    <x v="214"/>
    <x v="11"/>
    <n v="2000"/>
  </r>
  <r>
    <x v="1"/>
    <x v="0"/>
    <x v="8"/>
    <x v="36"/>
    <x v="215"/>
    <x v="0"/>
    <n v="7224"/>
  </r>
  <r>
    <x v="1"/>
    <x v="0"/>
    <x v="8"/>
    <x v="36"/>
    <x v="215"/>
    <x v="1"/>
    <n v="7224"/>
  </r>
  <r>
    <x v="1"/>
    <x v="0"/>
    <x v="8"/>
    <x v="36"/>
    <x v="215"/>
    <x v="2"/>
    <n v="7224"/>
  </r>
  <r>
    <x v="1"/>
    <x v="0"/>
    <x v="8"/>
    <x v="36"/>
    <x v="215"/>
    <x v="3"/>
    <n v="7224"/>
  </r>
  <r>
    <x v="1"/>
    <x v="0"/>
    <x v="8"/>
    <x v="36"/>
    <x v="215"/>
    <x v="4"/>
    <n v="7224"/>
  </r>
  <r>
    <x v="1"/>
    <x v="0"/>
    <x v="8"/>
    <x v="36"/>
    <x v="215"/>
    <x v="5"/>
    <n v="7224"/>
  </r>
  <r>
    <x v="1"/>
    <x v="0"/>
    <x v="8"/>
    <x v="36"/>
    <x v="215"/>
    <x v="6"/>
    <n v="7224"/>
  </r>
  <r>
    <x v="1"/>
    <x v="0"/>
    <x v="8"/>
    <x v="36"/>
    <x v="215"/>
    <x v="7"/>
    <n v="7224"/>
  </r>
  <r>
    <x v="1"/>
    <x v="0"/>
    <x v="8"/>
    <x v="36"/>
    <x v="215"/>
    <x v="8"/>
    <n v="7224"/>
  </r>
  <r>
    <x v="1"/>
    <x v="0"/>
    <x v="8"/>
    <x v="36"/>
    <x v="215"/>
    <x v="9"/>
    <n v="7224"/>
  </r>
  <r>
    <x v="1"/>
    <x v="0"/>
    <x v="8"/>
    <x v="36"/>
    <x v="215"/>
    <x v="10"/>
    <n v="7224"/>
  </r>
  <r>
    <x v="1"/>
    <x v="0"/>
    <x v="8"/>
    <x v="36"/>
    <x v="215"/>
    <x v="11"/>
    <n v="7224"/>
  </r>
  <r>
    <x v="3"/>
    <x v="5"/>
    <x v="8"/>
    <x v="36"/>
    <x v="216"/>
    <x v="0"/>
    <n v="1200"/>
  </r>
  <r>
    <x v="3"/>
    <x v="5"/>
    <x v="8"/>
    <x v="36"/>
    <x v="216"/>
    <x v="1"/>
    <n v="1200"/>
  </r>
  <r>
    <x v="3"/>
    <x v="5"/>
    <x v="8"/>
    <x v="36"/>
    <x v="216"/>
    <x v="2"/>
    <n v="1200"/>
  </r>
  <r>
    <x v="3"/>
    <x v="5"/>
    <x v="8"/>
    <x v="36"/>
    <x v="216"/>
    <x v="3"/>
    <n v="1200"/>
  </r>
  <r>
    <x v="3"/>
    <x v="5"/>
    <x v="8"/>
    <x v="36"/>
    <x v="216"/>
    <x v="4"/>
    <n v="1200"/>
  </r>
  <r>
    <x v="3"/>
    <x v="5"/>
    <x v="8"/>
    <x v="36"/>
    <x v="216"/>
    <x v="5"/>
    <n v="1200"/>
  </r>
  <r>
    <x v="3"/>
    <x v="5"/>
    <x v="8"/>
    <x v="36"/>
    <x v="216"/>
    <x v="6"/>
    <n v="1200"/>
  </r>
  <r>
    <x v="3"/>
    <x v="5"/>
    <x v="8"/>
    <x v="36"/>
    <x v="216"/>
    <x v="7"/>
    <n v="1200"/>
  </r>
  <r>
    <x v="3"/>
    <x v="5"/>
    <x v="8"/>
    <x v="36"/>
    <x v="216"/>
    <x v="8"/>
    <n v="1200"/>
  </r>
  <r>
    <x v="3"/>
    <x v="5"/>
    <x v="8"/>
    <x v="36"/>
    <x v="216"/>
    <x v="9"/>
    <n v="1200"/>
  </r>
  <r>
    <x v="3"/>
    <x v="5"/>
    <x v="8"/>
    <x v="36"/>
    <x v="216"/>
    <x v="10"/>
    <n v="1200"/>
  </r>
  <r>
    <x v="3"/>
    <x v="5"/>
    <x v="8"/>
    <x v="36"/>
    <x v="216"/>
    <x v="11"/>
    <n v="1200"/>
  </r>
  <r>
    <x v="0"/>
    <x v="1"/>
    <x v="8"/>
    <x v="36"/>
    <x v="217"/>
    <x v="0"/>
    <n v="1000"/>
  </r>
  <r>
    <x v="0"/>
    <x v="1"/>
    <x v="8"/>
    <x v="36"/>
    <x v="217"/>
    <x v="1"/>
    <n v="2000"/>
  </r>
  <r>
    <x v="0"/>
    <x v="1"/>
    <x v="8"/>
    <x v="36"/>
    <x v="217"/>
    <x v="2"/>
    <n v="1500"/>
  </r>
  <r>
    <x v="0"/>
    <x v="1"/>
    <x v="8"/>
    <x v="36"/>
    <x v="217"/>
    <x v="3"/>
    <n v="1500"/>
  </r>
  <r>
    <x v="0"/>
    <x v="1"/>
    <x v="8"/>
    <x v="36"/>
    <x v="217"/>
    <x v="4"/>
    <n v="1000"/>
  </r>
  <r>
    <x v="0"/>
    <x v="1"/>
    <x v="8"/>
    <x v="36"/>
    <x v="217"/>
    <x v="5"/>
    <n v="1000"/>
  </r>
  <r>
    <x v="0"/>
    <x v="1"/>
    <x v="8"/>
    <x v="36"/>
    <x v="217"/>
    <x v="6"/>
    <n v="1000"/>
  </r>
  <r>
    <x v="0"/>
    <x v="1"/>
    <x v="8"/>
    <x v="36"/>
    <x v="217"/>
    <x v="7"/>
    <n v="1000"/>
  </r>
  <r>
    <x v="0"/>
    <x v="1"/>
    <x v="8"/>
    <x v="36"/>
    <x v="217"/>
    <x v="8"/>
    <n v="1000"/>
  </r>
  <r>
    <x v="0"/>
    <x v="1"/>
    <x v="8"/>
    <x v="36"/>
    <x v="217"/>
    <x v="9"/>
    <n v="3000"/>
  </r>
  <r>
    <x v="0"/>
    <x v="1"/>
    <x v="8"/>
    <x v="36"/>
    <x v="217"/>
    <x v="10"/>
    <n v="1000"/>
  </r>
  <r>
    <x v="0"/>
    <x v="1"/>
    <x v="8"/>
    <x v="36"/>
    <x v="217"/>
    <x v="11"/>
    <n v="1000"/>
  </r>
  <r>
    <x v="3"/>
    <x v="0"/>
    <x v="8"/>
    <x v="36"/>
    <x v="218"/>
    <x v="0"/>
    <n v="3000"/>
  </r>
  <r>
    <x v="3"/>
    <x v="0"/>
    <x v="8"/>
    <x v="36"/>
    <x v="218"/>
    <x v="1"/>
    <n v="3000"/>
  </r>
  <r>
    <x v="3"/>
    <x v="0"/>
    <x v="8"/>
    <x v="36"/>
    <x v="218"/>
    <x v="2"/>
    <n v="3000"/>
  </r>
  <r>
    <x v="3"/>
    <x v="0"/>
    <x v="8"/>
    <x v="36"/>
    <x v="218"/>
    <x v="3"/>
    <n v="3000"/>
  </r>
  <r>
    <x v="3"/>
    <x v="0"/>
    <x v="8"/>
    <x v="36"/>
    <x v="218"/>
    <x v="4"/>
    <n v="3000"/>
  </r>
  <r>
    <x v="3"/>
    <x v="0"/>
    <x v="8"/>
    <x v="36"/>
    <x v="218"/>
    <x v="5"/>
    <n v="3000"/>
  </r>
  <r>
    <x v="3"/>
    <x v="0"/>
    <x v="8"/>
    <x v="36"/>
    <x v="218"/>
    <x v="6"/>
    <n v="3000"/>
  </r>
  <r>
    <x v="3"/>
    <x v="0"/>
    <x v="8"/>
    <x v="36"/>
    <x v="218"/>
    <x v="7"/>
    <n v="3000"/>
  </r>
  <r>
    <x v="3"/>
    <x v="0"/>
    <x v="8"/>
    <x v="36"/>
    <x v="218"/>
    <x v="8"/>
    <n v="3000"/>
  </r>
  <r>
    <x v="3"/>
    <x v="0"/>
    <x v="8"/>
    <x v="36"/>
    <x v="218"/>
    <x v="9"/>
    <n v="3000"/>
  </r>
  <r>
    <x v="3"/>
    <x v="0"/>
    <x v="8"/>
    <x v="36"/>
    <x v="218"/>
    <x v="10"/>
    <n v="3000"/>
  </r>
  <r>
    <x v="3"/>
    <x v="0"/>
    <x v="8"/>
    <x v="36"/>
    <x v="218"/>
    <x v="11"/>
    <n v="3000"/>
  </r>
  <r>
    <x v="3"/>
    <x v="5"/>
    <x v="8"/>
    <x v="36"/>
    <x v="219"/>
    <x v="0"/>
    <n v="3824"/>
  </r>
  <r>
    <x v="3"/>
    <x v="5"/>
    <x v="8"/>
    <x v="36"/>
    <x v="219"/>
    <x v="1"/>
    <n v="3824"/>
  </r>
  <r>
    <x v="3"/>
    <x v="5"/>
    <x v="8"/>
    <x v="36"/>
    <x v="219"/>
    <x v="2"/>
    <n v="3824"/>
  </r>
  <r>
    <x v="3"/>
    <x v="5"/>
    <x v="8"/>
    <x v="36"/>
    <x v="219"/>
    <x v="3"/>
    <n v="3824"/>
  </r>
  <r>
    <x v="3"/>
    <x v="5"/>
    <x v="8"/>
    <x v="36"/>
    <x v="219"/>
    <x v="4"/>
    <n v="3824"/>
  </r>
  <r>
    <x v="3"/>
    <x v="5"/>
    <x v="8"/>
    <x v="36"/>
    <x v="219"/>
    <x v="5"/>
    <n v="3824"/>
  </r>
  <r>
    <x v="3"/>
    <x v="5"/>
    <x v="8"/>
    <x v="36"/>
    <x v="219"/>
    <x v="6"/>
    <n v="3824"/>
  </r>
  <r>
    <x v="3"/>
    <x v="5"/>
    <x v="8"/>
    <x v="36"/>
    <x v="219"/>
    <x v="7"/>
    <n v="3824"/>
  </r>
  <r>
    <x v="3"/>
    <x v="5"/>
    <x v="8"/>
    <x v="36"/>
    <x v="219"/>
    <x v="8"/>
    <n v="3824"/>
  </r>
  <r>
    <x v="3"/>
    <x v="5"/>
    <x v="8"/>
    <x v="36"/>
    <x v="219"/>
    <x v="9"/>
    <n v="3824"/>
  </r>
  <r>
    <x v="3"/>
    <x v="5"/>
    <x v="8"/>
    <x v="36"/>
    <x v="219"/>
    <x v="10"/>
    <n v="3824"/>
  </r>
  <r>
    <x v="3"/>
    <x v="5"/>
    <x v="8"/>
    <x v="36"/>
    <x v="219"/>
    <x v="11"/>
    <n v="3824"/>
  </r>
  <r>
    <x v="3"/>
    <x v="5"/>
    <x v="8"/>
    <x v="36"/>
    <x v="220"/>
    <x v="0"/>
    <n v="2476"/>
  </r>
  <r>
    <x v="3"/>
    <x v="5"/>
    <x v="8"/>
    <x v="36"/>
    <x v="220"/>
    <x v="1"/>
    <n v="2476"/>
  </r>
  <r>
    <x v="3"/>
    <x v="5"/>
    <x v="8"/>
    <x v="36"/>
    <x v="220"/>
    <x v="2"/>
    <n v="2476"/>
  </r>
  <r>
    <x v="3"/>
    <x v="5"/>
    <x v="8"/>
    <x v="36"/>
    <x v="220"/>
    <x v="3"/>
    <n v="0"/>
  </r>
  <r>
    <x v="3"/>
    <x v="5"/>
    <x v="8"/>
    <x v="36"/>
    <x v="220"/>
    <x v="4"/>
    <n v="0"/>
  </r>
  <r>
    <x v="3"/>
    <x v="5"/>
    <x v="8"/>
    <x v="36"/>
    <x v="220"/>
    <x v="5"/>
    <n v="0"/>
  </r>
  <r>
    <x v="3"/>
    <x v="5"/>
    <x v="8"/>
    <x v="36"/>
    <x v="220"/>
    <x v="6"/>
    <n v="0"/>
  </r>
  <r>
    <x v="3"/>
    <x v="5"/>
    <x v="8"/>
    <x v="36"/>
    <x v="220"/>
    <x v="7"/>
    <n v="0"/>
  </r>
  <r>
    <x v="3"/>
    <x v="5"/>
    <x v="8"/>
    <x v="36"/>
    <x v="220"/>
    <x v="8"/>
    <n v="0"/>
  </r>
  <r>
    <x v="3"/>
    <x v="5"/>
    <x v="8"/>
    <x v="36"/>
    <x v="220"/>
    <x v="9"/>
    <n v="0"/>
  </r>
  <r>
    <x v="3"/>
    <x v="5"/>
    <x v="8"/>
    <x v="36"/>
    <x v="220"/>
    <x v="10"/>
    <n v="0"/>
  </r>
  <r>
    <x v="3"/>
    <x v="5"/>
    <x v="8"/>
    <x v="36"/>
    <x v="220"/>
    <x v="11"/>
    <n v="0"/>
  </r>
  <r>
    <x v="1"/>
    <x v="1"/>
    <x v="8"/>
    <x v="36"/>
    <x v="221"/>
    <x v="0"/>
    <n v="0"/>
  </r>
  <r>
    <x v="1"/>
    <x v="1"/>
    <x v="8"/>
    <x v="36"/>
    <x v="221"/>
    <x v="1"/>
    <n v="500"/>
  </r>
  <r>
    <x v="1"/>
    <x v="1"/>
    <x v="8"/>
    <x v="36"/>
    <x v="221"/>
    <x v="2"/>
    <n v="0"/>
  </r>
  <r>
    <x v="1"/>
    <x v="1"/>
    <x v="8"/>
    <x v="36"/>
    <x v="221"/>
    <x v="3"/>
    <n v="0"/>
  </r>
  <r>
    <x v="1"/>
    <x v="1"/>
    <x v="8"/>
    <x v="36"/>
    <x v="221"/>
    <x v="4"/>
    <n v="0"/>
  </r>
  <r>
    <x v="1"/>
    <x v="1"/>
    <x v="8"/>
    <x v="36"/>
    <x v="221"/>
    <x v="5"/>
    <n v="0"/>
  </r>
  <r>
    <x v="1"/>
    <x v="1"/>
    <x v="8"/>
    <x v="36"/>
    <x v="221"/>
    <x v="6"/>
    <n v="0"/>
  </r>
  <r>
    <x v="1"/>
    <x v="1"/>
    <x v="8"/>
    <x v="36"/>
    <x v="221"/>
    <x v="7"/>
    <n v="0"/>
  </r>
  <r>
    <x v="1"/>
    <x v="1"/>
    <x v="8"/>
    <x v="36"/>
    <x v="221"/>
    <x v="8"/>
    <n v="200"/>
  </r>
  <r>
    <x v="1"/>
    <x v="1"/>
    <x v="8"/>
    <x v="36"/>
    <x v="221"/>
    <x v="9"/>
    <n v="0"/>
  </r>
  <r>
    <x v="1"/>
    <x v="1"/>
    <x v="8"/>
    <x v="36"/>
    <x v="221"/>
    <x v="10"/>
    <n v="0"/>
  </r>
  <r>
    <x v="1"/>
    <x v="1"/>
    <x v="8"/>
    <x v="36"/>
    <x v="221"/>
    <x v="11"/>
    <n v="0"/>
  </r>
  <r>
    <x v="1"/>
    <x v="2"/>
    <x v="8"/>
    <x v="36"/>
    <x v="222"/>
    <x v="0"/>
    <n v="8131"/>
  </r>
  <r>
    <x v="1"/>
    <x v="2"/>
    <x v="8"/>
    <x v="36"/>
    <x v="222"/>
    <x v="1"/>
    <n v="8131"/>
  </r>
  <r>
    <x v="1"/>
    <x v="2"/>
    <x v="8"/>
    <x v="36"/>
    <x v="222"/>
    <x v="2"/>
    <n v="8131"/>
  </r>
  <r>
    <x v="1"/>
    <x v="2"/>
    <x v="8"/>
    <x v="36"/>
    <x v="222"/>
    <x v="3"/>
    <n v="8131"/>
  </r>
  <r>
    <x v="1"/>
    <x v="2"/>
    <x v="8"/>
    <x v="36"/>
    <x v="222"/>
    <x v="4"/>
    <n v="8131"/>
  </r>
  <r>
    <x v="1"/>
    <x v="2"/>
    <x v="8"/>
    <x v="36"/>
    <x v="222"/>
    <x v="5"/>
    <n v="8131"/>
  </r>
  <r>
    <x v="1"/>
    <x v="2"/>
    <x v="8"/>
    <x v="36"/>
    <x v="222"/>
    <x v="6"/>
    <n v="8131"/>
  </r>
  <r>
    <x v="1"/>
    <x v="2"/>
    <x v="8"/>
    <x v="36"/>
    <x v="222"/>
    <x v="7"/>
    <n v="8131"/>
  </r>
  <r>
    <x v="1"/>
    <x v="2"/>
    <x v="8"/>
    <x v="36"/>
    <x v="222"/>
    <x v="8"/>
    <n v="8131"/>
  </r>
  <r>
    <x v="1"/>
    <x v="2"/>
    <x v="8"/>
    <x v="36"/>
    <x v="222"/>
    <x v="9"/>
    <n v="8131"/>
  </r>
  <r>
    <x v="1"/>
    <x v="2"/>
    <x v="8"/>
    <x v="36"/>
    <x v="222"/>
    <x v="10"/>
    <n v="8131"/>
  </r>
  <r>
    <x v="1"/>
    <x v="2"/>
    <x v="8"/>
    <x v="36"/>
    <x v="222"/>
    <x v="11"/>
    <n v="8131"/>
  </r>
  <r>
    <x v="1"/>
    <x v="0"/>
    <x v="8"/>
    <x v="36"/>
    <x v="223"/>
    <x v="0"/>
    <n v="0"/>
  </r>
  <r>
    <x v="1"/>
    <x v="0"/>
    <x v="8"/>
    <x v="36"/>
    <x v="223"/>
    <x v="1"/>
    <n v="0"/>
  </r>
  <r>
    <x v="1"/>
    <x v="0"/>
    <x v="8"/>
    <x v="36"/>
    <x v="223"/>
    <x v="2"/>
    <n v="0"/>
  </r>
  <r>
    <x v="1"/>
    <x v="0"/>
    <x v="8"/>
    <x v="36"/>
    <x v="223"/>
    <x v="3"/>
    <n v="0"/>
  </r>
  <r>
    <x v="1"/>
    <x v="0"/>
    <x v="8"/>
    <x v="36"/>
    <x v="223"/>
    <x v="4"/>
    <n v="0"/>
  </r>
  <r>
    <x v="1"/>
    <x v="0"/>
    <x v="8"/>
    <x v="36"/>
    <x v="223"/>
    <x v="5"/>
    <n v="0"/>
  </r>
  <r>
    <x v="1"/>
    <x v="0"/>
    <x v="8"/>
    <x v="36"/>
    <x v="223"/>
    <x v="6"/>
    <n v="0"/>
  </r>
  <r>
    <x v="1"/>
    <x v="0"/>
    <x v="8"/>
    <x v="36"/>
    <x v="223"/>
    <x v="7"/>
    <n v="0"/>
  </r>
  <r>
    <x v="1"/>
    <x v="0"/>
    <x v="8"/>
    <x v="36"/>
    <x v="223"/>
    <x v="8"/>
    <n v="0"/>
  </r>
  <r>
    <x v="1"/>
    <x v="0"/>
    <x v="8"/>
    <x v="36"/>
    <x v="223"/>
    <x v="9"/>
    <n v="0"/>
  </r>
  <r>
    <x v="1"/>
    <x v="0"/>
    <x v="8"/>
    <x v="36"/>
    <x v="223"/>
    <x v="10"/>
    <n v="0"/>
  </r>
  <r>
    <x v="1"/>
    <x v="0"/>
    <x v="8"/>
    <x v="36"/>
    <x v="223"/>
    <x v="11"/>
    <n v="0"/>
  </r>
  <r>
    <x v="1"/>
    <x v="2"/>
    <x v="8"/>
    <x v="36"/>
    <x v="224"/>
    <x v="0"/>
    <n v="2000"/>
  </r>
  <r>
    <x v="1"/>
    <x v="2"/>
    <x v="8"/>
    <x v="36"/>
    <x v="224"/>
    <x v="1"/>
    <n v="4000"/>
  </r>
  <r>
    <x v="1"/>
    <x v="2"/>
    <x v="8"/>
    <x v="36"/>
    <x v="224"/>
    <x v="2"/>
    <n v="4000"/>
  </r>
  <r>
    <x v="1"/>
    <x v="2"/>
    <x v="8"/>
    <x v="36"/>
    <x v="224"/>
    <x v="3"/>
    <n v="4000"/>
  </r>
  <r>
    <x v="1"/>
    <x v="2"/>
    <x v="8"/>
    <x v="36"/>
    <x v="224"/>
    <x v="4"/>
    <n v="4000"/>
  </r>
  <r>
    <x v="1"/>
    <x v="2"/>
    <x v="8"/>
    <x v="36"/>
    <x v="224"/>
    <x v="5"/>
    <n v="4000"/>
  </r>
  <r>
    <x v="1"/>
    <x v="2"/>
    <x v="8"/>
    <x v="36"/>
    <x v="224"/>
    <x v="6"/>
    <n v="4000"/>
  </r>
  <r>
    <x v="1"/>
    <x v="2"/>
    <x v="8"/>
    <x v="36"/>
    <x v="224"/>
    <x v="7"/>
    <n v="4000"/>
  </r>
  <r>
    <x v="1"/>
    <x v="2"/>
    <x v="8"/>
    <x v="36"/>
    <x v="224"/>
    <x v="8"/>
    <n v="4000"/>
  </r>
  <r>
    <x v="1"/>
    <x v="2"/>
    <x v="8"/>
    <x v="36"/>
    <x v="224"/>
    <x v="9"/>
    <n v="4000"/>
  </r>
  <r>
    <x v="1"/>
    <x v="2"/>
    <x v="8"/>
    <x v="36"/>
    <x v="224"/>
    <x v="10"/>
    <n v="4000"/>
  </r>
  <r>
    <x v="1"/>
    <x v="2"/>
    <x v="8"/>
    <x v="36"/>
    <x v="224"/>
    <x v="11"/>
    <n v="4000"/>
  </r>
  <r>
    <x v="1"/>
    <x v="4"/>
    <x v="8"/>
    <x v="36"/>
    <x v="225"/>
    <x v="0"/>
    <n v="0"/>
  </r>
  <r>
    <x v="1"/>
    <x v="4"/>
    <x v="8"/>
    <x v="36"/>
    <x v="225"/>
    <x v="1"/>
    <n v="0"/>
  </r>
  <r>
    <x v="1"/>
    <x v="4"/>
    <x v="8"/>
    <x v="36"/>
    <x v="225"/>
    <x v="2"/>
    <n v="2500"/>
  </r>
  <r>
    <x v="1"/>
    <x v="4"/>
    <x v="8"/>
    <x v="36"/>
    <x v="225"/>
    <x v="3"/>
    <n v="2500"/>
  </r>
  <r>
    <x v="1"/>
    <x v="4"/>
    <x v="8"/>
    <x v="36"/>
    <x v="225"/>
    <x v="4"/>
    <n v="2500"/>
  </r>
  <r>
    <x v="1"/>
    <x v="4"/>
    <x v="8"/>
    <x v="36"/>
    <x v="225"/>
    <x v="5"/>
    <n v="2500"/>
  </r>
  <r>
    <x v="1"/>
    <x v="4"/>
    <x v="8"/>
    <x v="36"/>
    <x v="225"/>
    <x v="6"/>
    <n v="2500"/>
  </r>
  <r>
    <x v="1"/>
    <x v="4"/>
    <x v="8"/>
    <x v="36"/>
    <x v="225"/>
    <x v="7"/>
    <n v="2500"/>
  </r>
  <r>
    <x v="1"/>
    <x v="4"/>
    <x v="8"/>
    <x v="36"/>
    <x v="225"/>
    <x v="8"/>
    <n v="2500"/>
  </r>
  <r>
    <x v="1"/>
    <x v="4"/>
    <x v="8"/>
    <x v="36"/>
    <x v="225"/>
    <x v="9"/>
    <n v="2500"/>
  </r>
  <r>
    <x v="1"/>
    <x v="4"/>
    <x v="8"/>
    <x v="36"/>
    <x v="225"/>
    <x v="10"/>
    <n v="2500"/>
  </r>
  <r>
    <x v="1"/>
    <x v="4"/>
    <x v="8"/>
    <x v="36"/>
    <x v="225"/>
    <x v="11"/>
    <n v="2500"/>
  </r>
  <r>
    <x v="1"/>
    <x v="5"/>
    <x v="8"/>
    <x v="36"/>
    <x v="226"/>
    <x v="0"/>
    <n v="2430"/>
  </r>
  <r>
    <x v="1"/>
    <x v="5"/>
    <x v="8"/>
    <x v="36"/>
    <x v="226"/>
    <x v="1"/>
    <n v="2430"/>
  </r>
  <r>
    <x v="1"/>
    <x v="5"/>
    <x v="8"/>
    <x v="36"/>
    <x v="226"/>
    <x v="2"/>
    <n v="2430"/>
  </r>
  <r>
    <x v="1"/>
    <x v="5"/>
    <x v="8"/>
    <x v="36"/>
    <x v="226"/>
    <x v="3"/>
    <n v="2430"/>
  </r>
  <r>
    <x v="1"/>
    <x v="5"/>
    <x v="8"/>
    <x v="36"/>
    <x v="226"/>
    <x v="4"/>
    <n v="2430"/>
  </r>
  <r>
    <x v="1"/>
    <x v="5"/>
    <x v="8"/>
    <x v="36"/>
    <x v="226"/>
    <x v="5"/>
    <n v="2430"/>
  </r>
  <r>
    <x v="1"/>
    <x v="5"/>
    <x v="8"/>
    <x v="36"/>
    <x v="226"/>
    <x v="6"/>
    <n v="2430"/>
  </r>
  <r>
    <x v="1"/>
    <x v="5"/>
    <x v="8"/>
    <x v="36"/>
    <x v="226"/>
    <x v="7"/>
    <n v="2430"/>
  </r>
  <r>
    <x v="1"/>
    <x v="5"/>
    <x v="8"/>
    <x v="36"/>
    <x v="226"/>
    <x v="8"/>
    <n v="2430"/>
  </r>
  <r>
    <x v="1"/>
    <x v="5"/>
    <x v="8"/>
    <x v="36"/>
    <x v="226"/>
    <x v="9"/>
    <n v="2430"/>
  </r>
  <r>
    <x v="1"/>
    <x v="5"/>
    <x v="8"/>
    <x v="36"/>
    <x v="226"/>
    <x v="10"/>
    <n v="2430"/>
  </r>
  <r>
    <x v="1"/>
    <x v="5"/>
    <x v="8"/>
    <x v="36"/>
    <x v="226"/>
    <x v="11"/>
    <n v="2430"/>
  </r>
  <r>
    <x v="1"/>
    <x v="2"/>
    <x v="8"/>
    <x v="36"/>
    <x v="227"/>
    <x v="0"/>
    <n v="0"/>
  </r>
  <r>
    <x v="1"/>
    <x v="2"/>
    <x v="8"/>
    <x v="36"/>
    <x v="227"/>
    <x v="1"/>
    <n v="0"/>
  </r>
  <r>
    <x v="1"/>
    <x v="2"/>
    <x v="8"/>
    <x v="36"/>
    <x v="227"/>
    <x v="2"/>
    <n v="8500"/>
  </r>
  <r>
    <x v="1"/>
    <x v="2"/>
    <x v="8"/>
    <x v="36"/>
    <x v="227"/>
    <x v="3"/>
    <n v="8500"/>
  </r>
  <r>
    <x v="1"/>
    <x v="2"/>
    <x v="8"/>
    <x v="36"/>
    <x v="227"/>
    <x v="4"/>
    <n v="8500"/>
  </r>
  <r>
    <x v="1"/>
    <x v="2"/>
    <x v="8"/>
    <x v="36"/>
    <x v="227"/>
    <x v="5"/>
    <n v="8500"/>
  </r>
  <r>
    <x v="1"/>
    <x v="2"/>
    <x v="8"/>
    <x v="36"/>
    <x v="227"/>
    <x v="6"/>
    <n v="8500"/>
  </r>
  <r>
    <x v="1"/>
    <x v="2"/>
    <x v="8"/>
    <x v="36"/>
    <x v="227"/>
    <x v="7"/>
    <n v="8500"/>
  </r>
  <r>
    <x v="1"/>
    <x v="2"/>
    <x v="8"/>
    <x v="36"/>
    <x v="227"/>
    <x v="8"/>
    <n v="8500"/>
  </r>
  <r>
    <x v="1"/>
    <x v="2"/>
    <x v="8"/>
    <x v="36"/>
    <x v="227"/>
    <x v="9"/>
    <n v="8500"/>
  </r>
  <r>
    <x v="1"/>
    <x v="2"/>
    <x v="8"/>
    <x v="36"/>
    <x v="227"/>
    <x v="10"/>
    <n v="8500"/>
  </r>
  <r>
    <x v="1"/>
    <x v="2"/>
    <x v="8"/>
    <x v="36"/>
    <x v="227"/>
    <x v="11"/>
    <n v="8500"/>
  </r>
  <r>
    <x v="1"/>
    <x v="2"/>
    <x v="8"/>
    <x v="36"/>
    <x v="228"/>
    <x v="0"/>
    <n v="0"/>
  </r>
  <r>
    <x v="1"/>
    <x v="2"/>
    <x v="8"/>
    <x v="36"/>
    <x v="228"/>
    <x v="1"/>
    <n v="0"/>
  </r>
  <r>
    <x v="1"/>
    <x v="2"/>
    <x v="8"/>
    <x v="36"/>
    <x v="228"/>
    <x v="2"/>
    <n v="0"/>
  </r>
  <r>
    <x v="1"/>
    <x v="2"/>
    <x v="8"/>
    <x v="36"/>
    <x v="228"/>
    <x v="3"/>
    <n v="8500"/>
  </r>
  <r>
    <x v="1"/>
    <x v="2"/>
    <x v="8"/>
    <x v="36"/>
    <x v="228"/>
    <x v="4"/>
    <n v="8500"/>
  </r>
  <r>
    <x v="1"/>
    <x v="2"/>
    <x v="8"/>
    <x v="36"/>
    <x v="228"/>
    <x v="5"/>
    <n v="8500"/>
  </r>
  <r>
    <x v="1"/>
    <x v="2"/>
    <x v="8"/>
    <x v="36"/>
    <x v="228"/>
    <x v="6"/>
    <n v="8500"/>
  </r>
  <r>
    <x v="1"/>
    <x v="2"/>
    <x v="8"/>
    <x v="36"/>
    <x v="228"/>
    <x v="7"/>
    <n v="8500"/>
  </r>
  <r>
    <x v="1"/>
    <x v="2"/>
    <x v="8"/>
    <x v="36"/>
    <x v="228"/>
    <x v="8"/>
    <n v="8500"/>
  </r>
  <r>
    <x v="1"/>
    <x v="2"/>
    <x v="8"/>
    <x v="36"/>
    <x v="228"/>
    <x v="9"/>
    <n v="8500"/>
  </r>
  <r>
    <x v="1"/>
    <x v="2"/>
    <x v="8"/>
    <x v="36"/>
    <x v="228"/>
    <x v="10"/>
    <n v="8500"/>
  </r>
  <r>
    <x v="1"/>
    <x v="2"/>
    <x v="8"/>
    <x v="36"/>
    <x v="228"/>
    <x v="11"/>
    <n v="8500"/>
  </r>
  <r>
    <x v="1"/>
    <x v="2"/>
    <x v="8"/>
    <x v="36"/>
    <x v="229"/>
    <x v="0"/>
    <n v="0"/>
  </r>
  <r>
    <x v="1"/>
    <x v="2"/>
    <x v="8"/>
    <x v="36"/>
    <x v="229"/>
    <x v="1"/>
    <n v="0"/>
  </r>
  <r>
    <x v="1"/>
    <x v="2"/>
    <x v="8"/>
    <x v="36"/>
    <x v="229"/>
    <x v="2"/>
    <n v="0"/>
  </r>
  <r>
    <x v="1"/>
    <x v="2"/>
    <x v="8"/>
    <x v="36"/>
    <x v="229"/>
    <x v="3"/>
    <n v="8500"/>
  </r>
  <r>
    <x v="1"/>
    <x v="2"/>
    <x v="8"/>
    <x v="36"/>
    <x v="229"/>
    <x v="4"/>
    <n v="8500"/>
  </r>
  <r>
    <x v="1"/>
    <x v="2"/>
    <x v="8"/>
    <x v="36"/>
    <x v="229"/>
    <x v="5"/>
    <n v="8500"/>
  </r>
  <r>
    <x v="1"/>
    <x v="2"/>
    <x v="8"/>
    <x v="36"/>
    <x v="229"/>
    <x v="6"/>
    <n v="8500"/>
  </r>
  <r>
    <x v="1"/>
    <x v="2"/>
    <x v="8"/>
    <x v="36"/>
    <x v="229"/>
    <x v="7"/>
    <n v="8500"/>
  </r>
  <r>
    <x v="1"/>
    <x v="2"/>
    <x v="8"/>
    <x v="36"/>
    <x v="229"/>
    <x v="8"/>
    <n v="8500"/>
  </r>
  <r>
    <x v="1"/>
    <x v="2"/>
    <x v="8"/>
    <x v="36"/>
    <x v="229"/>
    <x v="9"/>
    <n v="8500"/>
  </r>
  <r>
    <x v="1"/>
    <x v="2"/>
    <x v="8"/>
    <x v="36"/>
    <x v="229"/>
    <x v="10"/>
    <n v="8500"/>
  </r>
  <r>
    <x v="1"/>
    <x v="2"/>
    <x v="8"/>
    <x v="36"/>
    <x v="229"/>
    <x v="11"/>
    <n v="8500"/>
  </r>
  <r>
    <x v="1"/>
    <x v="2"/>
    <x v="8"/>
    <x v="36"/>
    <x v="230"/>
    <x v="0"/>
    <n v="0"/>
  </r>
  <r>
    <x v="1"/>
    <x v="2"/>
    <x v="8"/>
    <x v="36"/>
    <x v="230"/>
    <x v="1"/>
    <n v="0"/>
  </r>
  <r>
    <x v="1"/>
    <x v="2"/>
    <x v="8"/>
    <x v="36"/>
    <x v="230"/>
    <x v="2"/>
    <n v="0"/>
  </r>
  <r>
    <x v="1"/>
    <x v="2"/>
    <x v="8"/>
    <x v="36"/>
    <x v="230"/>
    <x v="3"/>
    <n v="6000"/>
  </r>
  <r>
    <x v="1"/>
    <x v="2"/>
    <x v="8"/>
    <x v="36"/>
    <x v="230"/>
    <x v="4"/>
    <n v="6000"/>
  </r>
  <r>
    <x v="1"/>
    <x v="2"/>
    <x v="8"/>
    <x v="36"/>
    <x v="230"/>
    <x v="5"/>
    <n v="6000"/>
  </r>
  <r>
    <x v="1"/>
    <x v="2"/>
    <x v="8"/>
    <x v="36"/>
    <x v="230"/>
    <x v="6"/>
    <n v="6000"/>
  </r>
  <r>
    <x v="1"/>
    <x v="2"/>
    <x v="8"/>
    <x v="36"/>
    <x v="230"/>
    <x v="7"/>
    <n v="6000"/>
  </r>
  <r>
    <x v="1"/>
    <x v="2"/>
    <x v="8"/>
    <x v="36"/>
    <x v="230"/>
    <x v="8"/>
    <n v="6000"/>
  </r>
  <r>
    <x v="1"/>
    <x v="2"/>
    <x v="8"/>
    <x v="36"/>
    <x v="230"/>
    <x v="9"/>
    <n v="6000"/>
  </r>
  <r>
    <x v="1"/>
    <x v="2"/>
    <x v="8"/>
    <x v="36"/>
    <x v="230"/>
    <x v="10"/>
    <n v="6000"/>
  </r>
  <r>
    <x v="1"/>
    <x v="2"/>
    <x v="8"/>
    <x v="36"/>
    <x v="230"/>
    <x v="11"/>
    <n v="6000"/>
  </r>
  <r>
    <x v="1"/>
    <x v="2"/>
    <x v="8"/>
    <x v="36"/>
    <x v="231"/>
    <x v="0"/>
    <n v="0"/>
  </r>
  <r>
    <x v="1"/>
    <x v="2"/>
    <x v="8"/>
    <x v="36"/>
    <x v="231"/>
    <x v="1"/>
    <n v="0"/>
  </r>
  <r>
    <x v="1"/>
    <x v="2"/>
    <x v="8"/>
    <x v="36"/>
    <x v="231"/>
    <x v="2"/>
    <n v="0"/>
  </r>
  <r>
    <x v="1"/>
    <x v="2"/>
    <x v="8"/>
    <x v="36"/>
    <x v="231"/>
    <x v="3"/>
    <n v="6000"/>
  </r>
  <r>
    <x v="1"/>
    <x v="2"/>
    <x v="8"/>
    <x v="36"/>
    <x v="231"/>
    <x v="4"/>
    <n v="6000"/>
  </r>
  <r>
    <x v="1"/>
    <x v="2"/>
    <x v="8"/>
    <x v="36"/>
    <x v="231"/>
    <x v="5"/>
    <n v="6000"/>
  </r>
  <r>
    <x v="1"/>
    <x v="2"/>
    <x v="8"/>
    <x v="36"/>
    <x v="231"/>
    <x v="6"/>
    <n v="6000"/>
  </r>
  <r>
    <x v="1"/>
    <x v="2"/>
    <x v="8"/>
    <x v="36"/>
    <x v="231"/>
    <x v="7"/>
    <n v="6000"/>
  </r>
  <r>
    <x v="1"/>
    <x v="2"/>
    <x v="8"/>
    <x v="36"/>
    <x v="231"/>
    <x v="8"/>
    <n v="6000"/>
  </r>
  <r>
    <x v="1"/>
    <x v="2"/>
    <x v="8"/>
    <x v="36"/>
    <x v="231"/>
    <x v="9"/>
    <n v="6000"/>
  </r>
  <r>
    <x v="1"/>
    <x v="2"/>
    <x v="8"/>
    <x v="36"/>
    <x v="231"/>
    <x v="10"/>
    <n v="6000"/>
  </r>
  <r>
    <x v="1"/>
    <x v="2"/>
    <x v="8"/>
    <x v="36"/>
    <x v="231"/>
    <x v="11"/>
    <n v="6000"/>
  </r>
  <r>
    <x v="1"/>
    <x v="2"/>
    <x v="8"/>
    <x v="36"/>
    <x v="232"/>
    <x v="0"/>
    <n v="0"/>
  </r>
  <r>
    <x v="1"/>
    <x v="2"/>
    <x v="8"/>
    <x v="36"/>
    <x v="232"/>
    <x v="1"/>
    <n v="0"/>
  </r>
  <r>
    <x v="1"/>
    <x v="2"/>
    <x v="8"/>
    <x v="36"/>
    <x v="232"/>
    <x v="2"/>
    <n v="0"/>
  </r>
  <r>
    <x v="1"/>
    <x v="2"/>
    <x v="8"/>
    <x v="36"/>
    <x v="232"/>
    <x v="3"/>
    <n v="6000"/>
  </r>
  <r>
    <x v="1"/>
    <x v="2"/>
    <x v="8"/>
    <x v="36"/>
    <x v="232"/>
    <x v="4"/>
    <n v="6000"/>
  </r>
  <r>
    <x v="1"/>
    <x v="2"/>
    <x v="8"/>
    <x v="36"/>
    <x v="232"/>
    <x v="5"/>
    <n v="6000"/>
  </r>
  <r>
    <x v="1"/>
    <x v="2"/>
    <x v="8"/>
    <x v="36"/>
    <x v="232"/>
    <x v="6"/>
    <n v="6000"/>
  </r>
  <r>
    <x v="1"/>
    <x v="2"/>
    <x v="8"/>
    <x v="36"/>
    <x v="232"/>
    <x v="7"/>
    <n v="6000"/>
  </r>
  <r>
    <x v="1"/>
    <x v="2"/>
    <x v="8"/>
    <x v="36"/>
    <x v="232"/>
    <x v="8"/>
    <n v="6000"/>
  </r>
  <r>
    <x v="1"/>
    <x v="2"/>
    <x v="8"/>
    <x v="36"/>
    <x v="232"/>
    <x v="9"/>
    <n v="6000"/>
  </r>
  <r>
    <x v="1"/>
    <x v="2"/>
    <x v="8"/>
    <x v="36"/>
    <x v="232"/>
    <x v="10"/>
    <n v="6000"/>
  </r>
  <r>
    <x v="1"/>
    <x v="2"/>
    <x v="8"/>
    <x v="36"/>
    <x v="232"/>
    <x v="11"/>
    <n v="6000"/>
  </r>
  <r>
    <x v="3"/>
    <x v="2"/>
    <x v="8"/>
    <x v="36"/>
    <x v="233"/>
    <x v="0"/>
    <n v="0"/>
  </r>
  <r>
    <x v="3"/>
    <x v="2"/>
    <x v="8"/>
    <x v="36"/>
    <x v="233"/>
    <x v="1"/>
    <n v="0"/>
  </r>
  <r>
    <x v="3"/>
    <x v="2"/>
    <x v="8"/>
    <x v="36"/>
    <x v="233"/>
    <x v="2"/>
    <n v="0"/>
  </r>
  <r>
    <x v="3"/>
    <x v="2"/>
    <x v="8"/>
    <x v="36"/>
    <x v="233"/>
    <x v="3"/>
    <n v="4500"/>
  </r>
  <r>
    <x v="3"/>
    <x v="2"/>
    <x v="8"/>
    <x v="36"/>
    <x v="233"/>
    <x v="4"/>
    <n v="4500"/>
  </r>
  <r>
    <x v="3"/>
    <x v="2"/>
    <x v="8"/>
    <x v="36"/>
    <x v="233"/>
    <x v="5"/>
    <n v="4500"/>
  </r>
  <r>
    <x v="3"/>
    <x v="2"/>
    <x v="8"/>
    <x v="36"/>
    <x v="233"/>
    <x v="6"/>
    <n v="4500"/>
  </r>
  <r>
    <x v="3"/>
    <x v="2"/>
    <x v="8"/>
    <x v="36"/>
    <x v="233"/>
    <x v="7"/>
    <n v="4500"/>
  </r>
  <r>
    <x v="3"/>
    <x v="2"/>
    <x v="8"/>
    <x v="36"/>
    <x v="233"/>
    <x v="8"/>
    <n v="4500"/>
  </r>
  <r>
    <x v="3"/>
    <x v="2"/>
    <x v="8"/>
    <x v="36"/>
    <x v="233"/>
    <x v="9"/>
    <n v="4500"/>
  </r>
  <r>
    <x v="3"/>
    <x v="2"/>
    <x v="8"/>
    <x v="36"/>
    <x v="233"/>
    <x v="10"/>
    <n v="4500"/>
  </r>
  <r>
    <x v="3"/>
    <x v="2"/>
    <x v="8"/>
    <x v="36"/>
    <x v="233"/>
    <x v="11"/>
    <n v="4500"/>
  </r>
  <r>
    <x v="3"/>
    <x v="2"/>
    <x v="8"/>
    <x v="36"/>
    <x v="234"/>
    <x v="0"/>
    <n v="0"/>
  </r>
  <r>
    <x v="3"/>
    <x v="2"/>
    <x v="8"/>
    <x v="36"/>
    <x v="234"/>
    <x v="1"/>
    <n v="0"/>
  </r>
  <r>
    <x v="3"/>
    <x v="2"/>
    <x v="8"/>
    <x v="36"/>
    <x v="234"/>
    <x v="2"/>
    <n v="0"/>
  </r>
  <r>
    <x v="3"/>
    <x v="2"/>
    <x v="8"/>
    <x v="36"/>
    <x v="234"/>
    <x v="3"/>
    <n v="4500"/>
  </r>
  <r>
    <x v="3"/>
    <x v="2"/>
    <x v="8"/>
    <x v="36"/>
    <x v="234"/>
    <x v="4"/>
    <n v="4500"/>
  </r>
  <r>
    <x v="3"/>
    <x v="2"/>
    <x v="8"/>
    <x v="36"/>
    <x v="234"/>
    <x v="5"/>
    <n v="4500"/>
  </r>
  <r>
    <x v="3"/>
    <x v="2"/>
    <x v="8"/>
    <x v="36"/>
    <x v="234"/>
    <x v="6"/>
    <n v="4500"/>
  </r>
  <r>
    <x v="3"/>
    <x v="2"/>
    <x v="8"/>
    <x v="36"/>
    <x v="234"/>
    <x v="7"/>
    <n v="4500"/>
  </r>
  <r>
    <x v="3"/>
    <x v="2"/>
    <x v="8"/>
    <x v="36"/>
    <x v="234"/>
    <x v="8"/>
    <n v="4500"/>
  </r>
  <r>
    <x v="3"/>
    <x v="2"/>
    <x v="8"/>
    <x v="36"/>
    <x v="234"/>
    <x v="9"/>
    <n v="4500"/>
  </r>
  <r>
    <x v="3"/>
    <x v="2"/>
    <x v="8"/>
    <x v="36"/>
    <x v="234"/>
    <x v="10"/>
    <n v="4500"/>
  </r>
  <r>
    <x v="3"/>
    <x v="2"/>
    <x v="8"/>
    <x v="36"/>
    <x v="234"/>
    <x v="11"/>
    <n v="4500"/>
  </r>
  <r>
    <x v="1"/>
    <x v="2"/>
    <x v="8"/>
    <x v="36"/>
    <x v="235"/>
    <x v="0"/>
    <n v="0"/>
  </r>
  <r>
    <x v="1"/>
    <x v="2"/>
    <x v="8"/>
    <x v="36"/>
    <x v="235"/>
    <x v="1"/>
    <n v="0"/>
  </r>
  <r>
    <x v="1"/>
    <x v="2"/>
    <x v="8"/>
    <x v="36"/>
    <x v="235"/>
    <x v="2"/>
    <n v="0"/>
  </r>
  <r>
    <x v="1"/>
    <x v="2"/>
    <x v="8"/>
    <x v="36"/>
    <x v="235"/>
    <x v="3"/>
    <n v="4000"/>
  </r>
  <r>
    <x v="1"/>
    <x v="2"/>
    <x v="8"/>
    <x v="36"/>
    <x v="235"/>
    <x v="4"/>
    <n v="4000"/>
  </r>
  <r>
    <x v="1"/>
    <x v="2"/>
    <x v="8"/>
    <x v="36"/>
    <x v="235"/>
    <x v="5"/>
    <n v="4000"/>
  </r>
  <r>
    <x v="1"/>
    <x v="2"/>
    <x v="8"/>
    <x v="36"/>
    <x v="235"/>
    <x v="6"/>
    <n v="4000"/>
  </r>
  <r>
    <x v="1"/>
    <x v="2"/>
    <x v="8"/>
    <x v="36"/>
    <x v="235"/>
    <x v="7"/>
    <n v="4000"/>
  </r>
  <r>
    <x v="1"/>
    <x v="2"/>
    <x v="8"/>
    <x v="36"/>
    <x v="235"/>
    <x v="8"/>
    <n v="4000"/>
  </r>
  <r>
    <x v="1"/>
    <x v="2"/>
    <x v="8"/>
    <x v="36"/>
    <x v="235"/>
    <x v="9"/>
    <n v="4000"/>
  </r>
  <r>
    <x v="1"/>
    <x v="2"/>
    <x v="8"/>
    <x v="36"/>
    <x v="235"/>
    <x v="10"/>
    <n v="4000"/>
  </r>
  <r>
    <x v="1"/>
    <x v="2"/>
    <x v="8"/>
    <x v="36"/>
    <x v="235"/>
    <x v="11"/>
    <n v="4000"/>
  </r>
  <r>
    <x v="1"/>
    <x v="2"/>
    <x v="8"/>
    <x v="36"/>
    <x v="236"/>
    <x v="0"/>
    <n v="0"/>
  </r>
  <r>
    <x v="1"/>
    <x v="2"/>
    <x v="8"/>
    <x v="36"/>
    <x v="236"/>
    <x v="1"/>
    <n v="0"/>
  </r>
  <r>
    <x v="1"/>
    <x v="2"/>
    <x v="8"/>
    <x v="36"/>
    <x v="236"/>
    <x v="2"/>
    <n v="0"/>
  </r>
  <r>
    <x v="1"/>
    <x v="2"/>
    <x v="8"/>
    <x v="36"/>
    <x v="236"/>
    <x v="3"/>
    <n v="4000"/>
  </r>
  <r>
    <x v="1"/>
    <x v="2"/>
    <x v="8"/>
    <x v="36"/>
    <x v="236"/>
    <x v="4"/>
    <n v="4000"/>
  </r>
  <r>
    <x v="1"/>
    <x v="2"/>
    <x v="8"/>
    <x v="36"/>
    <x v="236"/>
    <x v="5"/>
    <n v="4000"/>
  </r>
  <r>
    <x v="1"/>
    <x v="2"/>
    <x v="8"/>
    <x v="36"/>
    <x v="236"/>
    <x v="6"/>
    <n v="4000"/>
  </r>
  <r>
    <x v="1"/>
    <x v="2"/>
    <x v="8"/>
    <x v="36"/>
    <x v="236"/>
    <x v="7"/>
    <n v="4000"/>
  </r>
  <r>
    <x v="1"/>
    <x v="2"/>
    <x v="8"/>
    <x v="36"/>
    <x v="236"/>
    <x v="8"/>
    <n v="4000"/>
  </r>
  <r>
    <x v="1"/>
    <x v="2"/>
    <x v="8"/>
    <x v="36"/>
    <x v="236"/>
    <x v="9"/>
    <n v="4000"/>
  </r>
  <r>
    <x v="1"/>
    <x v="2"/>
    <x v="8"/>
    <x v="36"/>
    <x v="236"/>
    <x v="10"/>
    <n v="4000"/>
  </r>
  <r>
    <x v="1"/>
    <x v="2"/>
    <x v="8"/>
    <x v="36"/>
    <x v="236"/>
    <x v="11"/>
    <n v="4000"/>
  </r>
  <r>
    <x v="1"/>
    <x v="2"/>
    <x v="8"/>
    <x v="36"/>
    <x v="237"/>
    <x v="0"/>
    <n v="0"/>
  </r>
  <r>
    <x v="1"/>
    <x v="2"/>
    <x v="8"/>
    <x v="36"/>
    <x v="237"/>
    <x v="1"/>
    <n v="0"/>
  </r>
  <r>
    <x v="1"/>
    <x v="2"/>
    <x v="8"/>
    <x v="36"/>
    <x v="237"/>
    <x v="2"/>
    <n v="0"/>
  </r>
  <r>
    <x v="1"/>
    <x v="2"/>
    <x v="8"/>
    <x v="36"/>
    <x v="237"/>
    <x v="3"/>
    <n v="4000"/>
  </r>
  <r>
    <x v="1"/>
    <x v="2"/>
    <x v="8"/>
    <x v="36"/>
    <x v="237"/>
    <x v="4"/>
    <n v="4000"/>
  </r>
  <r>
    <x v="1"/>
    <x v="2"/>
    <x v="8"/>
    <x v="36"/>
    <x v="237"/>
    <x v="5"/>
    <n v="4000"/>
  </r>
  <r>
    <x v="1"/>
    <x v="2"/>
    <x v="8"/>
    <x v="36"/>
    <x v="237"/>
    <x v="6"/>
    <n v="4000"/>
  </r>
  <r>
    <x v="1"/>
    <x v="2"/>
    <x v="8"/>
    <x v="36"/>
    <x v="237"/>
    <x v="7"/>
    <n v="4000"/>
  </r>
  <r>
    <x v="1"/>
    <x v="2"/>
    <x v="8"/>
    <x v="36"/>
    <x v="237"/>
    <x v="8"/>
    <n v="4000"/>
  </r>
  <r>
    <x v="1"/>
    <x v="2"/>
    <x v="8"/>
    <x v="36"/>
    <x v="237"/>
    <x v="9"/>
    <n v="4000"/>
  </r>
  <r>
    <x v="1"/>
    <x v="2"/>
    <x v="8"/>
    <x v="36"/>
    <x v="237"/>
    <x v="10"/>
    <n v="4000"/>
  </r>
  <r>
    <x v="1"/>
    <x v="2"/>
    <x v="8"/>
    <x v="36"/>
    <x v="237"/>
    <x v="11"/>
    <n v="4000"/>
  </r>
  <r>
    <x v="3"/>
    <x v="2"/>
    <x v="8"/>
    <x v="36"/>
    <x v="238"/>
    <x v="0"/>
    <n v="0"/>
  </r>
  <r>
    <x v="3"/>
    <x v="2"/>
    <x v="8"/>
    <x v="36"/>
    <x v="238"/>
    <x v="1"/>
    <n v="0"/>
  </r>
  <r>
    <x v="3"/>
    <x v="2"/>
    <x v="8"/>
    <x v="36"/>
    <x v="238"/>
    <x v="2"/>
    <n v="0"/>
  </r>
  <r>
    <x v="3"/>
    <x v="2"/>
    <x v="8"/>
    <x v="36"/>
    <x v="238"/>
    <x v="3"/>
    <n v="2500"/>
  </r>
  <r>
    <x v="3"/>
    <x v="2"/>
    <x v="8"/>
    <x v="36"/>
    <x v="238"/>
    <x v="4"/>
    <n v="2500"/>
  </r>
  <r>
    <x v="3"/>
    <x v="2"/>
    <x v="8"/>
    <x v="36"/>
    <x v="238"/>
    <x v="5"/>
    <n v="2500"/>
  </r>
  <r>
    <x v="3"/>
    <x v="2"/>
    <x v="8"/>
    <x v="36"/>
    <x v="238"/>
    <x v="6"/>
    <n v="2500"/>
  </r>
  <r>
    <x v="3"/>
    <x v="2"/>
    <x v="8"/>
    <x v="36"/>
    <x v="238"/>
    <x v="7"/>
    <n v="2500"/>
  </r>
  <r>
    <x v="3"/>
    <x v="2"/>
    <x v="8"/>
    <x v="36"/>
    <x v="238"/>
    <x v="8"/>
    <n v="2500"/>
  </r>
  <r>
    <x v="3"/>
    <x v="2"/>
    <x v="8"/>
    <x v="36"/>
    <x v="238"/>
    <x v="9"/>
    <n v="2500"/>
  </r>
  <r>
    <x v="3"/>
    <x v="2"/>
    <x v="8"/>
    <x v="36"/>
    <x v="238"/>
    <x v="10"/>
    <n v="2500"/>
  </r>
  <r>
    <x v="3"/>
    <x v="2"/>
    <x v="8"/>
    <x v="36"/>
    <x v="238"/>
    <x v="11"/>
    <n v="2500"/>
  </r>
  <r>
    <x v="3"/>
    <x v="2"/>
    <x v="8"/>
    <x v="36"/>
    <x v="239"/>
    <x v="0"/>
    <n v="0"/>
  </r>
  <r>
    <x v="3"/>
    <x v="2"/>
    <x v="8"/>
    <x v="36"/>
    <x v="239"/>
    <x v="1"/>
    <n v="0"/>
  </r>
  <r>
    <x v="3"/>
    <x v="2"/>
    <x v="8"/>
    <x v="36"/>
    <x v="239"/>
    <x v="2"/>
    <n v="0"/>
  </r>
  <r>
    <x v="3"/>
    <x v="2"/>
    <x v="8"/>
    <x v="36"/>
    <x v="239"/>
    <x v="3"/>
    <n v="2500"/>
  </r>
  <r>
    <x v="3"/>
    <x v="2"/>
    <x v="8"/>
    <x v="36"/>
    <x v="239"/>
    <x v="4"/>
    <n v="2500"/>
  </r>
  <r>
    <x v="3"/>
    <x v="2"/>
    <x v="8"/>
    <x v="36"/>
    <x v="239"/>
    <x v="5"/>
    <n v="2500"/>
  </r>
  <r>
    <x v="3"/>
    <x v="2"/>
    <x v="8"/>
    <x v="36"/>
    <x v="239"/>
    <x v="6"/>
    <n v="2500"/>
  </r>
  <r>
    <x v="3"/>
    <x v="2"/>
    <x v="8"/>
    <x v="36"/>
    <x v="239"/>
    <x v="7"/>
    <n v="2500"/>
  </r>
  <r>
    <x v="3"/>
    <x v="2"/>
    <x v="8"/>
    <x v="36"/>
    <x v="239"/>
    <x v="8"/>
    <n v="2500"/>
  </r>
  <r>
    <x v="3"/>
    <x v="2"/>
    <x v="8"/>
    <x v="36"/>
    <x v="239"/>
    <x v="9"/>
    <n v="2500"/>
  </r>
  <r>
    <x v="3"/>
    <x v="2"/>
    <x v="8"/>
    <x v="36"/>
    <x v="239"/>
    <x v="10"/>
    <n v="2500"/>
  </r>
  <r>
    <x v="3"/>
    <x v="2"/>
    <x v="8"/>
    <x v="36"/>
    <x v="239"/>
    <x v="11"/>
    <n v="2500"/>
  </r>
  <r>
    <x v="1"/>
    <x v="2"/>
    <x v="8"/>
    <x v="36"/>
    <x v="240"/>
    <x v="0"/>
    <n v="0"/>
  </r>
  <r>
    <x v="1"/>
    <x v="2"/>
    <x v="8"/>
    <x v="36"/>
    <x v="240"/>
    <x v="1"/>
    <n v="0"/>
  </r>
  <r>
    <x v="1"/>
    <x v="2"/>
    <x v="8"/>
    <x v="36"/>
    <x v="240"/>
    <x v="2"/>
    <n v="0"/>
  </r>
  <r>
    <x v="1"/>
    <x v="2"/>
    <x v="8"/>
    <x v="36"/>
    <x v="240"/>
    <x v="3"/>
    <n v="2700"/>
  </r>
  <r>
    <x v="1"/>
    <x v="2"/>
    <x v="8"/>
    <x v="36"/>
    <x v="240"/>
    <x v="4"/>
    <n v="2700"/>
  </r>
  <r>
    <x v="1"/>
    <x v="2"/>
    <x v="8"/>
    <x v="36"/>
    <x v="240"/>
    <x v="5"/>
    <n v="2700"/>
  </r>
  <r>
    <x v="1"/>
    <x v="2"/>
    <x v="8"/>
    <x v="36"/>
    <x v="240"/>
    <x v="6"/>
    <n v="2700"/>
  </r>
  <r>
    <x v="1"/>
    <x v="2"/>
    <x v="8"/>
    <x v="36"/>
    <x v="240"/>
    <x v="7"/>
    <n v="2700"/>
  </r>
  <r>
    <x v="1"/>
    <x v="2"/>
    <x v="8"/>
    <x v="36"/>
    <x v="240"/>
    <x v="8"/>
    <n v="2700"/>
  </r>
  <r>
    <x v="1"/>
    <x v="2"/>
    <x v="8"/>
    <x v="36"/>
    <x v="240"/>
    <x v="9"/>
    <n v="2700"/>
  </r>
  <r>
    <x v="1"/>
    <x v="2"/>
    <x v="8"/>
    <x v="36"/>
    <x v="240"/>
    <x v="10"/>
    <n v="2700"/>
  </r>
  <r>
    <x v="1"/>
    <x v="2"/>
    <x v="8"/>
    <x v="36"/>
    <x v="240"/>
    <x v="11"/>
    <n v="2700"/>
  </r>
  <r>
    <x v="1"/>
    <x v="2"/>
    <x v="8"/>
    <x v="36"/>
    <x v="241"/>
    <x v="0"/>
    <n v="0"/>
  </r>
  <r>
    <x v="1"/>
    <x v="2"/>
    <x v="8"/>
    <x v="36"/>
    <x v="241"/>
    <x v="1"/>
    <n v="0"/>
  </r>
  <r>
    <x v="1"/>
    <x v="2"/>
    <x v="8"/>
    <x v="36"/>
    <x v="241"/>
    <x v="2"/>
    <n v="0"/>
  </r>
  <r>
    <x v="1"/>
    <x v="2"/>
    <x v="8"/>
    <x v="36"/>
    <x v="241"/>
    <x v="3"/>
    <n v="2700"/>
  </r>
  <r>
    <x v="1"/>
    <x v="2"/>
    <x v="8"/>
    <x v="36"/>
    <x v="241"/>
    <x v="4"/>
    <n v="2700"/>
  </r>
  <r>
    <x v="1"/>
    <x v="2"/>
    <x v="8"/>
    <x v="36"/>
    <x v="241"/>
    <x v="5"/>
    <n v="2700"/>
  </r>
  <r>
    <x v="1"/>
    <x v="2"/>
    <x v="8"/>
    <x v="36"/>
    <x v="241"/>
    <x v="6"/>
    <n v="2700"/>
  </r>
  <r>
    <x v="1"/>
    <x v="2"/>
    <x v="8"/>
    <x v="36"/>
    <x v="241"/>
    <x v="7"/>
    <n v="2700"/>
  </r>
  <r>
    <x v="1"/>
    <x v="2"/>
    <x v="8"/>
    <x v="36"/>
    <x v="241"/>
    <x v="8"/>
    <n v="2700"/>
  </r>
  <r>
    <x v="1"/>
    <x v="2"/>
    <x v="8"/>
    <x v="36"/>
    <x v="241"/>
    <x v="9"/>
    <n v="2700"/>
  </r>
  <r>
    <x v="1"/>
    <x v="2"/>
    <x v="8"/>
    <x v="36"/>
    <x v="241"/>
    <x v="10"/>
    <n v="2700"/>
  </r>
  <r>
    <x v="1"/>
    <x v="2"/>
    <x v="8"/>
    <x v="36"/>
    <x v="241"/>
    <x v="11"/>
    <n v="2700"/>
  </r>
  <r>
    <x v="1"/>
    <x v="2"/>
    <x v="8"/>
    <x v="36"/>
    <x v="242"/>
    <x v="0"/>
    <n v="0"/>
  </r>
  <r>
    <x v="1"/>
    <x v="2"/>
    <x v="8"/>
    <x v="36"/>
    <x v="242"/>
    <x v="1"/>
    <n v="0"/>
  </r>
  <r>
    <x v="1"/>
    <x v="2"/>
    <x v="8"/>
    <x v="36"/>
    <x v="242"/>
    <x v="2"/>
    <n v="0"/>
  </r>
  <r>
    <x v="1"/>
    <x v="2"/>
    <x v="8"/>
    <x v="36"/>
    <x v="242"/>
    <x v="3"/>
    <n v="2700"/>
  </r>
  <r>
    <x v="1"/>
    <x v="2"/>
    <x v="8"/>
    <x v="36"/>
    <x v="242"/>
    <x v="4"/>
    <n v="2700"/>
  </r>
  <r>
    <x v="1"/>
    <x v="2"/>
    <x v="8"/>
    <x v="36"/>
    <x v="242"/>
    <x v="5"/>
    <n v="2700"/>
  </r>
  <r>
    <x v="1"/>
    <x v="2"/>
    <x v="8"/>
    <x v="36"/>
    <x v="242"/>
    <x v="6"/>
    <n v="2700"/>
  </r>
  <r>
    <x v="1"/>
    <x v="2"/>
    <x v="8"/>
    <x v="36"/>
    <x v="242"/>
    <x v="7"/>
    <n v="2700"/>
  </r>
  <r>
    <x v="1"/>
    <x v="2"/>
    <x v="8"/>
    <x v="36"/>
    <x v="242"/>
    <x v="8"/>
    <n v="2700"/>
  </r>
  <r>
    <x v="1"/>
    <x v="2"/>
    <x v="8"/>
    <x v="36"/>
    <x v="242"/>
    <x v="9"/>
    <n v="2700"/>
  </r>
  <r>
    <x v="1"/>
    <x v="2"/>
    <x v="8"/>
    <x v="36"/>
    <x v="242"/>
    <x v="10"/>
    <n v="2700"/>
  </r>
  <r>
    <x v="1"/>
    <x v="2"/>
    <x v="8"/>
    <x v="36"/>
    <x v="242"/>
    <x v="11"/>
    <n v="2700"/>
  </r>
  <r>
    <x v="3"/>
    <x v="2"/>
    <x v="8"/>
    <x v="36"/>
    <x v="243"/>
    <x v="0"/>
    <n v="0"/>
  </r>
  <r>
    <x v="3"/>
    <x v="2"/>
    <x v="8"/>
    <x v="36"/>
    <x v="243"/>
    <x v="1"/>
    <n v="0"/>
  </r>
  <r>
    <x v="3"/>
    <x v="2"/>
    <x v="8"/>
    <x v="36"/>
    <x v="243"/>
    <x v="2"/>
    <n v="0"/>
  </r>
  <r>
    <x v="3"/>
    <x v="2"/>
    <x v="8"/>
    <x v="36"/>
    <x v="243"/>
    <x v="3"/>
    <n v="1500"/>
  </r>
  <r>
    <x v="3"/>
    <x v="2"/>
    <x v="8"/>
    <x v="36"/>
    <x v="243"/>
    <x v="4"/>
    <n v="1500"/>
  </r>
  <r>
    <x v="3"/>
    <x v="2"/>
    <x v="8"/>
    <x v="36"/>
    <x v="243"/>
    <x v="5"/>
    <n v="1500"/>
  </r>
  <r>
    <x v="3"/>
    <x v="2"/>
    <x v="8"/>
    <x v="36"/>
    <x v="243"/>
    <x v="6"/>
    <n v="1500"/>
  </r>
  <r>
    <x v="3"/>
    <x v="2"/>
    <x v="8"/>
    <x v="36"/>
    <x v="243"/>
    <x v="7"/>
    <n v="1500"/>
  </r>
  <r>
    <x v="3"/>
    <x v="2"/>
    <x v="8"/>
    <x v="36"/>
    <x v="243"/>
    <x v="8"/>
    <n v="1500"/>
  </r>
  <r>
    <x v="3"/>
    <x v="2"/>
    <x v="8"/>
    <x v="36"/>
    <x v="243"/>
    <x v="9"/>
    <n v="1500"/>
  </r>
  <r>
    <x v="3"/>
    <x v="2"/>
    <x v="8"/>
    <x v="36"/>
    <x v="243"/>
    <x v="10"/>
    <n v="1500"/>
  </r>
  <r>
    <x v="3"/>
    <x v="2"/>
    <x v="8"/>
    <x v="36"/>
    <x v="243"/>
    <x v="11"/>
    <n v="1500"/>
  </r>
  <r>
    <x v="3"/>
    <x v="2"/>
    <x v="8"/>
    <x v="36"/>
    <x v="244"/>
    <x v="0"/>
    <n v="0"/>
  </r>
  <r>
    <x v="3"/>
    <x v="2"/>
    <x v="8"/>
    <x v="36"/>
    <x v="244"/>
    <x v="1"/>
    <n v="0"/>
  </r>
  <r>
    <x v="3"/>
    <x v="2"/>
    <x v="8"/>
    <x v="36"/>
    <x v="244"/>
    <x v="2"/>
    <n v="0"/>
  </r>
  <r>
    <x v="3"/>
    <x v="2"/>
    <x v="8"/>
    <x v="36"/>
    <x v="244"/>
    <x v="3"/>
    <n v="0"/>
  </r>
  <r>
    <x v="3"/>
    <x v="2"/>
    <x v="8"/>
    <x v="36"/>
    <x v="244"/>
    <x v="4"/>
    <n v="0"/>
  </r>
  <r>
    <x v="3"/>
    <x v="2"/>
    <x v="8"/>
    <x v="36"/>
    <x v="244"/>
    <x v="5"/>
    <n v="0"/>
  </r>
  <r>
    <x v="3"/>
    <x v="2"/>
    <x v="8"/>
    <x v="36"/>
    <x v="244"/>
    <x v="6"/>
    <n v="0"/>
  </r>
  <r>
    <x v="3"/>
    <x v="2"/>
    <x v="8"/>
    <x v="36"/>
    <x v="244"/>
    <x v="7"/>
    <n v="1500"/>
  </r>
  <r>
    <x v="3"/>
    <x v="2"/>
    <x v="8"/>
    <x v="36"/>
    <x v="244"/>
    <x v="8"/>
    <n v="1500"/>
  </r>
  <r>
    <x v="3"/>
    <x v="2"/>
    <x v="8"/>
    <x v="36"/>
    <x v="244"/>
    <x v="9"/>
    <n v="0"/>
  </r>
  <r>
    <x v="3"/>
    <x v="2"/>
    <x v="8"/>
    <x v="36"/>
    <x v="244"/>
    <x v="10"/>
    <n v="0"/>
  </r>
  <r>
    <x v="3"/>
    <x v="2"/>
    <x v="8"/>
    <x v="36"/>
    <x v="244"/>
    <x v="11"/>
    <n v="0"/>
  </r>
  <r>
    <x v="3"/>
    <x v="2"/>
    <x v="8"/>
    <x v="36"/>
    <x v="245"/>
    <x v="0"/>
    <n v="0"/>
  </r>
  <r>
    <x v="3"/>
    <x v="2"/>
    <x v="8"/>
    <x v="36"/>
    <x v="245"/>
    <x v="1"/>
    <n v="0"/>
  </r>
  <r>
    <x v="3"/>
    <x v="2"/>
    <x v="8"/>
    <x v="36"/>
    <x v="245"/>
    <x v="2"/>
    <n v="0"/>
  </r>
  <r>
    <x v="3"/>
    <x v="2"/>
    <x v="8"/>
    <x v="36"/>
    <x v="245"/>
    <x v="3"/>
    <n v="0"/>
  </r>
  <r>
    <x v="3"/>
    <x v="2"/>
    <x v="8"/>
    <x v="36"/>
    <x v="245"/>
    <x v="4"/>
    <n v="0"/>
  </r>
  <r>
    <x v="3"/>
    <x v="2"/>
    <x v="8"/>
    <x v="36"/>
    <x v="245"/>
    <x v="5"/>
    <n v="0"/>
  </r>
  <r>
    <x v="3"/>
    <x v="2"/>
    <x v="8"/>
    <x v="36"/>
    <x v="245"/>
    <x v="6"/>
    <n v="0"/>
  </r>
  <r>
    <x v="3"/>
    <x v="2"/>
    <x v="8"/>
    <x v="36"/>
    <x v="245"/>
    <x v="7"/>
    <n v="1500"/>
  </r>
  <r>
    <x v="3"/>
    <x v="2"/>
    <x v="8"/>
    <x v="36"/>
    <x v="245"/>
    <x v="8"/>
    <n v="1500"/>
  </r>
  <r>
    <x v="3"/>
    <x v="2"/>
    <x v="8"/>
    <x v="36"/>
    <x v="245"/>
    <x v="9"/>
    <n v="0"/>
  </r>
  <r>
    <x v="3"/>
    <x v="2"/>
    <x v="8"/>
    <x v="36"/>
    <x v="245"/>
    <x v="10"/>
    <n v="0"/>
  </r>
  <r>
    <x v="3"/>
    <x v="2"/>
    <x v="8"/>
    <x v="36"/>
    <x v="245"/>
    <x v="11"/>
    <n v="0"/>
  </r>
  <r>
    <x v="3"/>
    <x v="2"/>
    <x v="8"/>
    <x v="36"/>
    <x v="246"/>
    <x v="0"/>
    <n v="0"/>
  </r>
  <r>
    <x v="3"/>
    <x v="2"/>
    <x v="8"/>
    <x v="36"/>
    <x v="246"/>
    <x v="1"/>
    <n v="0"/>
  </r>
  <r>
    <x v="3"/>
    <x v="2"/>
    <x v="8"/>
    <x v="36"/>
    <x v="246"/>
    <x v="2"/>
    <n v="0"/>
  </r>
  <r>
    <x v="3"/>
    <x v="2"/>
    <x v="8"/>
    <x v="36"/>
    <x v="246"/>
    <x v="3"/>
    <n v="0"/>
  </r>
  <r>
    <x v="3"/>
    <x v="2"/>
    <x v="8"/>
    <x v="36"/>
    <x v="246"/>
    <x v="4"/>
    <n v="0"/>
  </r>
  <r>
    <x v="3"/>
    <x v="2"/>
    <x v="8"/>
    <x v="36"/>
    <x v="246"/>
    <x v="5"/>
    <n v="0"/>
  </r>
  <r>
    <x v="3"/>
    <x v="2"/>
    <x v="8"/>
    <x v="36"/>
    <x v="246"/>
    <x v="6"/>
    <n v="0"/>
  </r>
  <r>
    <x v="3"/>
    <x v="2"/>
    <x v="8"/>
    <x v="36"/>
    <x v="246"/>
    <x v="7"/>
    <n v="1500"/>
  </r>
  <r>
    <x v="3"/>
    <x v="2"/>
    <x v="8"/>
    <x v="36"/>
    <x v="246"/>
    <x v="8"/>
    <n v="1500"/>
  </r>
  <r>
    <x v="3"/>
    <x v="2"/>
    <x v="8"/>
    <x v="36"/>
    <x v="246"/>
    <x v="9"/>
    <n v="0"/>
  </r>
  <r>
    <x v="3"/>
    <x v="2"/>
    <x v="8"/>
    <x v="36"/>
    <x v="246"/>
    <x v="10"/>
    <n v="0"/>
  </r>
  <r>
    <x v="3"/>
    <x v="2"/>
    <x v="8"/>
    <x v="36"/>
    <x v="246"/>
    <x v="11"/>
    <n v="0"/>
  </r>
  <r>
    <x v="1"/>
    <x v="3"/>
    <x v="9"/>
    <x v="37"/>
    <x v="247"/>
    <x v="0"/>
    <n v="295000"/>
  </r>
  <r>
    <x v="1"/>
    <x v="3"/>
    <x v="9"/>
    <x v="37"/>
    <x v="247"/>
    <x v="1"/>
    <n v="0"/>
  </r>
  <r>
    <x v="1"/>
    <x v="3"/>
    <x v="9"/>
    <x v="37"/>
    <x v="247"/>
    <x v="2"/>
    <n v="0"/>
  </r>
  <r>
    <x v="1"/>
    <x v="3"/>
    <x v="9"/>
    <x v="37"/>
    <x v="247"/>
    <x v="3"/>
    <n v="0"/>
  </r>
  <r>
    <x v="1"/>
    <x v="3"/>
    <x v="9"/>
    <x v="37"/>
    <x v="247"/>
    <x v="4"/>
    <n v="0"/>
  </r>
  <r>
    <x v="1"/>
    <x v="3"/>
    <x v="9"/>
    <x v="37"/>
    <x v="247"/>
    <x v="5"/>
    <n v="0"/>
  </r>
  <r>
    <x v="1"/>
    <x v="3"/>
    <x v="9"/>
    <x v="37"/>
    <x v="247"/>
    <x v="6"/>
    <n v="0"/>
  </r>
  <r>
    <x v="1"/>
    <x v="3"/>
    <x v="9"/>
    <x v="37"/>
    <x v="247"/>
    <x v="7"/>
    <n v="0"/>
  </r>
  <r>
    <x v="1"/>
    <x v="3"/>
    <x v="9"/>
    <x v="37"/>
    <x v="247"/>
    <x v="8"/>
    <n v="0"/>
  </r>
  <r>
    <x v="1"/>
    <x v="3"/>
    <x v="9"/>
    <x v="37"/>
    <x v="247"/>
    <x v="9"/>
    <n v="0"/>
  </r>
  <r>
    <x v="1"/>
    <x v="3"/>
    <x v="9"/>
    <x v="37"/>
    <x v="247"/>
    <x v="10"/>
    <n v="0"/>
  </r>
  <r>
    <x v="1"/>
    <x v="3"/>
    <x v="9"/>
    <x v="37"/>
    <x v="247"/>
    <x v="11"/>
    <n v="100000"/>
  </r>
  <r>
    <x v="1"/>
    <x v="3"/>
    <x v="9"/>
    <x v="38"/>
    <x v="248"/>
    <x v="0"/>
    <n v="0"/>
  </r>
  <r>
    <x v="1"/>
    <x v="3"/>
    <x v="9"/>
    <x v="38"/>
    <x v="248"/>
    <x v="1"/>
    <n v="0"/>
  </r>
  <r>
    <x v="1"/>
    <x v="3"/>
    <x v="9"/>
    <x v="38"/>
    <x v="248"/>
    <x v="2"/>
    <n v="0"/>
  </r>
  <r>
    <x v="1"/>
    <x v="3"/>
    <x v="9"/>
    <x v="38"/>
    <x v="248"/>
    <x v="3"/>
    <n v="0"/>
  </r>
  <r>
    <x v="1"/>
    <x v="3"/>
    <x v="9"/>
    <x v="38"/>
    <x v="248"/>
    <x v="4"/>
    <n v="0"/>
  </r>
  <r>
    <x v="1"/>
    <x v="3"/>
    <x v="9"/>
    <x v="38"/>
    <x v="248"/>
    <x v="5"/>
    <n v="0"/>
  </r>
  <r>
    <x v="1"/>
    <x v="3"/>
    <x v="9"/>
    <x v="38"/>
    <x v="248"/>
    <x v="6"/>
    <n v="0"/>
  </r>
  <r>
    <x v="1"/>
    <x v="3"/>
    <x v="9"/>
    <x v="38"/>
    <x v="248"/>
    <x v="7"/>
    <n v="0"/>
  </r>
  <r>
    <x v="1"/>
    <x v="3"/>
    <x v="9"/>
    <x v="38"/>
    <x v="248"/>
    <x v="8"/>
    <n v="20000"/>
  </r>
  <r>
    <x v="1"/>
    <x v="3"/>
    <x v="9"/>
    <x v="38"/>
    <x v="248"/>
    <x v="9"/>
    <n v="0"/>
  </r>
  <r>
    <x v="1"/>
    <x v="3"/>
    <x v="9"/>
    <x v="38"/>
    <x v="248"/>
    <x v="10"/>
    <n v="0"/>
  </r>
  <r>
    <x v="1"/>
    <x v="3"/>
    <x v="9"/>
    <x v="38"/>
    <x v="248"/>
    <x v="11"/>
    <n v="20000"/>
  </r>
  <r>
    <x v="2"/>
    <x v="3"/>
    <x v="10"/>
    <x v="39"/>
    <x v="249"/>
    <x v="0"/>
    <n v="0"/>
  </r>
  <r>
    <x v="2"/>
    <x v="3"/>
    <x v="10"/>
    <x v="39"/>
    <x v="249"/>
    <x v="1"/>
    <n v="0"/>
  </r>
  <r>
    <x v="2"/>
    <x v="3"/>
    <x v="10"/>
    <x v="39"/>
    <x v="249"/>
    <x v="2"/>
    <n v="0"/>
  </r>
  <r>
    <x v="2"/>
    <x v="3"/>
    <x v="10"/>
    <x v="39"/>
    <x v="249"/>
    <x v="3"/>
    <n v="0"/>
  </r>
  <r>
    <x v="2"/>
    <x v="3"/>
    <x v="10"/>
    <x v="39"/>
    <x v="249"/>
    <x v="4"/>
    <n v="0"/>
  </r>
  <r>
    <x v="2"/>
    <x v="3"/>
    <x v="10"/>
    <x v="39"/>
    <x v="249"/>
    <x v="5"/>
    <n v="0"/>
  </r>
  <r>
    <x v="2"/>
    <x v="3"/>
    <x v="10"/>
    <x v="39"/>
    <x v="249"/>
    <x v="6"/>
    <n v="0"/>
  </r>
  <r>
    <x v="2"/>
    <x v="3"/>
    <x v="10"/>
    <x v="39"/>
    <x v="249"/>
    <x v="7"/>
    <n v="0"/>
  </r>
  <r>
    <x v="2"/>
    <x v="3"/>
    <x v="10"/>
    <x v="39"/>
    <x v="249"/>
    <x v="8"/>
    <n v="0"/>
  </r>
  <r>
    <x v="2"/>
    <x v="3"/>
    <x v="10"/>
    <x v="39"/>
    <x v="249"/>
    <x v="9"/>
    <n v="0"/>
  </r>
  <r>
    <x v="2"/>
    <x v="3"/>
    <x v="10"/>
    <x v="39"/>
    <x v="249"/>
    <x v="10"/>
    <n v="0"/>
  </r>
  <r>
    <x v="2"/>
    <x v="3"/>
    <x v="10"/>
    <x v="39"/>
    <x v="249"/>
    <x v="11"/>
    <n v="0"/>
  </r>
  <r>
    <x v="0"/>
    <x v="3"/>
    <x v="10"/>
    <x v="39"/>
    <x v="249"/>
    <x v="0"/>
    <n v="0"/>
  </r>
  <r>
    <x v="0"/>
    <x v="3"/>
    <x v="10"/>
    <x v="39"/>
    <x v="249"/>
    <x v="1"/>
    <n v="0"/>
  </r>
  <r>
    <x v="0"/>
    <x v="3"/>
    <x v="10"/>
    <x v="39"/>
    <x v="249"/>
    <x v="2"/>
    <n v="0"/>
  </r>
  <r>
    <x v="0"/>
    <x v="3"/>
    <x v="10"/>
    <x v="39"/>
    <x v="249"/>
    <x v="3"/>
    <n v="0"/>
  </r>
  <r>
    <x v="0"/>
    <x v="3"/>
    <x v="10"/>
    <x v="39"/>
    <x v="249"/>
    <x v="4"/>
    <n v="0"/>
  </r>
  <r>
    <x v="0"/>
    <x v="3"/>
    <x v="10"/>
    <x v="39"/>
    <x v="249"/>
    <x v="5"/>
    <n v="0"/>
  </r>
  <r>
    <x v="0"/>
    <x v="3"/>
    <x v="10"/>
    <x v="39"/>
    <x v="249"/>
    <x v="6"/>
    <n v="0"/>
  </r>
  <r>
    <x v="0"/>
    <x v="3"/>
    <x v="10"/>
    <x v="39"/>
    <x v="249"/>
    <x v="7"/>
    <n v="0"/>
  </r>
  <r>
    <x v="0"/>
    <x v="3"/>
    <x v="10"/>
    <x v="39"/>
    <x v="249"/>
    <x v="8"/>
    <n v="0"/>
  </r>
  <r>
    <x v="0"/>
    <x v="3"/>
    <x v="10"/>
    <x v="39"/>
    <x v="249"/>
    <x v="9"/>
    <n v="0"/>
  </r>
  <r>
    <x v="0"/>
    <x v="3"/>
    <x v="10"/>
    <x v="39"/>
    <x v="249"/>
    <x v="10"/>
    <n v="0"/>
  </r>
  <r>
    <x v="0"/>
    <x v="3"/>
    <x v="10"/>
    <x v="39"/>
    <x v="249"/>
    <x v="11"/>
    <n v="0"/>
  </r>
  <r>
    <x v="3"/>
    <x v="3"/>
    <x v="10"/>
    <x v="39"/>
    <x v="249"/>
    <x v="0"/>
    <n v="0"/>
  </r>
  <r>
    <x v="3"/>
    <x v="3"/>
    <x v="10"/>
    <x v="39"/>
    <x v="249"/>
    <x v="1"/>
    <n v="0"/>
  </r>
  <r>
    <x v="3"/>
    <x v="3"/>
    <x v="10"/>
    <x v="39"/>
    <x v="249"/>
    <x v="2"/>
    <n v="0"/>
  </r>
  <r>
    <x v="3"/>
    <x v="3"/>
    <x v="10"/>
    <x v="39"/>
    <x v="249"/>
    <x v="3"/>
    <n v="0"/>
  </r>
  <r>
    <x v="3"/>
    <x v="3"/>
    <x v="10"/>
    <x v="39"/>
    <x v="249"/>
    <x v="4"/>
    <n v="0"/>
  </r>
  <r>
    <x v="3"/>
    <x v="3"/>
    <x v="10"/>
    <x v="39"/>
    <x v="249"/>
    <x v="5"/>
    <n v="0"/>
  </r>
  <r>
    <x v="3"/>
    <x v="3"/>
    <x v="10"/>
    <x v="39"/>
    <x v="249"/>
    <x v="6"/>
    <n v="0"/>
  </r>
  <r>
    <x v="3"/>
    <x v="3"/>
    <x v="10"/>
    <x v="39"/>
    <x v="249"/>
    <x v="7"/>
    <n v="0"/>
  </r>
  <r>
    <x v="3"/>
    <x v="3"/>
    <x v="10"/>
    <x v="39"/>
    <x v="249"/>
    <x v="8"/>
    <n v="0"/>
  </r>
  <r>
    <x v="3"/>
    <x v="3"/>
    <x v="10"/>
    <x v="39"/>
    <x v="249"/>
    <x v="9"/>
    <n v="0"/>
  </r>
  <r>
    <x v="3"/>
    <x v="3"/>
    <x v="10"/>
    <x v="39"/>
    <x v="249"/>
    <x v="10"/>
    <n v="0"/>
  </r>
  <r>
    <x v="3"/>
    <x v="3"/>
    <x v="10"/>
    <x v="39"/>
    <x v="249"/>
    <x v="11"/>
    <n v="0"/>
  </r>
  <r>
    <x v="1"/>
    <x v="3"/>
    <x v="10"/>
    <x v="39"/>
    <x v="249"/>
    <x v="0"/>
    <n v="0"/>
  </r>
  <r>
    <x v="1"/>
    <x v="3"/>
    <x v="10"/>
    <x v="39"/>
    <x v="249"/>
    <x v="1"/>
    <n v="0"/>
  </r>
  <r>
    <x v="1"/>
    <x v="3"/>
    <x v="10"/>
    <x v="39"/>
    <x v="249"/>
    <x v="2"/>
    <n v="0"/>
  </r>
  <r>
    <x v="1"/>
    <x v="3"/>
    <x v="10"/>
    <x v="39"/>
    <x v="249"/>
    <x v="3"/>
    <n v="0"/>
  </r>
  <r>
    <x v="1"/>
    <x v="3"/>
    <x v="10"/>
    <x v="39"/>
    <x v="249"/>
    <x v="4"/>
    <n v="0"/>
  </r>
  <r>
    <x v="1"/>
    <x v="3"/>
    <x v="10"/>
    <x v="39"/>
    <x v="249"/>
    <x v="5"/>
    <n v="0"/>
  </r>
  <r>
    <x v="1"/>
    <x v="3"/>
    <x v="10"/>
    <x v="39"/>
    <x v="249"/>
    <x v="6"/>
    <n v="0"/>
  </r>
  <r>
    <x v="1"/>
    <x v="3"/>
    <x v="10"/>
    <x v="39"/>
    <x v="249"/>
    <x v="7"/>
    <n v="0"/>
  </r>
  <r>
    <x v="1"/>
    <x v="3"/>
    <x v="10"/>
    <x v="39"/>
    <x v="249"/>
    <x v="8"/>
    <n v="0"/>
  </r>
  <r>
    <x v="1"/>
    <x v="3"/>
    <x v="10"/>
    <x v="39"/>
    <x v="249"/>
    <x v="9"/>
    <n v="0"/>
  </r>
  <r>
    <x v="1"/>
    <x v="3"/>
    <x v="10"/>
    <x v="39"/>
    <x v="249"/>
    <x v="10"/>
    <n v="0"/>
  </r>
  <r>
    <x v="1"/>
    <x v="3"/>
    <x v="10"/>
    <x v="39"/>
    <x v="249"/>
    <x v="11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C4521B-DFFB-49B6-A365-88A54B565AD4}" name="TablaDinámica10" cacheId="34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>
  <location ref="H1:J71" firstHeaderRow="1" firstDataRow="1" firstDataCol="3"/>
  <pivotFields count="6">
    <pivotField compact="0" outline="0" showAll="0"/>
    <pivotField compact="0" outline="0" showAll="0"/>
    <pivotField axis="axisRow" compact="0" outline="0" showAll="0">
      <items count="71">
        <item x="8"/>
        <item x="61"/>
        <item x="47"/>
        <item x="26"/>
        <item x="60"/>
        <item x="55"/>
        <item x="51"/>
        <item x="39"/>
        <item x="28"/>
        <item x="7"/>
        <item x="4"/>
        <item x="32"/>
        <item x="44"/>
        <item x="59"/>
        <item x="24"/>
        <item x="23"/>
        <item x="30"/>
        <item x="40"/>
        <item x="9"/>
        <item x="34"/>
        <item x="10"/>
        <item x="33"/>
        <item x="22"/>
        <item x="5"/>
        <item x="27"/>
        <item x="2"/>
        <item x="18"/>
        <item x="67"/>
        <item x="25"/>
        <item x="17"/>
        <item x="14"/>
        <item x="45"/>
        <item x="49"/>
        <item x="11"/>
        <item x="68"/>
        <item x="53"/>
        <item x="56"/>
        <item x="21"/>
        <item x="46"/>
        <item x="52"/>
        <item x="58"/>
        <item x="15"/>
        <item x="43"/>
        <item x="57"/>
        <item x="1"/>
        <item x="20"/>
        <item x="31"/>
        <item x="37"/>
        <item x="62"/>
        <item x="64"/>
        <item x="48"/>
        <item x="36"/>
        <item x="63"/>
        <item x="6"/>
        <item x="54"/>
        <item x="65"/>
        <item x="19"/>
        <item x="35"/>
        <item x="66"/>
        <item x="38"/>
        <item x="13"/>
        <item x="0"/>
        <item x="3"/>
        <item x="29"/>
        <item x="12"/>
        <item x="16"/>
        <item x="50"/>
        <item x="41"/>
        <item x="69"/>
        <item x="42"/>
        <item t="default"/>
      </items>
    </pivotField>
    <pivotField axis="axisRow" compact="0" outline="0" showAll="0" defaultSubtotal="0">
      <items count="7">
        <item h="1" x="0"/>
        <item x="1"/>
        <item x="2"/>
        <item x="3"/>
        <item x="6"/>
        <item x="5"/>
        <item x="4"/>
      </items>
    </pivotField>
    <pivotField compact="0" outline="0" showAll="0" defaultSubtotal="0">
      <items count="6">
        <item x="0"/>
        <item x="1"/>
        <item x="5"/>
        <item x="2"/>
        <item x="3"/>
        <item x="4"/>
      </items>
    </pivotField>
    <pivotField axis="axisRow" compact="0" outline="0" showAll="0" defaultSubtotal="0">
      <items count="5">
        <item x="0"/>
        <item x="1"/>
        <item x="3"/>
        <item x="2"/>
        <item x="4"/>
      </items>
    </pivotField>
  </pivotFields>
  <rowFields count="3">
    <field x="5"/>
    <field x="3"/>
    <field x="2"/>
  </rowFields>
  <rowItems count="70">
    <i>
      <x v="1"/>
      <x v="1"/>
      <x v="10"/>
    </i>
    <i r="2">
      <x v="25"/>
    </i>
    <i r="2">
      <x v="44"/>
    </i>
    <i r="2">
      <x v="53"/>
    </i>
    <i>
      <x v="2"/>
      <x v="2"/>
      <x/>
    </i>
    <i r="2">
      <x v="33"/>
    </i>
    <i r="1">
      <x v="3"/>
      <x v="41"/>
    </i>
    <i r="2">
      <x v="64"/>
    </i>
    <i r="1">
      <x v="4"/>
      <x v="5"/>
    </i>
    <i r="2">
      <x v="15"/>
    </i>
    <i r="2">
      <x v="46"/>
    </i>
    <i r="2">
      <x v="56"/>
    </i>
    <i>
      <x v="3"/>
      <x v="2"/>
      <x v="18"/>
    </i>
    <i r="2">
      <x v="20"/>
    </i>
    <i r="2">
      <x v="27"/>
    </i>
    <i r="2">
      <x v="62"/>
    </i>
    <i r="1">
      <x v="3"/>
      <x v="9"/>
    </i>
    <i r="2">
      <x v="23"/>
    </i>
    <i r="2">
      <x v="60"/>
    </i>
    <i r="1">
      <x v="4"/>
      <x v="19"/>
    </i>
    <i r="1">
      <x v="5"/>
      <x v="1"/>
    </i>
    <i r="2">
      <x v="2"/>
    </i>
    <i r="2">
      <x v="3"/>
    </i>
    <i r="2">
      <x v="4"/>
    </i>
    <i r="2">
      <x v="6"/>
    </i>
    <i r="2">
      <x v="7"/>
    </i>
    <i r="2">
      <x v="8"/>
    </i>
    <i r="2">
      <x v="11"/>
    </i>
    <i r="2">
      <x v="12"/>
    </i>
    <i r="2">
      <x v="13"/>
    </i>
    <i r="2">
      <x v="14"/>
    </i>
    <i r="2">
      <x v="17"/>
    </i>
    <i r="2">
      <x v="21"/>
    </i>
    <i r="2">
      <x v="22"/>
    </i>
    <i r="2">
      <x v="24"/>
    </i>
    <i r="2">
      <x v="26"/>
    </i>
    <i r="2">
      <x v="28"/>
    </i>
    <i r="2">
      <x v="29"/>
    </i>
    <i r="2">
      <x v="31"/>
    </i>
    <i r="2">
      <x v="32"/>
    </i>
    <i r="2">
      <x v="34"/>
    </i>
    <i r="2">
      <x v="35"/>
    </i>
    <i r="2">
      <x v="36"/>
    </i>
    <i r="2">
      <x v="37"/>
    </i>
    <i r="2">
      <x v="38"/>
    </i>
    <i r="2">
      <x v="39"/>
    </i>
    <i r="2">
      <x v="40"/>
    </i>
    <i r="2">
      <x v="42"/>
    </i>
    <i r="2">
      <x v="43"/>
    </i>
    <i r="2">
      <x v="45"/>
    </i>
    <i r="2">
      <x v="47"/>
    </i>
    <i r="2">
      <x v="48"/>
    </i>
    <i r="2">
      <x v="49"/>
    </i>
    <i r="2">
      <x v="50"/>
    </i>
    <i r="2">
      <x v="51"/>
    </i>
    <i r="2">
      <x v="52"/>
    </i>
    <i r="2">
      <x v="54"/>
    </i>
    <i r="2">
      <x v="55"/>
    </i>
    <i r="2">
      <x v="57"/>
    </i>
    <i r="2">
      <x v="58"/>
    </i>
    <i r="2">
      <x v="59"/>
    </i>
    <i r="2">
      <x v="63"/>
    </i>
    <i r="2">
      <x v="66"/>
    </i>
    <i r="2">
      <x v="67"/>
    </i>
    <i r="2">
      <x v="68"/>
    </i>
    <i r="2">
      <x v="69"/>
    </i>
    <i>
      <x v="4"/>
      <x v="6"/>
      <x v="16"/>
    </i>
    <i r="2">
      <x v="30"/>
    </i>
    <i r="2">
      <x v="65"/>
    </i>
    <i t="grand">
      <x/>
    </i>
  </rowItems>
  <colItems count="1">
    <i/>
  </colItems>
  <pivotTableStyleInfo name="PivotStyleMedium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FAD7912-FC8E-4D59-BB2D-EAA1A5E5CD8F}" name="TablaDinámica1" cacheId="35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 fieldListSortAscending="1">
  <location ref="A4:D11" firstHeaderRow="1" firstDataRow="1" firstDataCol="3" rowPageCount="2" colPageCount="1"/>
  <pivotFields count="9">
    <pivotField axis="axisPage" compact="0" outline="0" multipleItemSelectionAllowed="1" showAll="0">
      <items count="6">
        <item x="2"/>
        <item x="1"/>
        <item x="3"/>
        <item x="0"/>
        <item x="4"/>
        <item t="default"/>
      </items>
    </pivotField>
    <pivotField axis="axisRow" compact="0" outline="0" showAll="0" sortType="descending">
      <items count="9">
        <item sd="0" x="0"/>
        <item sd="0" x="1"/>
        <item sd="0" x="3"/>
        <item sd="0" x="2"/>
        <item sd="0" x="5"/>
        <item sd="0" x="4"/>
        <item sd="0" m="1" x="7"/>
        <item sd="0" m="1" x="6"/>
        <item t="default" sd="0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>
      <items count="16">
        <item x="2"/>
        <item sd="0" m="1" x="14"/>
        <item sd="0" x="0"/>
        <item sd="0" m="1" x="11"/>
        <item sd="0" x="7"/>
        <item sd="0" x="6"/>
        <item h="1" sd="0" x="8"/>
        <item sd="0" m="1" x="13"/>
        <item h="1" sd="0" m="1" x="12"/>
        <item h="1" x="3"/>
        <item h="1" x="4"/>
        <item h="1" x="1"/>
        <item h="1" x="5"/>
        <item h="1" x="9"/>
        <item h="1" x="10"/>
        <item t="default" sd="0"/>
      </items>
    </pivotField>
    <pivotField axis="axisRow" compact="0" outline="0" showAll="0" sortType="descending">
      <items count="70">
        <item sd="0" x="38"/>
        <item sd="0" m="1" x="68"/>
        <item sd="0" m="1" x="46"/>
        <item sd="0" x="6"/>
        <item sd="0" m="1" x="44"/>
        <item sd="0" x="37"/>
        <item sd="0" x="29"/>
        <item sd="0" x="30"/>
        <item sd="0" m="1" x="64"/>
        <item sd="0" x="34"/>
        <item sd="0" m="1" x="45"/>
        <item sd="0" m="1" x="47"/>
        <item sd="0" m="1" x="55"/>
        <item sd="0" x="31"/>
        <item sd="0" x="0"/>
        <item sd="0" m="1" x="49"/>
        <item sd="0" x="12"/>
        <item sd="0" x="14"/>
        <item sd="0" x="13"/>
        <item sd="0" m="1" x="56"/>
        <item sd="0" m="1" x="62"/>
        <item sd="0" m="1" x="61"/>
        <item sd="0" m="1" x="53"/>
        <item sd="0" m="1" x="52"/>
        <item sd="0" m="1" x="54"/>
        <item sd="0" m="1" x="51"/>
        <item sd="0" x="1"/>
        <item sd="0" m="1" x="43"/>
        <item sd="0" m="1" x="63"/>
        <item sd="0" m="1" x="67"/>
        <item sd="0" m="1" x="57"/>
        <item sd="0" x="16"/>
        <item sd="0" m="1" x="58"/>
        <item sd="0" x="25"/>
        <item sd="0" m="1" x="65"/>
        <item sd="0" x="19"/>
        <item sd="0" m="1" x="50"/>
        <item sd="0" m="1" x="60"/>
        <item sd="0" x="36"/>
        <item sd="0" m="1" x="48"/>
        <item sd="0" m="1" x="59"/>
        <item sd="0" x="9"/>
        <item sd="0" x="22"/>
        <item sd="0" m="1" x="66"/>
        <item sd="0" x="7"/>
        <item sd="0" x="8"/>
        <item sd="0" x="10"/>
        <item sd="0" x="11"/>
        <item sd="0" x="15"/>
        <item sd="0" x="17"/>
        <item sd="0" x="18"/>
        <item sd="0" x="20"/>
        <item sd="0" x="21"/>
        <item sd="0" x="23"/>
        <item sd="0" x="24"/>
        <item sd="0" x="26"/>
        <item sd="0" x="27"/>
        <item sd="0" x="2"/>
        <item sd="0" x="32"/>
        <item sd="0" x="33"/>
        <item sd="0" x="4"/>
        <item sd="0" m="1" x="42"/>
        <item sd="0" x="3"/>
        <item sd="0" x="28"/>
        <item sd="0" x="35"/>
        <item sd="0" m="1" x="41"/>
        <item sd="0" x="5"/>
        <item sd="0" x="39"/>
        <item sd="0" m="1" x="40"/>
        <item t="default" sd="0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Row" compact="0" outline="0" showAll="0">
      <items count="319">
        <item x="69"/>
        <item x="66"/>
        <item x="87"/>
        <item x="135"/>
        <item x="196"/>
        <item x="143"/>
        <item x="184"/>
        <item x="211"/>
        <item x="193"/>
        <item x="153"/>
        <item x="166"/>
        <item x="210"/>
        <item x="174"/>
        <item x="204"/>
        <item m="1" x="313"/>
        <item x="55"/>
        <item x="34"/>
        <item x="20"/>
        <item x="19"/>
        <item x="91"/>
        <item x="43"/>
        <item m="1" x="265"/>
        <item m="1" x="262"/>
        <item m="1" x="269"/>
        <item m="1" x="272"/>
        <item m="1" x="268"/>
        <item m="1" x="270"/>
        <item m="1" x="263"/>
        <item m="1" x="261"/>
        <item m="1" x="266"/>
        <item m="1" x="274"/>
        <item m="1" x="258"/>
        <item m="1" x="264"/>
        <item x="200"/>
        <item x="247"/>
        <item x="82"/>
        <item x="182"/>
        <item x="22"/>
        <item x="23"/>
        <item x="21"/>
        <item x="81"/>
        <item m="1" x="301"/>
        <item x="169"/>
        <item x="142"/>
        <item x="206"/>
        <item x="139"/>
        <item x="41"/>
        <item x="173"/>
        <item x="188"/>
        <item x="209"/>
        <item x="90"/>
        <item x="163"/>
        <item m="1" x="302"/>
        <item m="1" x="300"/>
        <item x="161"/>
        <item x="183"/>
        <item x="165"/>
        <item x="168"/>
        <item x="144"/>
        <item x="176"/>
        <item x="145"/>
        <item x="36"/>
        <item x="175"/>
        <item x="160"/>
        <item x="95"/>
        <item x="59"/>
        <item x="140"/>
        <item x="92"/>
        <item x="167"/>
        <item m="1" x="316"/>
        <item x="137"/>
        <item x="156"/>
        <item x="89"/>
        <item x="164"/>
        <item x="71"/>
        <item x="152"/>
        <item x="149"/>
        <item x="189"/>
        <item x="88"/>
        <item x="198"/>
        <item x="213"/>
        <item x="146"/>
        <item m="1" x="253"/>
        <item x="73"/>
        <item x="202"/>
        <item x="159"/>
        <item m="1" x="254"/>
        <item x="47"/>
        <item x="162"/>
        <item x="190"/>
        <item x="201"/>
        <item x="208"/>
        <item x="150"/>
        <item x="187"/>
        <item x="207"/>
        <item x="136"/>
        <item x="158"/>
        <item x="172"/>
        <item x="32"/>
        <item x="39"/>
        <item x="179"/>
        <item x="212"/>
        <item m="1" x="305"/>
        <item x="194"/>
        <item m="1" x="310"/>
        <item m="1" x="287"/>
        <item m="1" x="286"/>
        <item m="1" x="317"/>
        <item x="192"/>
        <item x="216"/>
        <item x="195"/>
        <item x="178"/>
        <item x="214"/>
        <item x="141"/>
        <item x="191"/>
        <item x="203"/>
        <item x="83"/>
        <item x="84"/>
        <item m="1" x="303"/>
        <item x="86"/>
        <item x="155"/>
        <item x="157"/>
        <item x="177"/>
        <item x="180"/>
        <item x="49"/>
        <item x="154"/>
        <item x="67"/>
        <item x="72"/>
        <item x="148"/>
        <item x="24"/>
        <item x="70"/>
        <item m="1" x="312"/>
        <item x="42"/>
        <item x="51"/>
        <item x="134"/>
        <item x="38"/>
        <item x="215"/>
        <item x="96"/>
        <item x="97"/>
        <item x="18"/>
        <item x="45"/>
        <item x="138"/>
        <item m="1" x="260"/>
        <item x="25"/>
        <item x="44"/>
        <item m="1" x="267"/>
        <item m="1" x="271"/>
        <item m="1" x="273"/>
        <item m="1" x="275"/>
        <item x="35"/>
        <item m="1" x="308"/>
        <item m="1" x="304"/>
        <item x="170"/>
        <item x="147"/>
        <item x="33"/>
        <item m="1" x="311"/>
        <item x="53"/>
        <item x="151"/>
        <item x="58"/>
        <item x="52"/>
        <item m="1" x="315"/>
        <item x="64"/>
        <item x="37"/>
        <item x="56"/>
        <item x="57"/>
        <item x="54"/>
        <item x="62"/>
        <item m="1" x="283"/>
        <item m="1" x="295"/>
        <item m="1" x="296"/>
        <item m="1" x="298"/>
        <item m="1" x="297"/>
        <item m="1" x="299"/>
        <item x="61"/>
        <item m="1" x="314"/>
        <item m="1" x="259"/>
        <item x="118"/>
        <item x="63"/>
        <item x="65"/>
        <item x="60"/>
        <item x="48"/>
        <item x="94"/>
        <item x="93"/>
        <item x="199"/>
        <item x="85"/>
        <item x="197"/>
        <item x="181"/>
        <item x="185"/>
        <item m="1" x="294"/>
        <item x="186"/>
        <item m="1" x="255"/>
        <item x="68"/>
        <item x="171"/>
        <item m="1" x="256"/>
        <item x="218"/>
        <item x="219"/>
        <item x="220"/>
        <item m="1" x="288"/>
        <item m="1" x="289"/>
        <item m="1" x="290"/>
        <item m="1" x="257"/>
        <item m="1" x="276"/>
        <item m="1" x="279"/>
        <item x="27"/>
        <item x="28"/>
        <item m="1" x="309"/>
        <item m="1" x="307"/>
        <item x="222"/>
        <item x="74"/>
        <item m="1" x="291"/>
        <item x="223"/>
        <item m="1" x="292"/>
        <item x="121"/>
        <item x="122"/>
        <item x="123"/>
        <item m="1" x="277"/>
        <item m="1" x="278"/>
        <item x="124"/>
        <item x="125"/>
        <item x="126"/>
        <item x="127"/>
        <item x="128"/>
        <item x="129"/>
        <item x="130"/>
        <item x="132"/>
        <item x="133"/>
        <item m="1" x="293"/>
        <item m="1" x="306"/>
        <item x="30"/>
        <item x="248"/>
        <item x="249"/>
        <item m="1" x="284"/>
        <item m="1" x="285"/>
        <item x="109"/>
        <item x="110"/>
        <item x="111"/>
        <item x="112"/>
        <item x="113"/>
        <item x="114"/>
        <item x="115"/>
        <item x="116"/>
        <item x="117"/>
        <item x="119"/>
        <item x="120"/>
        <item m="1" x="280"/>
        <item m="1" x="281"/>
        <item m="1" x="282"/>
        <item x="31"/>
        <item x="205"/>
        <item m="1" x="250"/>
        <item x="225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75"/>
        <item x="26"/>
        <item m="1" x="25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31"/>
        <item m="1" x="251"/>
        <item x="29"/>
        <item x="40"/>
        <item x="46"/>
        <item x="50"/>
        <item x="217"/>
        <item x="221"/>
        <item x="76"/>
        <item x="77"/>
        <item x="78"/>
        <item x="79"/>
        <item x="80"/>
        <item x="224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t="default"/>
      </items>
    </pivotField>
    <pivotField compact="0" outline="0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dataField="1" compact="0" outline="0" showAll="0"/>
    <pivotField compact="0" outline="0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axis="axisPage" compact="0" outline="0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3">
    <field x="1"/>
    <field x="3"/>
    <field x="4"/>
  </rowFields>
  <rowItems count="7">
    <i>
      <x v="3"/>
    </i>
    <i>
      <x v="1"/>
    </i>
    <i>
      <x v="4"/>
    </i>
    <i>
      <x/>
    </i>
    <i>
      <x v="2"/>
    </i>
    <i>
      <x v="5"/>
    </i>
    <i t="grand">
      <x/>
    </i>
  </rowItems>
  <colItems count="1">
    <i/>
  </colItems>
  <pageFields count="2">
    <pageField fld="0" hier="-1"/>
    <pageField fld="8" hier="-1"/>
  </pageFields>
  <dataFields count="1">
    <dataField name="Suma de Valor" fld="6" baseField="0" baseItem="0" numFmtId="3"/>
  </dataFields>
  <formats count="19">
    <format dxfId="321">
      <pivotArea outline="0" collapsedLevelsAreSubtotals="1" fieldPosition="0"/>
    </format>
    <format dxfId="322">
      <pivotArea type="all" dataOnly="0" outline="0" fieldPosition="0"/>
    </format>
    <format dxfId="323">
      <pivotArea outline="0" collapsedLevelsAreSubtotals="1" fieldPosition="0"/>
    </format>
    <format dxfId="324">
      <pivotArea type="origin" dataOnly="0" labelOnly="1" outline="0" fieldPosition="0"/>
    </format>
    <format dxfId="325">
      <pivotArea type="topRight" dataOnly="0" labelOnly="1" outline="0" fieldPosition="0"/>
    </format>
    <format dxfId="326">
      <pivotArea field="2" type="button" dataOnly="0" labelOnly="1" outline="0"/>
    </format>
    <format dxfId="327">
      <pivotArea field="3" type="button" dataOnly="0" labelOnly="1" outline="0" axis="axisRow" fieldPosition="1"/>
    </format>
    <format dxfId="328">
      <pivotArea field="4" type="button" dataOnly="0" labelOnly="1" outline="0" axis="axisRow" fieldPosition="2"/>
    </format>
    <format dxfId="329">
      <pivotArea dataOnly="0" labelOnly="1" grandRow="1" outline="0" fieldPosition="0"/>
    </format>
    <format dxfId="330">
      <pivotArea dataOnly="0" labelOnly="1" grandCol="1" outline="0" fieldPosition="0"/>
    </format>
    <format dxfId="331">
      <pivotArea type="all" dataOnly="0" outline="0" fieldPosition="0"/>
    </format>
    <format dxfId="332">
      <pivotArea outline="0" collapsedLevelsAreSubtotals="1" fieldPosition="0"/>
    </format>
    <format dxfId="333">
      <pivotArea type="origin" dataOnly="0" labelOnly="1" outline="0" fieldPosition="0"/>
    </format>
    <format dxfId="334">
      <pivotArea type="topRight" dataOnly="0" labelOnly="1" outline="0" fieldPosition="0"/>
    </format>
    <format dxfId="335">
      <pivotArea field="2" type="button" dataOnly="0" labelOnly="1" outline="0"/>
    </format>
    <format dxfId="336">
      <pivotArea field="3" type="button" dataOnly="0" labelOnly="1" outline="0" axis="axisRow" fieldPosition="1"/>
    </format>
    <format dxfId="337">
      <pivotArea field="4" type="button" dataOnly="0" labelOnly="1" outline="0" axis="axisRow" fieldPosition="2"/>
    </format>
    <format dxfId="338">
      <pivotArea dataOnly="0" labelOnly="1" grandRow="1" outline="0" fieldPosition="0"/>
    </format>
    <format dxfId="339">
      <pivotArea dataOnly="0" labelOnly="1" grandCol="1" outline="0" fieldPosition="0"/>
    </format>
  </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E07FAC6-AD9E-4F4E-B5DF-A03AA403028F}" name="TablaDinámica2" cacheId="35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 chartFormat="17" fieldListSortAscending="1">
  <location ref="A44:B73" firstHeaderRow="1" firstDataRow="1" firstDataCol="1" rowPageCount="3" colPageCount="1"/>
  <pivotFields count="9">
    <pivotField axis="axisPage" compact="0" outline="0" multipleItemSelectionAllowed="1" showAll="0">
      <items count="6">
        <item x="2"/>
        <item x="1"/>
        <item x="3"/>
        <item x="0"/>
        <item x="4"/>
        <item t="default"/>
      </items>
    </pivotField>
    <pivotField axis="axisPage" compact="0" outline="0" multipleItemSelectionAllowed="1" showAll="0" defaultSubtotal="0">
      <items count="8">
        <item h="1" x="0"/>
        <item sd="0" x="1"/>
        <item h="1" sd="0" x="3"/>
        <item h="1" sd="0" x="2"/>
        <item h="1" sd="0" x="5"/>
        <item h="1" sd="0" x="4"/>
        <item h="1" sd="0" m="1" x="7"/>
        <item h="1" sd="0" m="1" x="6"/>
      </items>
    </pivotField>
    <pivotField compact="0" outline="0" showAll="0">
      <items count="16">
        <item x="2"/>
        <item sd="0" m="1" x="14"/>
        <item sd="0" x="0"/>
        <item sd="0" m="1" x="11"/>
        <item sd="0" x="7"/>
        <item sd="0" x="6"/>
        <item h="1" sd="0" x="8"/>
        <item sd="0" m="1" x="13"/>
        <item h="1" sd="0" m="1" x="12"/>
        <item h="1" x="3"/>
        <item h="1" x="4"/>
        <item h="1" x="1"/>
        <item h="1" x="5"/>
        <item h="1" x="9"/>
        <item h="1" x="10"/>
        <item t="default" sd="0"/>
      </items>
    </pivotField>
    <pivotField axis="axisRow" compact="0" outline="0" showAll="0" sortType="descending">
      <items count="70">
        <item sd="0" x="38"/>
        <item sd="0" m="1" x="68"/>
        <item sd="0" m="1" x="46"/>
        <item sd="0" x="6"/>
        <item sd="0" m="1" x="44"/>
        <item sd="0" x="37"/>
        <item sd="0" x="29"/>
        <item sd="0" x="30"/>
        <item sd="0" m="1" x="64"/>
        <item sd="0" x="34"/>
        <item sd="0" m="1" x="45"/>
        <item sd="0" m="1" x="47"/>
        <item sd="0" m="1" x="55"/>
        <item sd="0" x="31"/>
        <item sd="0" x="0"/>
        <item sd="0" m="1" x="49"/>
        <item sd="0" x="12"/>
        <item sd="0" x="14"/>
        <item sd="0" x="13"/>
        <item sd="0" m="1" x="56"/>
        <item sd="0" m="1" x="62"/>
        <item sd="0" m="1" x="61"/>
        <item sd="0" m="1" x="53"/>
        <item sd="0" m="1" x="52"/>
        <item sd="0" m="1" x="54"/>
        <item sd="0" m="1" x="51"/>
        <item sd="0" x="1"/>
        <item sd="0" m="1" x="43"/>
        <item sd="0" m="1" x="63"/>
        <item sd="0" m="1" x="67"/>
        <item sd="0" m="1" x="57"/>
        <item sd="0" x="16"/>
        <item sd="0" m="1" x="58"/>
        <item sd="0" x="25"/>
        <item sd="0" m="1" x="65"/>
        <item sd="0" x="19"/>
        <item sd="0" m="1" x="50"/>
        <item sd="0" m="1" x="60"/>
        <item sd="0" x="36"/>
        <item sd="0" m="1" x="48"/>
        <item sd="0" m="1" x="59"/>
        <item sd="0" x="9"/>
        <item sd="0" x="22"/>
        <item sd="0" m="1" x="66"/>
        <item sd="0" x="7"/>
        <item sd="0" x="8"/>
        <item sd="0" x="10"/>
        <item sd="0" x="11"/>
        <item sd="0" x="15"/>
        <item sd="0" x="17"/>
        <item sd="0" x="18"/>
        <item sd="0" x="20"/>
        <item sd="0" x="21"/>
        <item sd="0" x="23"/>
        <item sd="0" x="24"/>
        <item sd="0" x="26"/>
        <item sd="0" x="27"/>
        <item sd="0" x="2"/>
        <item sd="0" x="32"/>
        <item sd="0" x="33"/>
        <item sd="0" x="4"/>
        <item sd="0" m="1" x="42"/>
        <item sd="0" x="3"/>
        <item sd="0" x="28"/>
        <item sd="0" x="35"/>
        <item sd="0" m="1" x="41"/>
        <item sd="0" x="5"/>
        <item sd="0" x="39"/>
        <item sd="0" m="1" x="40"/>
        <item t="default" sd="0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>
      <items count="319">
        <item x="69"/>
        <item x="66"/>
        <item x="87"/>
        <item x="135"/>
        <item x="196"/>
        <item x="143"/>
        <item x="184"/>
        <item x="211"/>
        <item x="193"/>
        <item x="153"/>
        <item x="166"/>
        <item x="210"/>
        <item x="174"/>
        <item x="204"/>
        <item m="1" x="313"/>
        <item x="55"/>
        <item x="34"/>
        <item x="20"/>
        <item x="19"/>
        <item x="91"/>
        <item x="43"/>
        <item m="1" x="265"/>
        <item m="1" x="262"/>
        <item m="1" x="269"/>
        <item m="1" x="272"/>
        <item m="1" x="268"/>
        <item m="1" x="270"/>
        <item m="1" x="263"/>
        <item m="1" x="261"/>
        <item m="1" x="266"/>
        <item m="1" x="274"/>
        <item m="1" x="258"/>
        <item m="1" x="264"/>
        <item x="200"/>
        <item x="247"/>
        <item x="82"/>
        <item x="182"/>
        <item x="22"/>
        <item x="23"/>
        <item x="21"/>
        <item x="81"/>
        <item m="1" x="301"/>
        <item x="169"/>
        <item x="142"/>
        <item x="206"/>
        <item x="139"/>
        <item x="41"/>
        <item x="173"/>
        <item x="188"/>
        <item x="209"/>
        <item x="90"/>
        <item x="163"/>
        <item m="1" x="302"/>
        <item m="1" x="300"/>
        <item x="161"/>
        <item x="183"/>
        <item x="165"/>
        <item x="168"/>
        <item x="144"/>
        <item x="176"/>
        <item x="145"/>
        <item x="36"/>
        <item x="175"/>
        <item x="160"/>
        <item x="95"/>
        <item x="59"/>
        <item x="140"/>
        <item x="92"/>
        <item x="167"/>
        <item m="1" x="316"/>
        <item x="137"/>
        <item x="156"/>
        <item x="89"/>
        <item x="164"/>
        <item x="71"/>
        <item x="152"/>
        <item x="149"/>
        <item x="189"/>
        <item x="88"/>
        <item x="198"/>
        <item x="213"/>
        <item x="146"/>
        <item m="1" x="253"/>
        <item x="73"/>
        <item x="202"/>
        <item x="159"/>
        <item m="1" x="254"/>
        <item x="47"/>
        <item x="162"/>
        <item x="190"/>
        <item x="201"/>
        <item x="208"/>
        <item x="150"/>
        <item x="187"/>
        <item x="207"/>
        <item x="136"/>
        <item x="158"/>
        <item x="172"/>
        <item x="32"/>
        <item x="39"/>
        <item x="179"/>
        <item x="212"/>
        <item m="1" x="305"/>
        <item x="194"/>
        <item m="1" x="310"/>
        <item m="1" x="287"/>
        <item m="1" x="286"/>
        <item m="1" x="317"/>
        <item x="192"/>
        <item x="216"/>
        <item x="195"/>
        <item x="178"/>
        <item x="214"/>
        <item x="141"/>
        <item x="191"/>
        <item x="203"/>
        <item x="83"/>
        <item x="84"/>
        <item m="1" x="303"/>
        <item x="86"/>
        <item x="155"/>
        <item x="157"/>
        <item x="177"/>
        <item x="180"/>
        <item x="49"/>
        <item x="154"/>
        <item x="67"/>
        <item x="72"/>
        <item x="148"/>
        <item x="24"/>
        <item x="70"/>
        <item m="1" x="312"/>
        <item x="42"/>
        <item x="51"/>
        <item x="134"/>
        <item x="38"/>
        <item x="215"/>
        <item x="96"/>
        <item x="97"/>
        <item x="18"/>
        <item x="45"/>
        <item x="138"/>
        <item m="1" x="260"/>
        <item x="25"/>
        <item x="44"/>
        <item m="1" x="267"/>
        <item m="1" x="271"/>
        <item m="1" x="273"/>
        <item m="1" x="275"/>
        <item x="35"/>
        <item m="1" x="308"/>
        <item m="1" x="304"/>
        <item x="170"/>
        <item x="147"/>
        <item x="33"/>
        <item m="1" x="311"/>
        <item x="53"/>
        <item x="151"/>
        <item x="58"/>
        <item x="52"/>
        <item m="1" x="315"/>
        <item x="64"/>
        <item x="37"/>
        <item x="56"/>
        <item x="57"/>
        <item x="54"/>
        <item x="62"/>
        <item m="1" x="283"/>
        <item m="1" x="295"/>
        <item m="1" x="296"/>
        <item m="1" x="298"/>
        <item m="1" x="297"/>
        <item m="1" x="299"/>
        <item x="61"/>
        <item m="1" x="314"/>
        <item m="1" x="259"/>
        <item x="118"/>
        <item x="63"/>
        <item x="65"/>
        <item x="60"/>
        <item x="48"/>
        <item x="94"/>
        <item x="93"/>
        <item x="199"/>
        <item x="85"/>
        <item x="197"/>
        <item x="181"/>
        <item x="185"/>
        <item m="1" x="294"/>
        <item x="186"/>
        <item m="1" x="255"/>
        <item x="68"/>
        <item x="171"/>
        <item m="1" x="256"/>
        <item x="218"/>
        <item x="219"/>
        <item x="220"/>
        <item m="1" x="288"/>
        <item m="1" x="289"/>
        <item m="1" x="290"/>
        <item m="1" x="257"/>
        <item m="1" x="276"/>
        <item m="1" x="279"/>
        <item x="27"/>
        <item x="28"/>
        <item m="1" x="309"/>
        <item m="1" x="307"/>
        <item x="222"/>
        <item x="74"/>
        <item m="1" x="291"/>
        <item x="223"/>
        <item m="1" x="292"/>
        <item x="121"/>
        <item x="122"/>
        <item x="123"/>
        <item m="1" x="277"/>
        <item m="1" x="278"/>
        <item x="124"/>
        <item x="125"/>
        <item x="126"/>
        <item x="127"/>
        <item x="128"/>
        <item x="129"/>
        <item x="130"/>
        <item x="132"/>
        <item x="133"/>
        <item m="1" x="293"/>
        <item m="1" x="306"/>
        <item x="30"/>
        <item x="248"/>
        <item x="249"/>
        <item m="1" x="284"/>
        <item m="1" x="285"/>
        <item x="109"/>
        <item x="110"/>
        <item x="111"/>
        <item x="112"/>
        <item x="113"/>
        <item x="114"/>
        <item x="115"/>
        <item x="116"/>
        <item x="117"/>
        <item x="119"/>
        <item x="120"/>
        <item m="1" x="280"/>
        <item m="1" x="281"/>
        <item m="1" x="282"/>
        <item x="31"/>
        <item x="205"/>
        <item m="1" x="250"/>
        <item x="225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75"/>
        <item x="26"/>
        <item m="1" x="25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31"/>
        <item m="1" x="251"/>
        <item x="29"/>
        <item x="40"/>
        <item x="46"/>
        <item x="50"/>
        <item x="217"/>
        <item x="221"/>
        <item x="76"/>
        <item x="77"/>
        <item x="78"/>
        <item x="79"/>
        <item x="80"/>
        <item x="224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t="default"/>
      </items>
    </pivotField>
    <pivotField compact="0" outline="0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dataField="1" compact="0" outline="0" showAll="0"/>
    <pivotField compact="0" outline="0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axis="axisPage" compact="0" outline="0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1">
    <field x="3"/>
  </rowFields>
  <rowItems count="29">
    <i>
      <x v="35"/>
    </i>
    <i>
      <x v="38"/>
    </i>
    <i>
      <x v="45"/>
    </i>
    <i>
      <x v="51"/>
    </i>
    <i>
      <x v="48"/>
    </i>
    <i>
      <x v="17"/>
    </i>
    <i>
      <x v="3"/>
    </i>
    <i>
      <x v="6"/>
    </i>
    <i>
      <x v="49"/>
    </i>
    <i>
      <x v="33"/>
    </i>
    <i>
      <x v="59"/>
    </i>
    <i>
      <x v="54"/>
    </i>
    <i>
      <x v="46"/>
    </i>
    <i>
      <x v="16"/>
    </i>
    <i>
      <x v="63"/>
    </i>
    <i>
      <x v="44"/>
    </i>
    <i>
      <x v="26"/>
    </i>
    <i>
      <x v="52"/>
    </i>
    <i>
      <x v="41"/>
    </i>
    <i>
      <x v="55"/>
    </i>
    <i>
      <x v="53"/>
    </i>
    <i>
      <x v="47"/>
    </i>
    <i>
      <x v="50"/>
    </i>
    <i>
      <x v="58"/>
    </i>
    <i>
      <x v="31"/>
    </i>
    <i>
      <x v="56"/>
    </i>
    <i>
      <x v="18"/>
    </i>
    <i>
      <x v="66"/>
    </i>
    <i t="grand">
      <x/>
    </i>
  </rowItems>
  <colItems count="1">
    <i/>
  </colItems>
  <pageFields count="3">
    <pageField fld="0" hier="-1"/>
    <pageField fld="8" hier="-1"/>
    <pageField fld="1" hier="-1"/>
  </pageFields>
  <dataFields count="1">
    <dataField name="Suma de Valor" fld="6" baseField="0" baseItem="0" numFmtId="3"/>
  </dataFields>
  <formats count="19">
    <format dxfId="302">
      <pivotArea outline="0" collapsedLevelsAreSubtotals="1" fieldPosition="0"/>
    </format>
    <format dxfId="303">
      <pivotArea type="all" dataOnly="0" outline="0" fieldPosition="0"/>
    </format>
    <format dxfId="304">
      <pivotArea outline="0" collapsedLevelsAreSubtotals="1" fieldPosition="0"/>
    </format>
    <format dxfId="305">
      <pivotArea type="origin" dataOnly="0" labelOnly="1" outline="0" fieldPosition="0"/>
    </format>
    <format dxfId="306">
      <pivotArea type="topRight" dataOnly="0" labelOnly="1" outline="0" fieldPosition="0"/>
    </format>
    <format dxfId="307">
      <pivotArea field="2" type="button" dataOnly="0" labelOnly="1" outline="0"/>
    </format>
    <format dxfId="308">
      <pivotArea field="3" type="button" dataOnly="0" labelOnly="1" outline="0" axis="axisRow" fieldPosition="0"/>
    </format>
    <format dxfId="309">
      <pivotArea field="4" type="button" dataOnly="0" labelOnly="1" outline="0"/>
    </format>
    <format dxfId="310">
      <pivotArea dataOnly="0" labelOnly="1" grandRow="1" outline="0" fieldPosition="0"/>
    </format>
    <format dxfId="311">
      <pivotArea dataOnly="0" labelOnly="1" grandCol="1" outline="0" fieldPosition="0"/>
    </format>
    <format dxfId="312">
      <pivotArea type="all" dataOnly="0" outline="0" fieldPosition="0"/>
    </format>
    <format dxfId="313">
      <pivotArea outline="0" collapsedLevelsAreSubtotals="1" fieldPosition="0"/>
    </format>
    <format dxfId="314">
      <pivotArea type="origin" dataOnly="0" labelOnly="1" outline="0" fieldPosition="0"/>
    </format>
    <format dxfId="315">
      <pivotArea type="topRight" dataOnly="0" labelOnly="1" outline="0" fieldPosition="0"/>
    </format>
    <format dxfId="316">
      <pivotArea field="2" type="button" dataOnly="0" labelOnly="1" outline="0"/>
    </format>
    <format dxfId="317">
      <pivotArea field="3" type="button" dataOnly="0" labelOnly="1" outline="0" axis="axisRow" fieldPosition="0"/>
    </format>
    <format dxfId="318">
      <pivotArea field="4" type="button" dataOnly="0" labelOnly="1" outline="0"/>
    </format>
    <format dxfId="319">
      <pivotArea dataOnly="0" labelOnly="1" grandRow="1" outline="0" fieldPosition="0"/>
    </format>
    <format dxfId="320">
      <pivotArea dataOnly="0" labelOnly="1" grandCol="1" outline="0" fieldPosition="0"/>
    </format>
  </formats>
  <chartFormats count="6"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60"/>
          </reference>
        </references>
      </pivotArea>
    </chartFormat>
    <chartFormat chart="15" format="2">
      <pivotArea type="data" outline="0" fieldPosition="0">
        <references count="2">
          <reference field="4294967294" count="1" selected="0">
            <x v="0"/>
          </reference>
          <reference field="3" count="1" selected="0">
            <x v="62"/>
          </reference>
        </references>
      </pivotArea>
    </chartFormat>
    <chartFormat chart="15" format="3">
      <pivotArea type="data" outline="0" fieldPosition="0">
        <references count="2">
          <reference field="4294967294" count="1" selected="0">
            <x v="0"/>
          </reference>
          <reference field="3" count="1" selected="0">
            <x v="26"/>
          </reference>
        </references>
      </pivotArea>
    </chartFormat>
    <chartFormat chart="15" format="4">
      <pivotArea type="data" outline="0" fieldPosition="0">
        <references count="2">
          <reference field="4294967294" count="1" selected="0">
            <x v="0"/>
          </reference>
          <reference field="3" count="1" selected="0">
            <x v="57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2B9E475-8019-42FE-A4D5-2F8AA1187EAE}" name="TablaDinámica1" cacheId="35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 chartFormat="17" fieldListSortAscending="1">
  <location ref="A28:B36" firstHeaderRow="1" firstDataRow="1" firstDataCol="1" rowPageCount="3" colPageCount="1"/>
  <pivotFields count="9">
    <pivotField axis="axisPage" compact="0" outline="0" multipleItemSelectionAllowed="1" showAll="0">
      <items count="6">
        <item x="2"/>
        <item x="1"/>
        <item x="3"/>
        <item x="0"/>
        <item x="4"/>
        <item t="default"/>
      </items>
    </pivotField>
    <pivotField axis="axisPage" compact="0" outline="0" multipleItemSelectionAllowed="1" showAll="0" defaultSubtotal="0">
      <items count="8">
        <item x="0"/>
        <item h="1" sd="0" x="1"/>
        <item h="1" sd="0" x="3"/>
        <item h="1" sd="0" x="2"/>
        <item h="1" sd="0" x="5"/>
        <item h="1" sd="0" x="4"/>
        <item h="1" sd="0" m="1" x="7"/>
        <item h="1" sd="0" m="1" x="6"/>
      </items>
    </pivotField>
    <pivotField compact="0" outline="0" showAll="0">
      <items count="16">
        <item x="2"/>
        <item sd="0" m="1" x="14"/>
        <item sd="0" x="0"/>
        <item sd="0" m="1" x="11"/>
        <item sd="0" x="7"/>
        <item sd="0" x="6"/>
        <item h="1" sd="0" x="8"/>
        <item sd="0" m="1" x="13"/>
        <item h="1" sd="0" m="1" x="12"/>
        <item h="1" x="3"/>
        <item h="1" x="4"/>
        <item h="1" x="1"/>
        <item h="1" x="5"/>
        <item h="1" x="9"/>
        <item h="1" x="10"/>
        <item t="default" sd="0"/>
      </items>
    </pivotField>
    <pivotField axis="axisRow" compact="0" outline="0" showAll="0" sortType="descending">
      <items count="70">
        <item sd="0" x="38"/>
        <item sd="0" m="1" x="68"/>
        <item sd="0" m="1" x="46"/>
        <item sd="0" x="6"/>
        <item sd="0" m="1" x="44"/>
        <item sd="0" x="37"/>
        <item sd="0" x="29"/>
        <item sd="0" x="30"/>
        <item sd="0" m="1" x="64"/>
        <item sd="0" x="34"/>
        <item sd="0" m="1" x="45"/>
        <item sd="0" m="1" x="47"/>
        <item sd="0" m="1" x="55"/>
        <item sd="0" x="31"/>
        <item sd="0" x="0"/>
        <item sd="0" m="1" x="49"/>
        <item sd="0" x="12"/>
        <item sd="0" x="14"/>
        <item sd="0" x="13"/>
        <item sd="0" m="1" x="56"/>
        <item sd="0" m="1" x="62"/>
        <item sd="0" m="1" x="61"/>
        <item sd="0" m="1" x="53"/>
        <item sd="0" m="1" x="52"/>
        <item sd="0" m="1" x="54"/>
        <item sd="0" m="1" x="51"/>
        <item sd="0" x="1"/>
        <item sd="0" m="1" x="43"/>
        <item sd="0" m="1" x="63"/>
        <item sd="0" m="1" x="67"/>
        <item sd="0" m="1" x="57"/>
        <item sd="0" x="16"/>
        <item sd="0" m="1" x="58"/>
        <item sd="0" x="25"/>
        <item sd="0" m="1" x="65"/>
        <item sd="0" x="19"/>
        <item sd="0" m="1" x="50"/>
        <item sd="0" m="1" x="60"/>
        <item sd="0" x="36"/>
        <item sd="0" m="1" x="48"/>
        <item sd="0" m="1" x="59"/>
        <item sd="0" x="9"/>
        <item sd="0" x="22"/>
        <item sd="0" m="1" x="66"/>
        <item sd="0" x="7"/>
        <item sd="0" x="8"/>
        <item sd="0" x="10"/>
        <item sd="0" x="11"/>
        <item sd="0" x="15"/>
        <item sd="0" x="17"/>
        <item sd="0" x="18"/>
        <item sd="0" x="20"/>
        <item sd="0" x="21"/>
        <item sd="0" x="23"/>
        <item sd="0" x="24"/>
        <item sd="0" x="26"/>
        <item sd="0" x="27"/>
        <item sd="0" x="2"/>
        <item sd="0" x="32"/>
        <item sd="0" x="33"/>
        <item sd="0" x="4"/>
        <item sd="0" m="1" x="42"/>
        <item sd="0" x="3"/>
        <item sd="0" x="28"/>
        <item sd="0" x="35"/>
        <item sd="0" m="1" x="41"/>
        <item sd="0" x="5"/>
        <item sd="0" x="39"/>
        <item sd="0" m="1" x="40"/>
        <item t="default" sd="0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>
      <items count="319">
        <item x="69"/>
        <item x="66"/>
        <item x="87"/>
        <item x="135"/>
        <item x="196"/>
        <item x="143"/>
        <item x="184"/>
        <item x="211"/>
        <item x="193"/>
        <item x="153"/>
        <item x="166"/>
        <item x="210"/>
        <item x="174"/>
        <item x="204"/>
        <item m="1" x="313"/>
        <item x="55"/>
        <item x="34"/>
        <item x="20"/>
        <item x="19"/>
        <item x="91"/>
        <item x="43"/>
        <item m="1" x="265"/>
        <item m="1" x="262"/>
        <item m="1" x="269"/>
        <item m="1" x="272"/>
        <item m="1" x="268"/>
        <item m="1" x="270"/>
        <item m="1" x="263"/>
        <item m="1" x="261"/>
        <item m="1" x="266"/>
        <item m="1" x="274"/>
        <item m="1" x="258"/>
        <item m="1" x="264"/>
        <item x="200"/>
        <item x="247"/>
        <item x="82"/>
        <item x="182"/>
        <item x="22"/>
        <item x="23"/>
        <item x="21"/>
        <item x="81"/>
        <item m="1" x="301"/>
        <item x="169"/>
        <item x="142"/>
        <item x="206"/>
        <item x="139"/>
        <item x="41"/>
        <item x="173"/>
        <item x="188"/>
        <item x="209"/>
        <item x="90"/>
        <item x="163"/>
        <item m="1" x="302"/>
        <item m="1" x="300"/>
        <item x="161"/>
        <item x="183"/>
        <item x="165"/>
        <item x="168"/>
        <item x="144"/>
        <item x="176"/>
        <item x="145"/>
        <item x="36"/>
        <item x="175"/>
        <item x="160"/>
        <item x="95"/>
        <item x="59"/>
        <item x="140"/>
        <item x="92"/>
        <item x="167"/>
        <item m="1" x="316"/>
        <item x="137"/>
        <item x="156"/>
        <item x="89"/>
        <item x="164"/>
        <item x="71"/>
        <item x="152"/>
        <item x="149"/>
        <item x="189"/>
        <item x="88"/>
        <item x="198"/>
        <item x="213"/>
        <item x="146"/>
        <item m="1" x="253"/>
        <item x="73"/>
        <item x="202"/>
        <item x="159"/>
        <item m="1" x="254"/>
        <item x="47"/>
        <item x="162"/>
        <item x="190"/>
        <item x="201"/>
        <item x="208"/>
        <item x="150"/>
        <item x="187"/>
        <item x="207"/>
        <item x="136"/>
        <item x="158"/>
        <item x="172"/>
        <item x="32"/>
        <item x="39"/>
        <item x="179"/>
        <item x="212"/>
        <item m="1" x="305"/>
        <item x="194"/>
        <item m="1" x="310"/>
        <item m="1" x="287"/>
        <item m="1" x="286"/>
        <item m="1" x="317"/>
        <item x="192"/>
        <item x="216"/>
        <item x="195"/>
        <item x="178"/>
        <item x="214"/>
        <item x="141"/>
        <item x="191"/>
        <item x="203"/>
        <item x="83"/>
        <item x="84"/>
        <item m="1" x="303"/>
        <item x="86"/>
        <item x="155"/>
        <item x="157"/>
        <item x="177"/>
        <item x="180"/>
        <item x="49"/>
        <item x="154"/>
        <item x="67"/>
        <item x="72"/>
        <item x="148"/>
        <item x="24"/>
        <item x="70"/>
        <item m="1" x="312"/>
        <item x="42"/>
        <item x="51"/>
        <item x="134"/>
        <item x="38"/>
        <item x="215"/>
        <item x="96"/>
        <item x="97"/>
        <item x="18"/>
        <item x="45"/>
        <item x="138"/>
        <item m="1" x="260"/>
        <item x="25"/>
        <item x="44"/>
        <item m="1" x="267"/>
        <item m="1" x="271"/>
        <item m="1" x="273"/>
        <item m="1" x="275"/>
        <item x="35"/>
        <item m="1" x="308"/>
        <item m="1" x="304"/>
        <item x="170"/>
        <item x="147"/>
        <item x="33"/>
        <item m="1" x="311"/>
        <item x="53"/>
        <item x="151"/>
        <item x="58"/>
        <item x="52"/>
        <item m="1" x="315"/>
        <item x="64"/>
        <item x="37"/>
        <item x="56"/>
        <item x="57"/>
        <item x="54"/>
        <item x="62"/>
        <item m="1" x="283"/>
        <item m="1" x="295"/>
        <item m="1" x="296"/>
        <item m="1" x="298"/>
        <item m="1" x="297"/>
        <item m="1" x="299"/>
        <item x="61"/>
        <item m="1" x="314"/>
        <item m="1" x="259"/>
        <item x="118"/>
        <item x="63"/>
        <item x="65"/>
        <item x="60"/>
        <item x="48"/>
        <item x="94"/>
        <item x="93"/>
        <item x="199"/>
        <item x="85"/>
        <item x="197"/>
        <item x="181"/>
        <item x="185"/>
        <item m="1" x="294"/>
        <item x="186"/>
        <item m="1" x="255"/>
        <item x="68"/>
        <item x="171"/>
        <item m="1" x="256"/>
        <item x="218"/>
        <item x="219"/>
        <item x="220"/>
        <item m="1" x="288"/>
        <item m="1" x="289"/>
        <item m="1" x="290"/>
        <item m="1" x="257"/>
        <item m="1" x="276"/>
        <item m="1" x="279"/>
        <item x="27"/>
        <item x="28"/>
        <item m="1" x="309"/>
        <item m="1" x="307"/>
        <item x="222"/>
        <item x="74"/>
        <item m="1" x="291"/>
        <item x="223"/>
        <item m="1" x="292"/>
        <item x="121"/>
        <item x="122"/>
        <item x="123"/>
        <item m="1" x="277"/>
        <item m="1" x="278"/>
        <item x="124"/>
        <item x="125"/>
        <item x="126"/>
        <item x="127"/>
        <item x="128"/>
        <item x="129"/>
        <item x="130"/>
        <item x="132"/>
        <item x="133"/>
        <item m="1" x="293"/>
        <item m="1" x="306"/>
        <item x="30"/>
        <item x="248"/>
        <item x="249"/>
        <item m="1" x="284"/>
        <item m="1" x="285"/>
        <item x="109"/>
        <item x="110"/>
        <item x="111"/>
        <item x="112"/>
        <item x="113"/>
        <item x="114"/>
        <item x="115"/>
        <item x="116"/>
        <item x="117"/>
        <item x="119"/>
        <item x="120"/>
        <item m="1" x="280"/>
        <item m="1" x="281"/>
        <item m="1" x="282"/>
        <item x="31"/>
        <item x="205"/>
        <item m="1" x="250"/>
        <item x="225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75"/>
        <item x="26"/>
        <item m="1" x="25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31"/>
        <item m="1" x="251"/>
        <item x="29"/>
        <item x="40"/>
        <item x="46"/>
        <item x="50"/>
        <item x="217"/>
        <item x="221"/>
        <item x="76"/>
        <item x="77"/>
        <item x="78"/>
        <item x="79"/>
        <item x="80"/>
        <item x="224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t="default"/>
      </items>
    </pivotField>
    <pivotField compact="0" outline="0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dataField="1" compact="0" outline="0" showAll="0"/>
    <pivotField compact="0" outline="0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axis="axisPage" compact="0" outline="0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1">
    <field x="3"/>
  </rowFields>
  <rowItems count="8">
    <i>
      <x v="38"/>
    </i>
    <i>
      <x v="14"/>
    </i>
    <i>
      <x v="66"/>
    </i>
    <i>
      <x v="57"/>
    </i>
    <i>
      <x v="26"/>
    </i>
    <i>
      <x v="62"/>
    </i>
    <i>
      <x v="60"/>
    </i>
    <i t="grand">
      <x/>
    </i>
  </rowItems>
  <colItems count="1">
    <i/>
  </colItems>
  <pageFields count="3">
    <pageField fld="0" hier="-1"/>
    <pageField fld="8" hier="-1"/>
    <pageField fld="1" hier="-1"/>
  </pageFields>
  <dataFields count="1">
    <dataField name="Suma de Valor" fld="6" baseField="0" baseItem="0" numFmtId="3"/>
  </dataFields>
  <formats count="19">
    <format dxfId="283">
      <pivotArea outline="0" collapsedLevelsAreSubtotals="1" fieldPosition="0"/>
    </format>
    <format dxfId="284">
      <pivotArea type="all" dataOnly="0" outline="0" fieldPosition="0"/>
    </format>
    <format dxfId="285">
      <pivotArea outline="0" collapsedLevelsAreSubtotals="1" fieldPosition="0"/>
    </format>
    <format dxfId="286">
      <pivotArea type="origin" dataOnly="0" labelOnly="1" outline="0" fieldPosition="0"/>
    </format>
    <format dxfId="287">
      <pivotArea type="topRight" dataOnly="0" labelOnly="1" outline="0" fieldPosition="0"/>
    </format>
    <format dxfId="288">
      <pivotArea field="2" type="button" dataOnly="0" labelOnly="1" outline="0"/>
    </format>
    <format dxfId="289">
      <pivotArea field="3" type="button" dataOnly="0" labelOnly="1" outline="0" axis="axisRow" fieldPosition="0"/>
    </format>
    <format dxfId="290">
      <pivotArea field="4" type="button" dataOnly="0" labelOnly="1" outline="0"/>
    </format>
    <format dxfId="291">
      <pivotArea dataOnly="0" labelOnly="1" grandRow="1" outline="0" fieldPosition="0"/>
    </format>
    <format dxfId="292">
      <pivotArea dataOnly="0" labelOnly="1" grandCol="1" outline="0" fieldPosition="0"/>
    </format>
    <format dxfId="293">
      <pivotArea type="all" dataOnly="0" outline="0" fieldPosition="0"/>
    </format>
    <format dxfId="294">
      <pivotArea outline="0" collapsedLevelsAreSubtotals="1" fieldPosition="0"/>
    </format>
    <format dxfId="295">
      <pivotArea type="origin" dataOnly="0" labelOnly="1" outline="0" fieldPosition="0"/>
    </format>
    <format dxfId="296">
      <pivotArea type="topRight" dataOnly="0" labelOnly="1" outline="0" fieldPosition="0"/>
    </format>
    <format dxfId="297">
      <pivotArea field="2" type="button" dataOnly="0" labelOnly="1" outline="0"/>
    </format>
    <format dxfId="298">
      <pivotArea field="3" type="button" dataOnly="0" labelOnly="1" outline="0" axis="axisRow" fieldPosition="0"/>
    </format>
    <format dxfId="299">
      <pivotArea field="4" type="button" dataOnly="0" labelOnly="1" outline="0"/>
    </format>
    <format dxfId="300">
      <pivotArea dataOnly="0" labelOnly="1" grandRow="1" outline="0" fieldPosition="0"/>
    </format>
    <format dxfId="301">
      <pivotArea dataOnly="0" labelOnly="1" grandCol="1" outline="0" fieldPosition="0"/>
    </format>
  </formats>
  <chartFormats count="1"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F6BBBEC-3F17-438F-A4EF-08F1A1338576}" name="TablaDinámica5" cacheId="35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 chartFormat="17" fieldListSortAscending="1">
  <location ref="A114:B117" firstHeaderRow="1" firstDataRow="1" firstDataCol="1" rowPageCount="3" colPageCount="1"/>
  <pivotFields count="9">
    <pivotField axis="axisPage" compact="0" outline="0" multipleItemSelectionAllowed="1" showAll="0">
      <items count="6">
        <item x="2"/>
        <item x="1"/>
        <item x="3"/>
        <item x="0"/>
        <item x="4"/>
        <item t="default"/>
      </items>
    </pivotField>
    <pivotField axis="axisPage" compact="0" outline="0" multipleItemSelectionAllowed="1" showAll="0" defaultSubtotal="0">
      <items count="8">
        <item h="1" x="0"/>
        <item h="1" sd="0" x="1"/>
        <item h="1" sd="0" x="3"/>
        <item h="1" sd="0" x="2"/>
        <item h="1" sd="0" x="5"/>
        <item sd="0" x="4"/>
        <item h="1" sd="0" m="1" x="7"/>
        <item h="1" sd="0" m="1" x="6"/>
      </items>
    </pivotField>
    <pivotField compact="0" outline="0" showAll="0">
      <items count="16">
        <item x="2"/>
        <item sd="0" m="1" x="14"/>
        <item sd="0" x="0"/>
        <item sd="0" m="1" x="11"/>
        <item sd="0" x="7"/>
        <item sd="0" x="6"/>
        <item h="1" sd="0" x="8"/>
        <item sd="0" m="1" x="13"/>
        <item h="1" sd="0" m="1" x="12"/>
        <item h="1" x="3"/>
        <item h="1" x="4"/>
        <item h="1" x="1"/>
        <item h="1" x="5"/>
        <item h="1" x="9"/>
        <item h="1" x="10"/>
        <item t="default" sd="0"/>
      </items>
    </pivotField>
    <pivotField axis="axisRow" compact="0" outline="0" showAll="0" sortType="descending">
      <items count="70">
        <item sd="0" x="38"/>
        <item sd="0" m="1" x="68"/>
        <item sd="0" m="1" x="46"/>
        <item sd="0" x="6"/>
        <item sd="0" m="1" x="44"/>
        <item sd="0" x="37"/>
        <item sd="0" x="29"/>
        <item sd="0" x="30"/>
        <item sd="0" m="1" x="64"/>
        <item sd="0" x="34"/>
        <item sd="0" m="1" x="45"/>
        <item sd="0" m="1" x="47"/>
        <item sd="0" m="1" x="55"/>
        <item sd="0" x="31"/>
        <item sd="0" x="0"/>
        <item sd="0" m="1" x="49"/>
        <item sd="0" x="12"/>
        <item sd="0" x="14"/>
        <item sd="0" x="13"/>
        <item sd="0" m="1" x="56"/>
        <item sd="0" m="1" x="62"/>
        <item sd="0" m="1" x="61"/>
        <item sd="0" m="1" x="53"/>
        <item sd="0" m="1" x="52"/>
        <item sd="0" m="1" x="54"/>
        <item sd="0" m="1" x="51"/>
        <item sd="0" x="1"/>
        <item sd="0" m="1" x="43"/>
        <item sd="0" m="1" x="63"/>
        <item sd="0" m="1" x="67"/>
        <item sd="0" m="1" x="57"/>
        <item sd="0" x="16"/>
        <item sd="0" m="1" x="58"/>
        <item sd="0" x="25"/>
        <item sd="0" m="1" x="65"/>
        <item sd="0" x="19"/>
        <item sd="0" m="1" x="50"/>
        <item sd="0" m="1" x="60"/>
        <item sd="0" x="36"/>
        <item sd="0" m="1" x="48"/>
        <item sd="0" m="1" x="59"/>
        <item sd="0" x="9"/>
        <item sd="0" x="22"/>
        <item sd="0" m="1" x="66"/>
        <item sd="0" x="7"/>
        <item sd="0" x="8"/>
        <item sd="0" x="10"/>
        <item sd="0" x="11"/>
        <item sd="0" x="15"/>
        <item sd="0" x="17"/>
        <item sd="0" x="18"/>
        <item sd="0" x="20"/>
        <item sd="0" x="21"/>
        <item sd="0" x="23"/>
        <item sd="0" x="24"/>
        <item sd="0" x="26"/>
        <item sd="0" x="27"/>
        <item sd="0" x="2"/>
        <item sd="0" x="32"/>
        <item sd="0" x="33"/>
        <item sd="0" x="4"/>
        <item sd="0" m="1" x="42"/>
        <item sd="0" x="3"/>
        <item sd="0" x="28"/>
        <item sd="0" x="35"/>
        <item sd="0" m="1" x="41"/>
        <item sd="0" x="5"/>
        <item sd="0" x="39"/>
        <item sd="0" m="1" x="40"/>
        <item t="default" sd="0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>
      <items count="319">
        <item x="69"/>
        <item x="66"/>
        <item x="87"/>
        <item x="135"/>
        <item x="196"/>
        <item x="143"/>
        <item x="184"/>
        <item x="211"/>
        <item x="193"/>
        <item x="153"/>
        <item x="166"/>
        <item x="210"/>
        <item x="174"/>
        <item x="204"/>
        <item m="1" x="313"/>
        <item x="55"/>
        <item x="34"/>
        <item x="20"/>
        <item x="19"/>
        <item x="91"/>
        <item x="43"/>
        <item m="1" x="265"/>
        <item m="1" x="262"/>
        <item m="1" x="269"/>
        <item m="1" x="272"/>
        <item m="1" x="268"/>
        <item m="1" x="270"/>
        <item m="1" x="263"/>
        <item m="1" x="261"/>
        <item m="1" x="266"/>
        <item m="1" x="274"/>
        <item m="1" x="258"/>
        <item m="1" x="264"/>
        <item x="200"/>
        <item x="247"/>
        <item x="82"/>
        <item x="182"/>
        <item x="22"/>
        <item x="23"/>
        <item x="21"/>
        <item x="81"/>
        <item m="1" x="301"/>
        <item x="169"/>
        <item x="142"/>
        <item x="206"/>
        <item x="139"/>
        <item x="41"/>
        <item x="173"/>
        <item x="188"/>
        <item x="209"/>
        <item x="90"/>
        <item x="163"/>
        <item m="1" x="302"/>
        <item m="1" x="300"/>
        <item x="161"/>
        <item x="183"/>
        <item x="165"/>
        <item x="168"/>
        <item x="144"/>
        <item x="176"/>
        <item x="145"/>
        <item x="36"/>
        <item x="175"/>
        <item x="160"/>
        <item x="95"/>
        <item x="59"/>
        <item x="140"/>
        <item x="92"/>
        <item x="167"/>
        <item m="1" x="316"/>
        <item x="137"/>
        <item x="156"/>
        <item x="89"/>
        <item x="164"/>
        <item x="71"/>
        <item x="152"/>
        <item x="149"/>
        <item x="189"/>
        <item x="88"/>
        <item x="198"/>
        <item x="213"/>
        <item x="146"/>
        <item m="1" x="253"/>
        <item x="73"/>
        <item x="202"/>
        <item x="159"/>
        <item m="1" x="254"/>
        <item x="47"/>
        <item x="162"/>
        <item x="190"/>
        <item x="201"/>
        <item x="208"/>
        <item x="150"/>
        <item x="187"/>
        <item x="207"/>
        <item x="136"/>
        <item x="158"/>
        <item x="172"/>
        <item x="32"/>
        <item x="39"/>
        <item x="179"/>
        <item x="212"/>
        <item m="1" x="305"/>
        <item x="194"/>
        <item m="1" x="310"/>
        <item m="1" x="287"/>
        <item m="1" x="286"/>
        <item m="1" x="317"/>
        <item x="192"/>
        <item x="216"/>
        <item x="195"/>
        <item x="178"/>
        <item x="214"/>
        <item x="141"/>
        <item x="191"/>
        <item x="203"/>
        <item x="83"/>
        <item x="84"/>
        <item m="1" x="303"/>
        <item x="86"/>
        <item x="155"/>
        <item x="157"/>
        <item x="177"/>
        <item x="180"/>
        <item x="49"/>
        <item x="154"/>
        <item x="67"/>
        <item x="72"/>
        <item x="148"/>
        <item x="24"/>
        <item x="70"/>
        <item m="1" x="312"/>
        <item x="42"/>
        <item x="51"/>
        <item x="134"/>
        <item x="38"/>
        <item x="215"/>
        <item x="96"/>
        <item x="97"/>
        <item x="18"/>
        <item x="45"/>
        <item x="138"/>
        <item m="1" x="260"/>
        <item x="25"/>
        <item x="44"/>
        <item m="1" x="267"/>
        <item m="1" x="271"/>
        <item m="1" x="273"/>
        <item m="1" x="275"/>
        <item x="35"/>
        <item m="1" x="308"/>
        <item m="1" x="304"/>
        <item x="170"/>
        <item x="147"/>
        <item x="33"/>
        <item m="1" x="311"/>
        <item x="53"/>
        <item x="151"/>
        <item x="58"/>
        <item x="52"/>
        <item m="1" x="315"/>
        <item x="64"/>
        <item x="37"/>
        <item x="56"/>
        <item x="57"/>
        <item x="54"/>
        <item x="62"/>
        <item m="1" x="283"/>
        <item m="1" x="295"/>
        <item m="1" x="296"/>
        <item m="1" x="298"/>
        <item m="1" x="297"/>
        <item m="1" x="299"/>
        <item x="61"/>
        <item m="1" x="314"/>
        <item m="1" x="259"/>
        <item x="118"/>
        <item x="63"/>
        <item x="65"/>
        <item x="60"/>
        <item x="48"/>
        <item x="94"/>
        <item x="93"/>
        <item x="199"/>
        <item x="85"/>
        <item x="197"/>
        <item x="181"/>
        <item x="185"/>
        <item m="1" x="294"/>
        <item x="186"/>
        <item m="1" x="255"/>
        <item x="68"/>
        <item x="171"/>
        <item m="1" x="256"/>
        <item x="218"/>
        <item x="219"/>
        <item x="220"/>
        <item m="1" x="288"/>
        <item m="1" x="289"/>
        <item m="1" x="290"/>
        <item m="1" x="257"/>
        <item m="1" x="276"/>
        <item m="1" x="279"/>
        <item x="27"/>
        <item x="28"/>
        <item m="1" x="309"/>
        <item m="1" x="307"/>
        <item x="222"/>
        <item x="74"/>
        <item m="1" x="291"/>
        <item x="223"/>
        <item m="1" x="292"/>
        <item x="121"/>
        <item x="122"/>
        <item x="123"/>
        <item m="1" x="277"/>
        <item m="1" x="278"/>
        <item x="124"/>
        <item x="125"/>
        <item x="126"/>
        <item x="127"/>
        <item x="128"/>
        <item x="129"/>
        <item x="130"/>
        <item x="132"/>
        <item x="133"/>
        <item m="1" x="293"/>
        <item m="1" x="306"/>
        <item x="30"/>
        <item x="248"/>
        <item x="249"/>
        <item m="1" x="284"/>
        <item m="1" x="285"/>
        <item x="109"/>
        <item x="110"/>
        <item x="111"/>
        <item x="112"/>
        <item x="113"/>
        <item x="114"/>
        <item x="115"/>
        <item x="116"/>
        <item x="117"/>
        <item x="119"/>
        <item x="120"/>
        <item m="1" x="280"/>
        <item m="1" x="281"/>
        <item m="1" x="282"/>
        <item x="31"/>
        <item x="205"/>
        <item m="1" x="250"/>
        <item x="225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75"/>
        <item x="26"/>
        <item m="1" x="25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31"/>
        <item m="1" x="251"/>
        <item x="29"/>
        <item x="40"/>
        <item x="46"/>
        <item x="50"/>
        <item x="217"/>
        <item x="221"/>
        <item x="76"/>
        <item x="77"/>
        <item x="78"/>
        <item x="79"/>
        <item x="80"/>
        <item x="224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t="default"/>
      </items>
    </pivotField>
    <pivotField compact="0" outline="0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dataField="1" compact="0" outline="0" showAll="0"/>
    <pivotField compact="0" outline="0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axis="axisPage" compact="0" outline="0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1">
    <field x="3"/>
  </rowFields>
  <rowItems count="3">
    <i>
      <x v="38"/>
    </i>
    <i>
      <x v="51"/>
    </i>
    <i t="grand">
      <x/>
    </i>
  </rowItems>
  <colItems count="1">
    <i/>
  </colItems>
  <pageFields count="3">
    <pageField fld="0" hier="-1"/>
    <pageField fld="8" hier="-1"/>
    <pageField fld="1" hier="-1"/>
  </pageFields>
  <dataFields count="1">
    <dataField name="Suma de Valor" fld="6" baseField="0" baseItem="0" numFmtId="3"/>
  </dataFields>
  <formats count="19">
    <format dxfId="264">
      <pivotArea outline="0" collapsedLevelsAreSubtotals="1" fieldPosition="0"/>
    </format>
    <format dxfId="265">
      <pivotArea type="all" dataOnly="0" outline="0" fieldPosition="0"/>
    </format>
    <format dxfId="266">
      <pivotArea outline="0" collapsedLevelsAreSubtotals="1" fieldPosition="0"/>
    </format>
    <format dxfId="267">
      <pivotArea type="origin" dataOnly="0" labelOnly="1" outline="0" fieldPosition="0"/>
    </format>
    <format dxfId="268">
      <pivotArea type="topRight" dataOnly="0" labelOnly="1" outline="0" fieldPosition="0"/>
    </format>
    <format dxfId="269">
      <pivotArea field="2" type="button" dataOnly="0" labelOnly="1" outline="0"/>
    </format>
    <format dxfId="270">
      <pivotArea field="3" type="button" dataOnly="0" labelOnly="1" outline="0" axis="axisRow" fieldPosition="0"/>
    </format>
    <format dxfId="271">
      <pivotArea field="4" type="button" dataOnly="0" labelOnly="1" outline="0"/>
    </format>
    <format dxfId="272">
      <pivotArea dataOnly="0" labelOnly="1" grandRow="1" outline="0" fieldPosition="0"/>
    </format>
    <format dxfId="273">
      <pivotArea dataOnly="0" labelOnly="1" grandCol="1" outline="0" fieldPosition="0"/>
    </format>
    <format dxfId="274">
      <pivotArea type="all" dataOnly="0" outline="0" fieldPosition="0"/>
    </format>
    <format dxfId="275">
      <pivotArea outline="0" collapsedLevelsAreSubtotals="1" fieldPosition="0"/>
    </format>
    <format dxfId="276">
      <pivotArea type="origin" dataOnly="0" labelOnly="1" outline="0" fieldPosition="0"/>
    </format>
    <format dxfId="277">
      <pivotArea type="topRight" dataOnly="0" labelOnly="1" outline="0" fieldPosition="0"/>
    </format>
    <format dxfId="278">
      <pivotArea field="2" type="button" dataOnly="0" labelOnly="1" outline="0"/>
    </format>
    <format dxfId="279">
      <pivotArea field="3" type="button" dataOnly="0" labelOnly="1" outline="0" axis="axisRow" fieldPosition="0"/>
    </format>
    <format dxfId="280">
      <pivotArea field="4" type="button" dataOnly="0" labelOnly="1" outline="0"/>
    </format>
    <format dxfId="281">
      <pivotArea dataOnly="0" labelOnly="1" grandRow="1" outline="0" fieldPosition="0"/>
    </format>
    <format dxfId="282">
      <pivotArea dataOnly="0" labelOnly="1" grandCol="1" outline="0" fieldPosition="0"/>
    </format>
  </formats>
  <chartFormats count="2"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3213A4-6864-44D8-A96D-CB7015DA2123}" name="TablaDinámica4" cacheId="35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 chartFormat="17" fieldListSortAscending="1">
  <location ref="A99:B107" firstHeaderRow="1" firstDataRow="1" firstDataCol="1" rowPageCount="3" colPageCount="1"/>
  <pivotFields count="9">
    <pivotField axis="axisPage" compact="0" outline="0" multipleItemSelectionAllowed="1" showAll="0">
      <items count="6">
        <item x="2"/>
        <item x="1"/>
        <item x="3"/>
        <item x="0"/>
        <item x="4"/>
        <item t="default"/>
      </items>
    </pivotField>
    <pivotField axis="axisPage" compact="0" outline="0" multipleItemSelectionAllowed="1" showAll="0" defaultSubtotal="0">
      <items count="8">
        <item h="1" x="0"/>
        <item h="1" sd="0" x="1"/>
        <item h="1" sd="0" x="3"/>
        <item h="1" sd="0" x="2"/>
        <item sd="0" x="5"/>
        <item h="1" sd="0" x="4"/>
        <item h="1" sd="0" m="1" x="7"/>
        <item h="1" sd="0" m="1" x="6"/>
      </items>
    </pivotField>
    <pivotField compact="0" outline="0" showAll="0">
      <items count="16">
        <item x="2"/>
        <item sd="0" m="1" x="14"/>
        <item sd="0" x="0"/>
        <item sd="0" m="1" x="11"/>
        <item sd="0" x="7"/>
        <item sd="0" x="6"/>
        <item h="1" sd="0" x="8"/>
        <item sd="0" m="1" x="13"/>
        <item h="1" sd="0" m="1" x="12"/>
        <item h="1" x="3"/>
        <item h="1" x="4"/>
        <item h="1" x="1"/>
        <item h="1" x="5"/>
        <item h="1" x="9"/>
        <item h="1" x="10"/>
        <item t="default" sd="0"/>
      </items>
    </pivotField>
    <pivotField axis="axisRow" compact="0" outline="0" showAll="0" sortType="descending">
      <items count="70">
        <item sd="0" x="38"/>
        <item sd="0" m="1" x="68"/>
        <item sd="0" m="1" x="46"/>
        <item sd="0" x="6"/>
        <item sd="0" m="1" x="44"/>
        <item sd="0" x="37"/>
        <item sd="0" x="29"/>
        <item sd="0" x="30"/>
        <item sd="0" m="1" x="64"/>
        <item sd="0" x="34"/>
        <item sd="0" m="1" x="45"/>
        <item sd="0" m="1" x="47"/>
        <item sd="0" m="1" x="55"/>
        <item sd="0" x="31"/>
        <item sd="0" x="0"/>
        <item sd="0" m="1" x="49"/>
        <item sd="0" x="12"/>
        <item sd="0" x="14"/>
        <item sd="0" x="13"/>
        <item sd="0" m="1" x="56"/>
        <item sd="0" m="1" x="62"/>
        <item sd="0" m="1" x="61"/>
        <item sd="0" m="1" x="53"/>
        <item sd="0" m="1" x="52"/>
        <item sd="0" m="1" x="54"/>
        <item sd="0" m="1" x="51"/>
        <item sd="0" x="1"/>
        <item sd="0" m="1" x="43"/>
        <item sd="0" m="1" x="63"/>
        <item sd="0" m="1" x="67"/>
        <item sd="0" m="1" x="57"/>
        <item sd="0" x="16"/>
        <item sd="0" m="1" x="58"/>
        <item sd="0" x="25"/>
        <item sd="0" m="1" x="65"/>
        <item sd="0" x="19"/>
        <item sd="0" m="1" x="50"/>
        <item sd="0" m="1" x="60"/>
        <item sd="0" x="36"/>
        <item sd="0" m="1" x="48"/>
        <item sd="0" m="1" x="59"/>
        <item sd="0" x="9"/>
        <item sd="0" x="22"/>
        <item sd="0" m="1" x="66"/>
        <item sd="0" x="7"/>
        <item sd="0" x="8"/>
        <item sd="0" x="10"/>
        <item sd="0" x="11"/>
        <item sd="0" x="15"/>
        <item sd="0" x="17"/>
        <item sd="0" x="18"/>
        <item sd="0" x="20"/>
        <item sd="0" x="21"/>
        <item sd="0" x="23"/>
        <item sd="0" x="24"/>
        <item sd="0" x="26"/>
        <item sd="0" x="27"/>
        <item sd="0" x="2"/>
        <item sd="0" x="32"/>
        <item sd="0" x="33"/>
        <item sd="0" x="4"/>
        <item sd="0" m="1" x="42"/>
        <item sd="0" x="3"/>
        <item sd="0" x="28"/>
        <item sd="0" x="35"/>
        <item sd="0" m="1" x="41"/>
        <item sd="0" x="5"/>
        <item sd="0" x="39"/>
        <item sd="0" m="1" x="40"/>
        <item t="default" sd="0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>
      <items count="319">
        <item x="69"/>
        <item x="66"/>
        <item x="87"/>
        <item x="135"/>
        <item x="196"/>
        <item x="143"/>
        <item x="184"/>
        <item x="211"/>
        <item x="193"/>
        <item x="153"/>
        <item x="166"/>
        <item x="210"/>
        <item x="174"/>
        <item x="204"/>
        <item m="1" x="313"/>
        <item x="55"/>
        <item x="34"/>
        <item x="20"/>
        <item x="19"/>
        <item x="91"/>
        <item x="43"/>
        <item m="1" x="265"/>
        <item m="1" x="262"/>
        <item m="1" x="269"/>
        <item m="1" x="272"/>
        <item m="1" x="268"/>
        <item m="1" x="270"/>
        <item m="1" x="263"/>
        <item m="1" x="261"/>
        <item m="1" x="266"/>
        <item m="1" x="274"/>
        <item m="1" x="258"/>
        <item m="1" x="264"/>
        <item x="200"/>
        <item x="247"/>
        <item x="82"/>
        <item x="182"/>
        <item x="22"/>
        <item x="23"/>
        <item x="21"/>
        <item x="81"/>
        <item m="1" x="301"/>
        <item x="169"/>
        <item x="142"/>
        <item x="206"/>
        <item x="139"/>
        <item x="41"/>
        <item x="173"/>
        <item x="188"/>
        <item x="209"/>
        <item x="90"/>
        <item x="163"/>
        <item m="1" x="302"/>
        <item m="1" x="300"/>
        <item x="161"/>
        <item x="183"/>
        <item x="165"/>
        <item x="168"/>
        <item x="144"/>
        <item x="176"/>
        <item x="145"/>
        <item x="36"/>
        <item x="175"/>
        <item x="160"/>
        <item x="95"/>
        <item x="59"/>
        <item x="140"/>
        <item x="92"/>
        <item x="167"/>
        <item m="1" x="316"/>
        <item x="137"/>
        <item x="156"/>
        <item x="89"/>
        <item x="164"/>
        <item x="71"/>
        <item x="152"/>
        <item x="149"/>
        <item x="189"/>
        <item x="88"/>
        <item x="198"/>
        <item x="213"/>
        <item x="146"/>
        <item m="1" x="253"/>
        <item x="73"/>
        <item x="202"/>
        <item x="159"/>
        <item m="1" x="254"/>
        <item x="47"/>
        <item x="162"/>
        <item x="190"/>
        <item x="201"/>
        <item x="208"/>
        <item x="150"/>
        <item x="187"/>
        <item x="207"/>
        <item x="136"/>
        <item x="158"/>
        <item x="172"/>
        <item x="32"/>
        <item x="39"/>
        <item x="179"/>
        <item x="212"/>
        <item m="1" x="305"/>
        <item x="194"/>
        <item m="1" x="310"/>
        <item m="1" x="287"/>
        <item m="1" x="286"/>
        <item m="1" x="317"/>
        <item x="192"/>
        <item x="216"/>
        <item x="195"/>
        <item x="178"/>
        <item x="214"/>
        <item x="141"/>
        <item x="191"/>
        <item x="203"/>
        <item x="83"/>
        <item x="84"/>
        <item m="1" x="303"/>
        <item x="86"/>
        <item x="155"/>
        <item x="157"/>
        <item x="177"/>
        <item x="180"/>
        <item x="49"/>
        <item x="154"/>
        <item x="67"/>
        <item x="72"/>
        <item x="148"/>
        <item x="24"/>
        <item x="70"/>
        <item m="1" x="312"/>
        <item x="42"/>
        <item x="51"/>
        <item x="134"/>
        <item x="38"/>
        <item x="215"/>
        <item x="96"/>
        <item x="97"/>
        <item x="18"/>
        <item x="45"/>
        <item x="138"/>
        <item m="1" x="260"/>
        <item x="25"/>
        <item x="44"/>
        <item m="1" x="267"/>
        <item m="1" x="271"/>
        <item m="1" x="273"/>
        <item m="1" x="275"/>
        <item x="35"/>
        <item m="1" x="308"/>
        <item m="1" x="304"/>
        <item x="170"/>
        <item x="147"/>
        <item x="33"/>
        <item m="1" x="311"/>
        <item x="53"/>
        <item x="151"/>
        <item x="58"/>
        <item x="52"/>
        <item m="1" x="315"/>
        <item x="64"/>
        <item x="37"/>
        <item x="56"/>
        <item x="57"/>
        <item x="54"/>
        <item x="62"/>
        <item m="1" x="283"/>
        <item m="1" x="295"/>
        <item m="1" x="296"/>
        <item m="1" x="298"/>
        <item m="1" x="297"/>
        <item m="1" x="299"/>
        <item x="61"/>
        <item m="1" x="314"/>
        <item m="1" x="259"/>
        <item x="118"/>
        <item x="63"/>
        <item x="65"/>
        <item x="60"/>
        <item x="48"/>
        <item x="94"/>
        <item x="93"/>
        <item x="199"/>
        <item x="85"/>
        <item x="197"/>
        <item x="181"/>
        <item x="185"/>
        <item m="1" x="294"/>
        <item x="186"/>
        <item m="1" x="255"/>
        <item x="68"/>
        <item x="171"/>
        <item m="1" x="256"/>
        <item x="218"/>
        <item x="219"/>
        <item x="220"/>
        <item m="1" x="288"/>
        <item m="1" x="289"/>
        <item m="1" x="290"/>
        <item m="1" x="257"/>
        <item m="1" x="276"/>
        <item m="1" x="279"/>
        <item x="27"/>
        <item x="28"/>
        <item m="1" x="309"/>
        <item m="1" x="307"/>
        <item x="222"/>
        <item x="74"/>
        <item m="1" x="291"/>
        <item x="223"/>
        <item m="1" x="292"/>
        <item x="121"/>
        <item x="122"/>
        <item x="123"/>
        <item m="1" x="277"/>
        <item m="1" x="278"/>
        <item x="124"/>
        <item x="125"/>
        <item x="126"/>
        <item x="127"/>
        <item x="128"/>
        <item x="129"/>
        <item x="130"/>
        <item x="132"/>
        <item x="133"/>
        <item m="1" x="293"/>
        <item m="1" x="306"/>
        <item x="30"/>
        <item x="248"/>
        <item x="249"/>
        <item m="1" x="284"/>
        <item m="1" x="285"/>
        <item x="109"/>
        <item x="110"/>
        <item x="111"/>
        <item x="112"/>
        <item x="113"/>
        <item x="114"/>
        <item x="115"/>
        <item x="116"/>
        <item x="117"/>
        <item x="119"/>
        <item x="120"/>
        <item m="1" x="280"/>
        <item m="1" x="281"/>
        <item m="1" x="282"/>
        <item x="31"/>
        <item x="205"/>
        <item m="1" x="250"/>
        <item x="225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75"/>
        <item x="26"/>
        <item m="1" x="25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31"/>
        <item m="1" x="251"/>
        <item x="29"/>
        <item x="40"/>
        <item x="46"/>
        <item x="50"/>
        <item x="217"/>
        <item x="221"/>
        <item x="76"/>
        <item x="77"/>
        <item x="78"/>
        <item x="79"/>
        <item x="80"/>
        <item x="224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t="default"/>
      </items>
    </pivotField>
    <pivotField compact="0" outline="0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dataField="1" compact="0" outline="0" showAll="0"/>
    <pivotField compact="0" outline="0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axis="axisPage" compact="0" outline="0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1">
    <field x="3"/>
  </rowFields>
  <rowItems count="8">
    <i>
      <x v="38"/>
    </i>
    <i>
      <x v="9"/>
    </i>
    <i>
      <x v="51"/>
    </i>
    <i>
      <x v="6"/>
    </i>
    <i>
      <x v="57"/>
    </i>
    <i>
      <x v="66"/>
    </i>
    <i>
      <x v="64"/>
    </i>
    <i t="grand">
      <x/>
    </i>
  </rowItems>
  <colItems count="1">
    <i/>
  </colItems>
  <pageFields count="3">
    <pageField fld="0" hier="-1"/>
    <pageField fld="8" hier="-1"/>
    <pageField fld="1" hier="-1"/>
  </pageFields>
  <dataFields count="1">
    <dataField name="Suma de Valor" fld="6" baseField="0" baseItem="0" numFmtId="3"/>
  </dataFields>
  <formats count="19">
    <format dxfId="245">
      <pivotArea outline="0" collapsedLevelsAreSubtotals="1" fieldPosition="0"/>
    </format>
    <format dxfId="246">
      <pivotArea type="all" dataOnly="0" outline="0" fieldPosition="0"/>
    </format>
    <format dxfId="247">
      <pivotArea outline="0" collapsedLevelsAreSubtotals="1" fieldPosition="0"/>
    </format>
    <format dxfId="248">
      <pivotArea type="origin" dataOnly="0" labelOnly="1" outline="0" fieldPosition="0"/>
    </format>
    <format dxfId="249">
      <pivotArea type="topRight" dataOnly="0" labelOnly="1" outline="0" fieldPosition="0"/>
    </format>
    <format dxfId="250">
      <pivotArea field="2" type="button" dataOnly="0" labelOnly="1" outline="0"/>
    </format>
    <format dxfId="251">
      <pivotArea field="3" type="button" dataOnly="0" labelOnly="1" outline="0" axis="axisRow" fieldPosition="0"/>
    </format>
    <format dxfId="252">
      <pivotArea field="4" type="button" dataOnly="0" labelOnly="1" outline="0"/>
    </format>
    <format dxfId="253">
      <pivotArea dataOnly="0" labelOnly="1" grandRow="1" outline="0" fieldPosition="0"/>
    </format>
    <format dxfId="254">
      <pivotArea dataOnly="0" labelOnly="1" grandCol="1" outline="0" fieldPosition="0"/>
    </format>
    <format dxfId="255">
      <pivotArea type="all" dataOnly="0" outline="0" fieldPosition="0"/>
    </format>
    <format dxfId="256">
      <pivotArea outline="0" collapsedLevelsAreSubtotals="1" fieldPosition="0"/>
    </format>
    <format dxfId="257">
      <pivotArea type="origin" dataOnly="0" labelOnly="1" outline="0" fieldPosition="0"/>
    </format>
    <format dxfId="258">
      <pivotArea type="topRight" dataOnly="0" labelOnly="1" outline="0" fieldPosition="0"/>
    </format>
    <format dxfId="259">
      <pivotArea field="2" type="button" dataOnly="0" labelOnly="1" outline="0"/>
    </format>
    <format dxfId="260">
      <pivotArea field="3" type="button" dataOnly="0" labelOnly="1" outline="0" axis="axisRow" fieldPosition="0"/>
    </format>
    <format dxfId="261">
      <pivotArea field="4" type="button" dataOnly="0" labelOnly="1" outline="0"/>
    </format>
    <format dxfId="262">
      <pivotArea dataOnly="0" labelOnly="1" grandRow="1" outline="0" fieldPosition="0"/>
    </format>
    <format dxfId="263">
      <pivotArea dataOnly="0" labelOnly="1" grandCol="1" outline="0" fieldPosition="0"/>
    </format>
  </formats>
  <chartFormats count="2"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A572D5-A3ED-4833-BCDD-D732213B56EC}" name="TablaDinámica3" cacheId="35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 chartFormat="17" fieldListSortAscending="1">
  <location ref="A81:B91" firstHeaderRow="1" firstDataRow="1" firstDataCol="1" rowPageCount="3" colPageCount="1"/>
  <pivotFields count="9">
    <pivotField axis="axisPage" compact="0" outline="0" multipleItemSelectionAllowed="1" showAll="0">
      <items count="6">
        <item x="2"/>
        <item x="1"/>
        <item x="3"/>
        <item x="0"/>
        <item x="4"/>
        <item t="default"/>
      </items>
    </pivotField>
    <pivotField axis="axisPage" compact="0" outline="0" multipleItemSelectionAllowed="1" showAll="0" defaultSubtotal="0">
      <items count="8">
        <item h="1" x="0"/>
        <item h="1" sd="0" x="1"/>
        <item h="1" sd="0" x="3"/>
        <item sd="0" x="2"/>
        <item h="1" sd="0" x="5"/>
        <item h="1" sd="0" x="4"/>
        <item h="1" sd="0" m="1" x="7"/>
        <item h="1" sd="0" m="1" x="6"/>
      </items>
    </pivotField>
    <pivotField compact="0" outline="0" showAll="0">
      <items count="16">
        <item x="2"/>
        <item sd="0" m="1" x="14"/>
        <item sd="0" x="0"/>
        <item sd="0" m="1" x="11"/>
        <item sd="0" x="7"/>
        <item sd="0" x="6"/>
        <item h="1" sd="0" x="8"/>
        <item sd="0" m="1" x="13"/>
        <item h="1" sd="0" m="1" x="12"/>
        <item h="1" x="3"/>
        <item h="1" x="4"/>
        <item h="1" x="1"/>
        <item h="1" x="5"/>
        <item h="1" x="9"/>
        <item h="1" x="10"/>
        <item t="default" sd="0"/>
      </items>
    </pivotField>
    <pivotField axis="axisRow" compact="0" outline="0" showAll="0" sortType="descending">
      <items count="70">
        <item sd="0" x="38"/>
        <item sd="0" m="1" x="68"/>
        <item sd="0" m="1" x="46"/>
        <item sd="0" x="6"/>
        <item sd="0" m="1" x="44"/>
        <item sd="0" x="37"/>
        <item sd="0" x="29"/>
        <item sd="0" x="30"/>
        <item sd="0" m="1" x="64"/>
        <item sd="0" x="34"/>
        <item sd="0" m="1" x="45"/>
        <item sd="0" m="1" x="47"/>
        <item sd="0" m="1" x="55"/>
        <item sd="0" x="31"/>
        <item sd="0" x="0"/>
        <item sd="0" m="1" x="49"/>
        <item sd="0" x="12"/>
        <item sd="0" x="14"/>
        <item sd="0" x="13"/>
        <item sd="0" m="1" x="56"/>
        <item sd="0" m="1" x="62"/>
        <item sd="0" m="1" x="61"/>
        <item sd="0" m="1" x="53"/>
        <item sd="0" m="1" x="52"/>
        <item sd="0" m="1" x="54"/>
        <item sd="0" m="1" x="51"/>
        <item sd="0" x="1"/>
        <item sd="0" m="1" x="43"/>
        <item sd="0" m="1" x="63"/>
        <item sd="0" m="1" x="67"/>
        <item sd="0" m="1" x="57"/>
        <item sd="0" x="16"/>
        <item sd="0" m="1" x="58"/>
        <item sd="0" x="25"/>
        <item sd="0" m="1" x="65"/>
        <item sd="0" x="19"/>
        <item sd="0" m="1" x="50"/>
        <item sd="0" m="1" x="60"/>
        <item sd="0" x="36"/>
        <item sd="0" m="1" x="48"/>
        <item sd="0" m="1" x="59"/>
        <item sd="0" x="9"/>
        <item sd="0" x="22"/>
        <item sd="0" m="1" x="66"/>
        <item sd="0" x="7"/>
        <item sd="0" x="8"/>
        <item sd="0" x="10"/>
        <item sd="0" x="11"/>
        <item sd="0" x="15"/>
        <item sd="0" x="17"/>
        <item sd="0" x="18"/>
        <item sd="0" x="20"/>
        <item sd="0" x="21"/>
        <item sd="0" x="23"/>
        <item sd="0" x="24"/>
        <item sd="0" x="26"/>
        <item sd="0" x="27"/>
        <item sd="0" x="2"/>
        <item sd="0" x="32"/>
        <item sd="0" x="33"/>
        <item sd="0" x="4"/>
        <item sd="0" m="1" x="42"/>
        <item sd="0" x="3"/>
        <item sd="0" x="28"/>
        <item sd="0" x="35"/>
        <item sd="0" m="1" x="41"/>
        <item sd="0" x="5"/>
        <item sd="0" x="39"/>
        <item sd="0" m="1" x="40"/>
        <item t="default" sd="0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>
      <items count="319">
        <item x="69"/>
        <item x="66"/>
        <item x="87"/>
        <item x="135"/>
        <item x="196"/>
        <item x="143"/>
        <item x="184"/>
        <item x="211"/>
        <item x="193"/>
        <item x="153"/>
        <item x="166"/>
        <item x="210"/>
        <item x="174"/>
        <item x="204"/>
        <item m="1" x="313"/>
        <item x="55"/>
        <item x="34"/>
        <item x="20"/>
        <item x="19"/>
        <item x="91"/>
        <item x="43"/>
        <item m="1" x="265"/>
        <item m="1" x="262"/>
        <item m="1" x="269"/>
        <item m="1" x="272"/>
        <item m="1" x="268"/>
        <item m="1" x="270"/>
        <item m="1" x="263"/>
        <item m="1" x="261"/>
        <item m="1" x="266"/>
        <item m="1" x="274"/>
        <item m="1" x="258"/>
        <item m="1" x="264"/>
        <item x="200"/>
        <item x="247"/>
        <item x="82"/>
        <item x="182"/>
        <item x="22"/>
        <item x="23"/>
        <item x="21"/>
        <item x="81"/>
        <item m="1" x="301"/>
        <item x="169"/>
        <item x="142"/>
        <item x="206"/>
        <item x="139"/>
        <item x="41"/>
        <item x="173"/>
        <item x="188"/>
        <item x="209"/>
        <item x="90"/>
        <item x="163"/>
        <item m="1" x="302"/>
        <item m="1" x="300"/>
        <item x="161"/>
        <item x="183"/>
        <item x="165"/>
        <item x="168"/>
        <item x="144"/>
        <item x="176"/>
        <item x="145"/>
        <item x="36"/>
        <item x="175"/>
        <item x="160"/>
        <item x="95"/>
        <item x="59"/>
        <item x="140"/>
        <item x="92"/>
        <item x="167"/>
        <item m="1" x="316"/>
        <item x="137"/>
        <item x="156"/>
        <item x="89"/>
        <item x="164"/>
        <item x="71"/>
        <item x="152"/>
        <item x="149"/>
        <item x="189"/>
        <item x="88"/>
        <item x="198"/>
        <item x="213"/>
        <item x="146"/>
        <item m="1" x="253"/>
        <item x="73"/>
        <item x="202"/>
        <item x="159"/>
        <item m="1" x="254"/>
        <item x="47"/>
        <item x="162"/>
        <item x="190"/>
        <item x="201"/>
        <item x="208"/>
        <item x="150"/>
        <item x="187"/>
        <item x="207"/>
        <item x="136"/>
        <item x="158"/>
        <item x="172"/>
        <item x="32"/>
        <item x="39"/>
        <item x="179"/>
        <item x="212"/>
        <item m="1" x="305"/>
        <item x="194"/>
        <item m="1" x="310"/>
        <item m="1" x="287"/>
        <item m="1" x="286"/>
        <item m="1" x="317"/>
        <item x="192"/>
        <item x="216"/>
        <item x="195"/>
        <item x="178"/>
        <item x="214"/>
        <item x="141"/>
        <item x="191"/>
        <item x="203"/>
        <item x="83"/>
        <item x="84"/>
        <item m="1" x="303"/>
        <item x="86"/>
        <item x="155"/>
        <item x="157"/>
        <item x="177"/>
        <item x="180"/>
        <item x="49"/>
        <item x="154"/>
        <item x="67"/>
        <item x="72"/>
        <item x="148"/>
        <item x="24"/>
        <item x="70"/>
        <item m="1" x="312"/>
        <item x="42"/>
        <item x="51"/>
        <item x="134"/>
        <item x="38"/>
        <item x="215"/>
        <item x="96"/>
        <item x="97"/>
        <item x="18"/>
        <item x="45"/>
        <item x="138"/>
        <item m="1" x="260"/>
        <item x="25"/>
        <item x="44"/>
        <item m="1" x="267"/>
        <item m="1" x="271"/>
        <item m="1" x="273"/>
        <item m="1" x="275"/>
        <item x="35"/>
        <item m="1" x="308"/>
        <item m="1" x="304"/>
        <item x="170"/>
        <item x="147"/>
        <item x="33"/>
        <item m="1" x="311"/>
        <item x="53"/>
        <item x="151"/>
        <item x="58"/>
        <item x="52"/>
        <item m="1" x="315"/>
        <item x="64"/>
        <item x="37"/>
        <item x="56"/>
        <item x="57"/>
        <item x="54"/>
        <item x="62"/>
        <item m="1" x="283"/>
        <item m="1" x="295"/>
        <item m="1" x="296"/>
        <item m="1" x="298"/>
        <item m="1" x="297"/>
        <item m="1" x="299"/>
        <item x="61"/>
        <item m="1" x="314"/>
        <item m="1" x="259"/>
        <item x="118"/>
        <item x="63"/>
        <item x="65"/>
        <item x="60"/>
        <item x="48"/>
        <item x="94"/>
        <item x="93"/>
        <item x="199"/>
        <item x="85"/>
        <item x="197"/>
        <item x="181"/>
        <item x="185"/>
        <item m="1" x="294"/>
        <item x="186"/>
        <item m="1" x="255"/>
        <item x="68"/>
        <item x="171"/>
        <item m="1" x="256"/>
        <item x="218"/>
        <item x="219"/>
        <item x="220"/>
        <item m="1" x="288"/>
        <item m="1" x="289"/>
        <item m="1" x="290"/>
        <item m="1" x="257"/>
        <item m="1" x="276"/>
        <item m="1" x="279"/>
        <item x="27"/>
        <item x="28"/>
        <item m="1" x="309"/>
        <item m="1" x="307"/>
        <item x="222"/>
        <item x="74"/>
        <item m="1" x="291"/>
        <item x="223"/>
        <item m="1" x="292"/>
        <item x="121"/>
        <item x="122"/>
        <item x="123"/>
        <item m="1" x="277"/>
        <item m="1" x="278"/>
        <item x="124"/>
        <item x="125"/>
        <item x="126"/>
        <item x="127"/>
        <item x="128"/>
        <item x="129"/>
        <item x="130"/>
        <item x="132"/>
        <item x="133"/>
        <item m="1" x="293"/>
        <item m="1" x="306"/>
        <item x="30"/>
        <item x="248"/>
        <item x="249"/>
        <item m="1" x="284"/>
        <item m="1" x="285"/>
        <item x="109"/>
        <item x="110"/>
        <item x="111"/>
        <item x="112"/>
        <item x="113"/>
        <item x="114"/>
        <item x="115"/>
        <item x="116"/>
        <item x="117"/>
        <item x="119"/>
        <item x="120"/>
        <item m="1" x="280"/>
        <item m="1" x="281"/>
        <item m="1" x="282"/>
        <item x="31"/>
        <item x="205"/>
        <item m="1" x="250"/>
        <item x="225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75"/>
        <item x="26"/>
        <item m="1" x="25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31"/>
        <item m="1" x="251"/>
        <item x="29"/>
        <item x="40"/>
        <item x="46"/>
        <item x="50"/>
        <item x="217"/>
        <item x="221"/>
        <item x="76"/>
        <item x="77"/>
        <item x="78"/>
        <item x="79"/>
        <item x="80"/>
        <item x="224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t="default"/>
      </items>
    </pivotField>
    <pivotField compact="0" outline="0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dataField="1" compact="0" outline="0" showAll="0"/>
    <pivotField compact="0" outline="0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axis="axisPage" compact="0" outline="0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1">
    <field x="3"/>
  </rowFields>
  <rowItems count="10">
    <i>
      <x v="38"/>
    </i>
    <i>
      <x v="9"/>
    </i>
    <i>
      <x v="51"/>
    </i>
    <i>
      <x v="45"/>
    </i>
    <i>
      <x v="42"/>
    </i>
    <i>
      <x v="64"/>
    </i>
    <i>
      <x v="6"/>
    </i>
    <i>
      <x v="57"/>
    </i>
    <i>
      <x v="66"/>
    </i>
    <i t="grand">
      <x/>
    </i>
  </rowItems>
  <colItems count="1">
    <i/>
  </colItems>
  <pageFields count="3">
    <pageField fld="0" hier="-1"/>
    <pageField fld="8" hier="-1"/>
    <pageField fld="1" hier="-1"/>
  </pageFields>
  <dataFields count="1">
    <dataField name="Suma de Valor" fld="6" baseField="0" baseItem="0" numFmtId="3"/>
  </dataFields>
  <formats count="19">
    <format dxfId="226">
      <pivotArea outline="0" collapsedLevelsAreSubtotals="1" fieldPosition="0"/>
    </format>
    <format dxfId="227">
      <pivotArea type="all" dataOnly="0" outline="0" fieldPosition="0"/>
    </format>
    <format dxfId="228">
      <pivotArea outline="0" collapsedLevelsAreSubtotals="1" fieldPosition="0"/>
    </format>
    <format dxfId="229">
      <pivotArea type="origin" dataOnly="0" labelOnly="1" outline="0" fieldPosition="0"/>
    </format>
    <format dxfId="230">
      <pivotArea type="topRight" dataOnly="0" labelOnly="1" outline="0" fieldPosition="0"/>
    </format>
    <format dxfId="231">
      <pivotArea field="2" type="button" dataOnly="0" labelOnly="1" outline="0"/>
    </format>
    <format dxfId="232">
      <pivotArea field="3" type="button" dataOnly="0" labelOnly="1" outline="0" axis="axisRow" fieldPosition="0"/>
    </format>
    <format dxfId="233">
      <pivotArea field="4" type="button" dataOnly="0" labelOnly="1" outline="0"/>
    </format>
    <format dxfId="234">
      <pivotArea dataOnly="0" labelOnly="1" grandRow="1" outline="0" fieldPosition="0"/>
    </format>
    <format dxfId="235">
      <pivotArea dataOnly="0" labelOnly="1" grandCol="1" outline="0" fieldPosition="0"/>
    </format>
    <format dxfId="236">
      <pivotArea type="all" dataOnly="0" outline="0" fieldPosition="0"/>
    </format>
    <format dxfId="237">
      <pivotArea outline="0" collapsedLevelsAreSubtotals="1" fieldPosition="0"/>
    </format>
    <format dxfId="238">
      <pivotArea type="origin" dataOnly="0" labelOnly="1" outline="0" fieldPosition="0"/>
    </format>
    <format dxfId="239">
      <pivotArea type="topRight" dataOnly="0" labelOnly="1" outline="0" fieldPosition="0"/>
    </format>
    <format dxfId="240">
      <pivotArea field="2" type="button" dataOnly="0" labelOnly="1" outline="0"/>
    </format>
    <format dxfId="241">
      <pivotArea field="3" type="button" dataOnly="0" labelOnly="1" outline="0" axis="axisRow" fieldPosition="0"/>
    </format>
    <format dxfId="242">
      <pivotArea field="4" type="button" dataOnly="0" labelOnly="1" outline="0"/>
    </format>
    <format dxfId="243">
      <pivotArea dataOnly="0" labelOnly="1" grandRow="1" outline="0" fieldPosition="0"/>
    </format>
    <format dxfId="244">
      <pivotArea dataOnly="0" labelOnly="1" grandCol="1" outline="0" fieldPosition="0"/>
    </format>
  </formats>
  <chartFormats count="2"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7927806-BB0C-4DC0-9B93-02B4DDA938B0}" name="TablaDinámica5" cacheId="34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0" fieldListSortAscending="1">
  <location ref="A1:G15" firstHeaderRow="1" firstDataRow="2" firstDataCol="1"/>
  <pivotFields count="10">
    <pivotField showAll="0"/>
    <pivotField axis="axisCol" showAll="0" sortType="descending">
      <items count="6">
        <item x="3"/>
        <item x="2"/>
        <item x="1"/>
        <item x="0"/>
        <item x="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dataField="1" showAll="0">
      <items count="67">
        <item h="1" x="2"/>
        <item x="65"/>
        <item h="1" x="14"/>
        <item h="1" x="47"/>
        <item h="1" x="63"/>
        <item h="1" x="64"/>
        <item h="1" x="45"/>
        <item h="1" x="56"/>
        <item h="1" x="62"/>
        <item h="1" x="50"/>
        <item h="1" x="61"/>
        <item h="1" x="25"/>
        <item h="1" x="36"/>
        <item h="1" x="21"/>
        <item h="1" x="53"/>
        <item h="1" x="49"/>
        <item h="1" x="8"/>
        <item h="1" x="23"/>
        <item h="1" x="24"/>
        <item h="1" x="22"/>
        <item h="1" x="43"/>
        <item h="1" x="52"/>
        <item h="1" x="13"/>
        <item h="1" x="40"/>
        <item h="1" x="48"/>
        <item x="26"/>
        <item h="1" x="54"/>
        <item h="1" x="39"/>
        <item h="1" x="41"/>
        <item h="1" x="37"/>
        <item h="1" x="27"/>
        <item h="1" x="55"/>
        <item h="1" x="30"/>
        <item h="1" x="51"/>
        <item h="1" x="12"/>
        <item h="1" x="15"/>
        <item h="1" x="35"/>
        <item h="1" x="29"/>
        <item h="1" x="42"/>
        <item x="38"/>
        <item h="1" x="46"/>
        <item h="1" x="3"/>
        <item h="1" x="31"/>
        <item h="1" x="34"/>
        <item h="1" x="28"/>
        <item h="1" x="10"/>
        <item h="1" x="11"/>
        <item h="1" x="33"/>
        <item h="1" x="4"/>
        <item h="1" x="9"/>
        <item h="1" x="58"/>
        <item h="1" x="19"/>
        <item h="1" x="32"/>
        <item h="1" x="44"/>
        <item h="1" x="5"/>
        <item h="1" x="16"/>
        <item h="1" x="18"/>
        <item h="1" x="17"/>
        <item h="1" x="20"/>
        <item h="1" x="57"/>
        <item h="1" x="7"/>
        <item h="1" x="1"/>
        <item h="1" x="6"/>
        <item h="1" x="59"/>
        <item h="1" x="60"/>
        <item h="1" x="0"/>
        <item t="default"/>
      </items>
    </pivotField>
    <pivotField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1">
    <field x="9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1"/>
  </colFields>
  <colItems count="6">
    <i>
      <x v="3"/>
    </i>
    <i>
      <x v="2"/>
    </i>
    <i>
      <x v="1"/>
    </i>
    <i>
      <x v="4"/>
    </i>
    <i>
      <x/>
    </i>
    <i t="grand">
      <x/>
    </i>
  </colItems>
  <dataFields count="1">
    <dataField name="Suma de Valor" fld="7" baseField="0" baseItem="0" numFmtId="3"/>
  </dataFields>
  <formats count="1">
    <format dxfId="225">
      <pivotArea outline="0" collapsedLevelsAreSubtotals="1" fieldPosition="0"/>
    </format>
  </formats>
  <chartFormats count="17">
    <chartFormat chart="3" format="0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"/>
          </reference>
        </references>
      </pivotArea>
    </chartFormat>
    <chartFormat chart="3" format="1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2"/>
          </reference>
        </references>
      </pivotArea>
    </chartFormat>
    <chartFormat chart="3" format="2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3"/>
          </reference>
        </references>
      </pivotArea>
    </chartFormat>
    <chartFormat chart="3" format="3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4"/>
          </reference>
        </references>
      </pivotArea>
    </chartFormat>
    <chartFormat chart="3" format="4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5"/>
          </reference>
        </references>
      </pivotArea>
    </chartFormat>
    <chartFormat chart="3" format="5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6"/>
          </reference>
        </references>
      </pivotArea>
    </chartFormat>
    <chartFormat chart="3" format="6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7"/>
          </reference>
        </references>
      </pivotArea>
    </chartFormat>
    <chartFormat chart="3" format="7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8"/>
          </reference>
        </references>
      </pivotArea>
    </chartFormat>
    <chartFormat chart="3" format="8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9"/>
          </reference>
        </references>
      </pivotArea>
    </chartFormat>
    <chartFormat chart="3" format="9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0"/>
          </reference>
        </references>
      </pivotArea>
    </chartFormat>
    <chartFormat chart="3" format="10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1"/>
          </reference>
        </references>
      </pivotArea>
    </chartFormat>
    <chartFormat chart="3" format="11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2"/>
          </reference>
        </references>
      </pivotArea>
    </chartFormat>
    <chartFormat chart="3" format="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3" format="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9A201BE-F64E-44CC-93D1-C4E98E96CC97}" name="TablaDinámica23" cacheId="34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3" fieldListSortAscending="1">
  <location ref="A19:B25" firstHeaderRow="1" firstDataRow="1" firstDataCol="1"/>
  <pivotFields count="10">
    <pivotField showAll="0"/>
    <pivotField axis="axisRow" showAll="0" sortType="descending">
      <items count="6">
        <item x="3"/>
        <item x="2"/>
        <item x="1"/>
        <item x="0"/>
        <item x="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dataField="1" showAll="0"/>
    <pivotField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1">
    <field x="1"/>
  </rowFields>
  <rowItems count="6">
    <i>
      <x v="3"/>
    </i>
    <i>
      <x v="2"/>
    </i>
    <i>
      <x v="1"/>
    </i>
    <i>
      <x v="4"/>
    </i>
    <i>
      <x/>
    </i>
    <i t="grand">
      <x/>
    </i>
  </rowItems>
  <colItems count="1">
    <i/>
  </colItems>
  <dataFields count="1">
    <dataField name="Suma de Valor" fld="7" baseField="0" baseItem="0" numFmtId="3"/>
  </dataFields>
  <formats count="1">
    <format dxfId="224">
      <pivotArea outline="0" collapsedLevelsAreSubtotals="1" fieldPosition="0"/>
    </format>
  </formats>
  <chartFormats count="11">
    <chartFormat chart="3" format="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3" format="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17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17" format="2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17" format="3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17" format="4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17" format="5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3326FBE-6ACD-43D1-8053-D5F944CECCDB}" name="TablaDinámica4" cacheId="34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 fieldListSortAscending="1">
  <location ref="A3:O69" firstHeaderRow="1" firstDataRow="2" firstDataCol="2" rowPageCount="1" colPageCount="1"/>
  <pivotFields count="11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">
        <item x="4"/>
        <item x="1"/>
        <item x="2"/>
        <item x="3"/>
        <item h="1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>
      <items count="6">
        <item h="1" x="3"/>
        <item h="1" x="1"/>
        <item x="2"/>
        <item h="1" x="4"/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94">
        <item x="1"/>
        <item x="62"/>
        <item x="9"/>
        <item x="50"/>
        <item x="77"/>
        <item x="59"/>
        <item x="19"/>
        <item x="32"/>
        <item x="76"/>
        <item x="40"/>
        <item x="70"/>
        <item x="66"/>
        <item x="48"/>
        <item x="35"/>
        <item x="8"/>
        <item x="72"/>
        <item h="1" x="5"/>
        <item x="91"/>
        <item x="39"/>
        <item x="54"/>
        <item x="75"/>
        <item x="29"/>
        <item x="27"/>
        <item x="37"/>
        <item x="49"/>
        <item x="31"/>
        <item x="34"/>
        <item x="10"/>
        <item x="42"/>
        <item x="11"/>
        <item x="41"/>
        <item x="26"/>
        <item x="6"/>
        <item x="33"/>
        <item h="1" x="3"/>
        <item x="22"/>
        <item x="88"/>
        <item x="84"/>
        <item x="30"/>
        <item x="18"/>
        <item x="15"/>
        <item x="55"/>
        <item x="64"/>
        <item x="79"/>
        <item x="12"/>
        <item x="90"/>
        <item x="68"/>
        <item x="71"/>
        <item x="25"/>
        <item x="28"/>
        <item x="56"/>
        <item x="67"/>
        <item x="74"/>
        <item x="16"/>
        <item x="53"/>
        <item x="73"/>
        <item h="1" x="2"/>
        <item x="24"/>
        <item x="83"/>
        <item x="38"/>
        <item x="45"/>
        <item x="78"/>
        <item x="60"/>
        <item x="58"/>
        <item x="82"/>
        <item x="61"/>
        <item x="44"/>
        <item x="80"/>
        <item h="1" x="7"/>
        <item x="57"/>
        <item x="69"/>
        <item x="85"/>
        <item x="21"/>
        <item x="23"/>
        <item x="43"/>
        <item x="86"/>
        <item x="46"/>
        <item x="20"/>
        <item x="14"/>
        <item h="1" x="0"/>
        <item x="81"/>
        <item x="89"/>
        <item x="4"/>
        <item x="36"/>
        <item x="13"/>
        <item x="87"/>
        <item x="17"/>
        <item x="65"/>
        <item x="63"/>
        <item x="47"/>
        <item x="51"/>
        <item x="92"/>
        <item x="5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5"/>
  </rowFields>
  <rowItems count="65">
    <i>
      <x v="1"/>
      <x v="2"/>
    </i>
    <i r="1">
      <x v="4"/>
    </i>
    <i r="1">
      <x v="5"/>
    </i>
    <i r="1">
      <x v="7"/>
    </i>
    <i r="1">
      <x v="11"/>
    </i>
    <i r="1">
      <x v="12"/>
    </i>
    <i r="1">
      <x v="14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7"/>
    </i>
    <i r="1">
      <x v="29"/>
    </i>
    <i r="1">
      <x v="30"/>
    </i>
    <i r="1">
      <x v="31"/>
    </i>
    <i r="1">
      <x v="32"/>
    </i>
    <i r="1">
      <x v="33"/>
    </i>
    <i r="1">
      <x v="35"/>
    </i>
    <i r="1">
      <x v="36"/>
    </i>
    <i r="1">
      <x v="38"/>
    </i>
    <i r="1">
      <x v="39"/>
    </i>
    <i r="1">
      <x v="40"/>
    </i>
    <i r="1">
      <x v="41"/>
    </i>
    <i r="1">
      <x v="44"/>
    </i>
    <i r="1">
      <x v="45"/>
    </i>
    <i r="1">
      <x v="46"/>
    </i>
    <i r="1">
      <x v="47"/>
    </i>
    <i r="1">
      <x v="48"/>
    </i>
    <i r="1">
      <x v="50"/>
    </i>
    <i r="1">
      <x v="51"/>
    </i>
    <i r="1">
      <x v="54"/>
    </i>
    <i r="1">
      <x v="57"/>
    </i>
    <i r="1">
      <x v="65"/>
    </i>
    <i r="1">
      <x v="70"/>
    </i>
    <i r="1">
      <x v="73"/>
    </i>
    <i r="1">
      <x v="76"/>
    </i>
    <i r="1">
      <x v="78"/>
    </i>
    <i r="1">
      <x v="82"/>
    </i>
    <i r="1">
      <x v="83"/>
    </i>
    <i r="1">
      <x v="84"/>
    </i>
    <i r="1">
      <x v="87"/>
    </i>
    <i r="1">
      <x v="90"/>
    </i>
    <i r="1">
      <x v="91"/>
    </i>
    <i>
      <x v="2"/>
      <x v="8"/>
    </i>
    <i r="1">
      <x v="10"/>
    </i>
    <i r="1">
      <x v="13"/>
    </i>
    <i r="1">
      <x v="28"/>
    </i>
    <i r="1">
      <x v="42"/>
    </i>
    <i r="1">
      <x v="52"/>
    </i>
    <i r="1">
      <x v="53"/>
    </i>
    <i r="1">
      <x v="55"/>
    </i>
    <i r="1">
      <x v="59"/>
    </i>
    <i r="1">
      <x v="60"/>
    </i>
    <i r="1">
      <x v="61"/>
    </i>
    <i r="1">
      <x v="64"/>
    </i>
    <i r="1">
      <x v="66"/>
    </i>
    <i r="1">
      <x v="67"/>
    </i>
    <i r="1">
      <x v="71"/>
    </i>
    <i r="1">
      <x v="74"/>
    </i>
    <i r="1">
      <x v="75"/>
    </i>
    <i r="1">
      <x v="92"/>
    </i>
    <i t="grand">
      <x/>
    </i>
  </rowItems>
  <colFields count="1">
    <field x="10"/>
  </colFields>
  <col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pageFields count="1">
    <pageField fld="2" hier="-1"/>
  </pageFields>
  <dataFields count="1">
    <dataField name="Suma de Valor" fld="8" baseField="0" baseItem="0" numFmtId="3"/>
  </dataFields>
  <formats count="9">
    <format dxfId="215">
      <pivotArea dataOnly="0" labelOnly="1" outline="0" fieldPosition="0">
        <references count="2">
          <reference field="1" count="1" selected="0">
            <x v="1"/>
          </reference>
          <reference field="5" count="1">
            <x v="16"/>
          </reference>
        </references>
      </pivotArea>
    </format>
    <format dxfId="216">
      <pivotArea dataOnly="0" labelOnly="1" outline="0" fieldPosition="0">
        <references count="2">
          <reference field="1" count="1" selected="0">
            <x v="1"/>
          </reference>
          <reference field="5" count="1">
            <x v="56"/>
          </reference>
        </references>
      </pivotArea>
    </format>
    <format dxfId="217">
      <pivotArea dataOnly="0" labelOnly="1" outline="0" fieldPosition="0">
        <references count="2">
          <reference field="1" count="1" selected="0">
            <x v="4"/>
          </reference>
          <reference field="5" count="1">
            <x v="79"/>
          </reference>
        </references>
      </pivotArea>
    </format>
    <format dxfId="218">
      <pivotArea dataOnly="0" labelOnly="1" outline="0" fieldPosition="0">
        <references count="2">
          <reference field="1" count="1" selected="0">
            <x v="1"/>
          </reference>
          <reference field="5" count="1">
            <x v="34"/>
          </reference>
        </references>
      </pivotArea>
    </format>
    <format dxfId="219">
      <pivotArea dataOnly="0" labelOnly="1" outline="0" fieldPosition="0">
        <references count="2">
          <reference field="1" count="1" selected="0">
            <x v="4"/>
          </reference>
          <reference field="5" count="1">
            <x v="86"/>
          </reference>
        </references>
      </pivotArea>
    </format>
    <format dxfId="220">
      <pivotArea dataOnly="0" labelOnly="1" outline="0" fieldPosition="0">
        <references count="2">
          <reference field="1" count="1" selected="0">
            <x v="1"/>
          </reference>
          <reference field="5" count="1">
            <x v="68"/>
          </reference>
        </references>
      </pivotArea>
    </format>
    <format dxfId="221">
      <pivotArea outline="0" collapsedLevelsAreSubtotals="1" fieldPosition="0"/>
    </format>
    <format dxfId="222">
      <pivotArea dataOnly="0" labelOnly="1" outline="0" fieldPosition="0">
        <references count="2">
          <reference field="1" count="1" selected="0">
            <x v="1"/>
          </reference>
          <reference field="5" count="1">
            <x v="40"/>
          </reference>
        </references>
      </pivotArea>
    </format>
    <format dxfId="223">
      <pivotArea dataOnly="0" labelOnly="1" outline="0" fieldPosition="0">
        <references count="2">
          <reference field="1" count="1" selected="0">
            <x v="1"/>
          </reference>
          <reference field="5" count="1">
            <x v="12"/>
          </reference>
        </references>
      </pivotArea>
    </format>
  </formats>
  <conditionalFormats count="1">
    <conditionalFormat priority="1">
      <pivotAreas count="1">
        <pivotArea type="data" outline="0" collapsedLevelsAreSubtotals="1" fieldPosition="0">
          <references count="4">
            <reference field="4294967294" count="1" selected="0">
              <x v="0"/>
            </reference>
            <reference field="1" count="2" selected="0">
              <x v="1"/>
              <x v="2"/>
            </reference>
            <reference field="5" count="64" selected="0">
              <x v="2"/>
              <x v="4"/>
              <x v="5"/>
              <x v="7"/>
              <x v="8"/>
              <x v="10"/>
              <x v="11"/>
              <x v="12"/>
              <x v="13"/>
              <x v="14"/>
              <x v="18"/>
              <x v="19"/>
              <x v="20"/>
              <x v="21"/>
              <x v="22"/>
              <x v="23"/>
              <x v="24"/>
              <x v="27"/>
              <x v="28"/>
              <x v="29"/>
              <x v="30"/>
              <x v="31"/>
              <x v="32"/>
              <x v="33"/>
              <x v="35"/>
              <x v="36"/>
              <x v="38"/>
              <x v="39"/>
              <x v="40"/>
              <x v="41"/>
              <x v="42"/>
              <x v="44"/>
              <x v="45"/>
              <x v="46"/>
              <x v="47"/>
              <x v="48"/>
              <x v="50"/>
              <x v="51"/>
              <x v="52"/>
              <x v="53"/>
              <x v="54"/>
              <x v="55"/>
              <x v="57"/>
              <x v="59"/>
              <x v="60"/>
              <x v="61"/>
              <x v="64"/>
              <x v="65"/>
              <x v="66"/>
              <x v="67"/>
              <x v="70"/>
              <x v="71"/>
              <x v="73"/>
              <x v="74"/>
              <x v="75"/>
              <x v="76"/>
              <x v="78"/>
              <x v="82"/>
              <x v="83"/>
              <x v="84"/>
              <x v="87"/>
              <x v="90"/>
              <x v="91"/>
              <x v="92"/>
            </reference>
            <reference field="10" count="12" selected="0">
              <x v="1"/>
              <x v="2"/>
              <x v="3"/>
              <x v="4"/>
              <x v="5"/>
              <x v="6"/>
              <x v="7"/>
              <x v="8"/>
              <x v="9"/>
              <x v="10"/>
              <x v="11"/>
              <x v="12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C759E4-63E9-4FD9-BA65-173473948ECA}" name="TablaDinámica1" cacheId="35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 fieldListSortAscending="1">
  <location ref="A5:P71" firstHeaderRow="1" firstDataRow="2" firstDataCol="3" rowPageCount="1" colPageCount="1"/>
  <pivotFields count="9">
    <pivotField axis="axisPage" compact="0" outline="0" multipleItemSelectionAllowed="1" showAll="0">
      <items count="6">
        <item x="2"/>
        <item x="1"/>
        <item x="3"/>
        <item x="0"/>
        <item x="4"/>
        <item t="default"/>
      </items>
    </pivotField>
    <pivotField axis="axisRow" compact="0" outline="0" showAll="0" sortType="descending">
      <items count="9">
        <item x="0"/>
        <item x="1"/>
        <item x="3"/>
        <item x="2"/>
        <item x="5"/>
        <item x="4"/>
        <item m="1" x="7"/>
        <item m="1" x="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>
      <items count="16">
        <item x="2"/>
        <item sd="0" m="1" x="14"/>
        <item sd="0" x="0"/>
        <item sd="0" m="1" x="11"/>
        <item sd="0" x="7"/>
        <item sd="0" x="6"/>
        <item h="1" sd="0" x="8"/>
        <item sd="0" m="1" x="13"/>
        <item h="1" sd="0" m="1" x="12"/>
        <item h="1" x="3"/>
        <item h="1" x="4"/>
        <item h="1" x="1"/>
        <item h="1" x="5"/>
        <item h="1" x="9"/>
        <item h="1" x="10"/>
        <item t="default" sd="0"/>
      </items>
    </pivotField>
    <pivotField axis="axisRow" compact="0" outline="0" showAll="0" sortType="descending">
      <items count="70">
        <item sd="0" x="38"/>
        <item sd="0" m="1" x="68"/>
        <item sd="0" m="1" x="46"/>
        <item sd="0" x="6"/>
        <item sd="0" m="1" x="44"/>
        <item sd="0" x="37"/>
        <item sd="0" x="29"/>
        <item sd="0" x="30"/>
        <item sd="0" m="1" x="64"/>
        <item sd="0" x="34"/>
        <item sd="0" m="1" x="45"/>
        <item sd="0" m="1" x="47"/>
        <item sd="0" m="1" x="55"/>
        <item sd="0" x="31"/>
        <item sd="0" x="0"/>
        <item sd="0" m="1" x="49"/>
        <item sd="0" x="12"/>
        <item sd="0" x="14"/>
        <item sd="0" x="13"/>
        <item sd="0" m="1" x="56"/>
        <item sd="0" m="1" x="62"/>
        <item sd="0" m="1" x="61"/>
        <item sd="0" m="1" x="53"/>
        <item sd="0" m="1" x="52"/>
        <item sd="0" m="1" x="54"/>
        <item sd="0" m="1" x="51"/>
        <item sd="0" x="1"/>
        <item sd="0" m="1" x="43"/>
        <item sd="0" m="1" x="63"/>
        <item sd="0" m="1" x="67"/>
        <item sd="0" m="1" x="57"/>
        <item sd="0" x="16"/>
        <item sd="0" m="1" x="58"/>
        <item sd="0" x="25"/>
        <item sd="0" m="1" x="65"/>
        <item sd="0" x="19"/>
        <item sd="0" m="1" x="50"/>
        <item sd="0" m="1" x="60"/>
        <item sd="0" x="36"/>
        <item sd="0" m="1" x="48"/>
        <item sd="0" m="1" x="59"/>
        <item sd="0" x="9"/>
        <item sd="0" x="22"/>
        <item sd="0" m="1" x="66"/>
        <item sd="0" x="7"/>
        <item sd="0" x="8"/>
        <item sd="0" x="10"/>
        <item sd="0" x="11"/>
        <item sd="0" x="15"/>
        <item sd="0" x="17"/>
        <item sd="0" x="18"/>
        <item sd="0" x="20"/>
        <item sd="0" x="21"/>
        <item sd="0" x="23"/>
        <item sd="0" x="24"/>
        <item sd="0" x="26"/>
        <item sd="0" x="27"/>
        <item sd="0" x="2"/>
        <item sd="0" x="32"/>
        <item sd="0" x="33"/>
        <item sd="0" x="4"/>
        <item sd="0" m="1" x="42"/>
        <item sd="0" x="3"/>
        <item sd="0" x="28"/>
        <item sd="0" x="35"/>
        <item sd="0" m="1" x="41"/>
        <item sd="0" x="5"/>
        <item sd="0" x="39"/>
        <item sd="0" m="1" x="40"/>
        <item t="default" sd="0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Row" compact="0" outline="0" showAll="0">
      <items count="319">
        <item x="69"/>
        <item x="66"/>
        <item x="87"/>
        <item x="135"/>
        <item x="196"/>
        <item x="143"/>
        <item x="184"/>
        <item x="211"/>
        <item x="193"/>
        <item x="153"/>
        <item x="166"/>
        <item x="210"/>
        <item x="174"/>
        <item x="204"/>
        <item m="1" x="313"/>
        <item x="55"/>
        <item x="34"/>
        <item x="20"/>
        <item x="19"/>
        <item x="91"/>
        <item x="43"/>
        <item m="1" x="265"/>
        <item m="1" x="262"/>
        <item m="1" x="269"/>
        <item m="1" x="272"/>
        <item m="1" x="268"/>
        <item m="1" x="270"/>
        <item m="1" x="263"/>
        <item m="1" x="261"/>
        <item m="1" x="266"/>
        <item m="1" x="274"/>
        <item m="1" x="258"/>
        <item m="1" x="264"/>
        <item x="200"/>
        <item x="247"/>
        <item x="82"/>
        <item x="182"/>
        <item x="22"/>
        <item x="23"/>
        <item x="21"/>
        <item x="81"/>
        <item m="1" x="301"/>
        <item x="169"/>
        <item x="142"/>
        <item x="206"/>
        <item x="139"/>
        <item x="41"/>
        <item x="173"/>
        <item x="188"/>
        <item x="209"/>
        <item x="90"/>
        <item x="163"/>
        <item m="1" x="302"/>
        <item m="1" x="300"/>
        <item x="161"/>
        <item x="183"/>
        <item x="165"/>
        <item x="168"/>
        <item x="144"/>
        <item x="176"/>
        <item x="145"/>
        <item x="36"/>
        <item x="175"/>
        <item x="160"/>
        <item x="95"/>
        <item x="59"/>
        <item x="140"/>
        <item x="92"/>
        <item x="167"/>
        <item m="1" x="316"/>
        <item x="137"/>
        <item x="156"/>
        <item x="89"/>
        <item x="164"/>
        <item x="71"/>
        <item x="152"/>
        <item x="149"/>
        <item x="189"/>
        <item x="88"/>
        <item x="198"/>
        <item x="213"/>
        <item x="146"/>
        <item m="1" x="253"/>
        <item x="73"/>
        <item x="202"/>
        <item x="159"/>
        <item m="1" x="254"/>
        <item x="47"/>
        <item x="162"/>
        <item x="190"/>
        <item x="201"/>
        <item x="208"/>
        <item x="150"/>
        <item x="187"/>
        <item x="207"/>
        <item x="136"/>
        <item x="158"/>
        <item x="172"/>
        <item x="32"/>
        <item x="39"/>
        <item x="179"/>
        <item x="212"/>
        <item m="1" x="305"/>
        <item x="194"/>
        <item m="1" x="310"/>
        <item m="1" x="287"/>
        <item m="1" x="286"/>
        <item m="1" x="317"/>
        <item x="192"/>
        <item x="216"/>
        <item x="195"/>
        <item x="178"/>
        <item x="214"/>
        <item x="141"/>
        <item x="191"/>
        <item x="203"/>
        <item x="83"/>
        <item x="84"/>
        <item m="1" x="303"/>
        <item x="86"/>
        <item x="155"/>
        <item x="157"/>
        <item x="177"/>
        <item x="180"/>
        <item x="49"/>
        <item x="154"/>
        <item x="67"/>
        <item x="72"/>
        <item x="148"/>
        <item x="24"/>
        <item x="70"/>
        <item m="1" x="312"/>
        <item x="42"/>
        <item x="51"/>
        <item x="134"/>
        <item x="38"/>
        <item x="215"/>
        <item x="96"/>
        <item x="97"/>
        <item x="18"/>
        <item x="45"/>
        <item x="138"/>
        <item m="1" x="260"/>
        <item x="25"/>
        <item x="44"/>
        <item m="1" x="267"/>
        <item m="1" x="271"/>
        <item m="1" x="273"/>
        <item m="1" x="275"/>
        <item x="35"/>
        <item m="1" x="308"/>
        <item m="1" x="304"/>
        <item x="170"/>
        <item x="147"/>
        <item x="33"/>
        <item m="1" x="311"/>
        <item x="53"/>
        <item x="151"/>
        <item x="58"/>
        <item x="52"/>
        <item m="1" x="315"/>
        <item x="64"/>
        <item x="37"/>
        <item x="56"/>
        <item x="57"/>
        <item x="54"/>
        <item x="62"/>
        <item m="1" x="283"/>
        <item m="1" x="295"/>
        <item m="1" x="296"/>
        <item m="1" x="298"/>
        <item m="1" x="297"/>
        <item m="1" x="299"/>
        <item x="61"/>
        <item m="1" x="314"/>
        <item m="1" x="259"/>
        <item x="118"/>
        <item x="63"/>
        <item x="65"/>
        <item x="60"/>
        <item x="48"/>
        <item x="94"/>
        <item x="93"/>
        <item x="199"/>
        <item x="85"/>
        <item x="197"/>
        <item x="181"/>
        <item x="185"/>
        <item m="1" x="294"/>
        <item x="186"/>
        <item m="1" x="255"/>
        <item x="68"/>
        <item x="171"/>
        <item m="1" x="256"/>
        <item x="218"/>
        <item x="219"/>
        <item x="220"/>
        <item m="1" x="288"/>
        <item m="1" x="289"/>
        <item m="1" x="290"/>
        <item m="1" x="257"/>
        <item m="1" x="276"/>
        <item m="1" x="279"/>
        <item x="27"/>
        <item x="28"/>
        <item m="1" x="309"/>
        <item m="1" x="307"/>
        <item x="222"/>
        <item x="74"/>
        <item m="1" x="291"/>
        <item x="223"/>
        <item m="1" x="292"/>
        <item x="121"/>
        <item x="122"/>
        <item x="123"/>
        <item m="1" x="277"/>
        <item m="1" x="278"/>
        <item x="124"/>
        <item x="125"/>
        <item x="126"/>
        <item x="127"/>
        <item x="128"/>
        <item x="129"/>
        <item x="130"/>
        <item x="132"/>
        <item x="133"/>
        <item m="1" x="293"/>
        <item m="1" x="306"/>
        <item x="30"/>
        <item x="248"/>
        <item x="249"/>
        <item m="1" x="284"/>
        <item m="1" x="285"/>
        <item x="109"/>
        <item x="110"/>
        <item x="111"/>
        <item x="112"/>
        <item x="113"/>
        <item x="114"/>
        <item x="115"/>
        <item x="116"/>
        <item x="117"/>
        <item x="119"/>
        <item x="120"/>
        <item m="1" x="280"/>
        <item m="1" x="281"/>
        <item m="1" x="282"/>
        <item x="31"/>
        <item x="205"/>
        <item m="1" x="250"/>
        <item x="225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75"/>
        <item x="26"/>
        <item m="1" x="25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31"/>
        <item m="1" x="251"/>
        <item x="29"/>
        <item x="40"/>
        <item x="46"/>
        <item x="50"/>
        <item x="217"/>
        <item x="221"/>
        <item x="76"/>
        <item x="77"/>
        <item x="78"/>
        <item x="79"/>
        <item x="80"/>
        <item x="224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t="default"/>
      </items>
    </pivotField>
    <pivotField compact="0" outline="0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dataField="1" compact="0" outline="0" showAll="0"/>
    <pivotField compact="0" outline="0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axis="axisCol" compact="0" outline="0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3">
    <field x="1"/>
    <field x="3"/>
    <field x="4"/>
  </rowFields>
  <rowItems count="65">
    <i>
      <x v="3"/>
      <x v="38"/>
    </i>
    <i r="1">
      <x v="9"/>
    </i>
    <i r="1">
      <x v="51"/>
    </i>
    <i r="1">
      <x v="45"/>
    </i>
    <i r="1">
      <x v="42"/>
    </i>
    <i r="1">
      <x v="64"/>
    </i>
    <i r="1">
      <x v="6"/>
    </i>
    <i r="1">
      <x v="57"/>
    </i>
    <i r="1">
      <x v="66"/>
    </i>
    <i t="default">
      <x v="3"/>
    </i>
    <i>
      <x v="1"/>
      <x v="35"/>
    </i>
    <i r="1">
      <x v="38"/>
    </i>
    <i r="1">
      <x v="45"/>
    </i>
    <i r="1">
      <x v="51"/>
    </i>
    <i r="1">
      <x v="48"/>
    </i>
    <i r="1">
      <x v="17"/>
    </i>
    <i r="1">
      <x v="3"/>
    </i>
    <i r="1">
      <x v="6"/>
    </i>
    <i r="1">
      <x v="49"/>
    </i>
    <i r="1">
      <x v="33"/>
    </i>
    <i r="1">
      <x v="59"/>
    </i>
    <i r="1">
      <x v="54"/>
    </i>
    <i r="1">
      <x v="46"/>
    </i>
    <i r="1">
      <x v="16"/>
    </i>
    <i r="1">
      <x v="63"/>
    </i>
    <i r="1">
      <x v="44"/>
    </i>
    <i r="1">
      <x v="26"/>
    </i>
    <i r="1">
      <x v="52"/>
    </i>
    <i r="1">
      <x v="41"/>
    </i>
    <i r="1">
      <x v="55"/>
    </i>
    <i r="1">
      <x v="53"/>
    </i>
    <i r="1">
      <x v="47"/>
    </i>
    <i r="1">
      <x v="50"/>
    </i>
    <i r="1">
      <x v="58"/>
    </i>
    <i r="1">
      <x v="31"/>
    </i>
    <i r="1">
      <x v="56"/>
    </i>
    <i r="1">
      <x v="18"/>
    </i>
    <i r="1">
      <x v="66"/>
    </i>
    <i t="default">
      <x v="1"/>
    </i>
    <i>
      <x v="4"/>
      <x v="38"/>
    </i>
    <i r="1">
      <x v="9"/>
    </i>
    <i r="1">
      <x v="51"/>
    </i>
    <i r="1">
      <x v="6"/>
    </i>
    <i r="1">
      <x v="57"/>
    </i>
    <i r="1">
      <x v="66"/>
    </i>
    <i r="1">
      <x v="64"/>
    </i>
    <i t="default">
      <x v="4"/>
    </i>
    <i>
      <x/>
      <x v="38"/>
    </i>
    <i r="1">
      <x v="14"/>
    </i>
    <i r="1">
      <x v="66"/>
    </i>
    <i r="1">
      <x v="57"/>
    </i>
    <i r="1">
      <x v="26"/>
    </i>
    <i r="1">
      <x v="62"/>
    </i>
    <i r="1">
      <x v="60"/>
    </i>
    <i t="default">
      <x/>
    </i>
    <i>
      <x v="2"/>
      <x v="5"/>
    </i>
    <i r="1">
      <x/>
    </i>
    <i r="1">
      <x v="7"/>
    </i>
    <i r="1">
      <x v="13"/>
    </i>
    <i r="1">
      <x v="67"/>
    </i>
    <i t="default">
      <x v="2"/>
    </i>
    <i>
      <x v="5"/>
      <x v="38"/>
    </i>
    <i r="1">
      <x v="51"/>
    </i>
    <i t="default">
      <x v="5"/>
    </i>
    <i t="grand">
      <x/>
    </i>
  </rowItems>
  <colFields count="1">
    <field x="8"/>
  </colFields>
  <col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pageFields count="1">
    <pageField fld="0" hier="-1"/>
  </pageFields>
  <dataFields count="1">
    <dataField name="Suma de Valor" fld="6" baseField="0" baseItem="0" numFmtId="3"/>
  </dataFields>
  <formats count="19">
    <format dxfId="196">
      <pivotArea outline="0" collapsedLevelsAreSubtotals="1" fieldPosition="0"/>
    </format>
    <format dxfId="197">
      <pivotArea type="all" dataOnly="0" outline="0" fieldPosition="0"/>
    </format>
    <format dxfId="198">
      <pivotArea outline="0" collapsedLevelsAreSubtotals="1" fieldPosition="0"/>
    </format>
    <format dxfId="199">
      <pivotArea type="origin" dataOnly="0" labelOnly="1" outline="0" fieldPosition="0"/>
    </format>
    <format dxfId="200">
      <pivotArea type="topRight" dataOnly="0" labelOnly="1" outline="0" fieldPosition="0"/>
    </format>
    <format dxfId="201">
      <pivotArea field="2" type="button" dataOnly="0" labelOnly="1" outline="0"/>
    </format>
    <format dxfId="202">
      <pivotArea field="3" type="button" dataOnly="0" labelOnly="1" outline="0" axis="axisRow" fieldPosition="1"/>
    </format>
    <format dxfId="203">
      <pivotArea field="4" type="button" dataOnly="0" labelOnly="1" outline="0" axis="axisRow" fieldPosition="2"/>
    </format>
    <format dxfId="204">
      <pivotArea dataOnly="0" labelOnly="1" grandRow="1" outline="0" fieldPosition="0"/>
    </format>
    <format dxfId="205">
      <pivotArea dataOnly="0" labelOnly="1" grandCol="1" outline="0" fieldPosition="0"/>
    </format>
    <format dxfId="206">
      <pivotArea type="all" dataOnly="0" outline="0" fieldPosition="0"/>
    </format>
    <format dxfId="207">
      <pivotArea outline="0" collapsedLevelsAreSubtotals="1" fieldPosition="0"/>
    </format>
    <format dxfId="208">
      <pivotArea type="origin" dataOnly="0" labelOnly="1" outline="0" fieldPosition="0"/>
    </format>
    <format dxfId="209">
      <pivotArea type="topRight" dataOnly="0" labelOnly="1" outline="0" fieldPosition="0"/>
    </format>
    <format dxfId="210">
      <pivotArea field="2" type="button" dataOnly="0" labelOnly="1" outline="0"/>
    </format>
    <format dxfId="211">
      <pivotArea field="3" type="button" dataOnly="0" labelOnly="1" outline="0" axis="axisRow" fieldPosition="1"/>
    </format>
    <format dxfId="212">
      <pivotArea field="4" type="button" dataOnly="0" labelOnly="1" outline="0" axis="axisRow" fieldPosition="2"/>
    </format>
    <format dxfId="213">
      <pivotArea dataOnly="0" labelOnly="1" grandRow="1" outline="0" fieldPosition="0"/>
    </format>
    <format dxfId="214">
      <pivotArea dataOnly="0" labelOnly="1" grandCol="1" outline="0" fieldPosition="0"/>
    </format>
  </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B908B1C-F7ED-43F0-A097-96756F10DCE5}" name="Viajes_Movilización12" displayName="Viajes_Movilización12" ref="G1:G9" totalsRowShown="0" headerRowDxfId="195">
  <autoFilter ref="G1:G9" xr:uid="{1DC19E58-572F-40E0-9BB7-1B2ED18FD71F}"/>
  <tableColumns count="1">
    <tableColumn id="1" xr3:uid="{A9E466DF-50A4-4F21-A7D4-795227EDF2A6}" name="Viajes_Movilización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957526AD-5F80-4970-8E84-80236A5B1577}" name="Alojamiento_Alimentación13" displayName="Alojamiento_Alimentación13" ref="H1:H6" totalsRowShown="0" headerRowDxfId="194">
  <autoFilter ref="H1:H6" xr:uid="{8FB219EA-E06D-4EA0-9D2F-AE1345268D5A}"/>
  <tableColumns count="1">
    <tableColumn id="1" xr3:uid="{D602C6E6-FB85-46BA-89E9-8870F9DFB86D}" name="Alojamiento_Alimentació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C90DAF9A-359D-464D-B62E-C88D0B246E50}" name="Personal_Honorarios14" displayName="Personal_Honorarios14" ref="I1:I7" totalsRowShown="0" headerRowDxfId="193">
  <autoFilter ref="I1:I7" xr:uid="{B035D4F1-BB4C-4D41-8981-398CB43FAFBB}"/>
  <tableColumns count="1">
    <tableColumn id="1" xr3:uid="{AC5953F6-A8E1-4A0D-BFE8-5BE54DD2EAEA}" name="Personal_Honorario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BCF1D3CD-93D4-43D4-8FC9-6CAF9D81F5E5}" name="Equipos_Tecnología15" displayName="Equipos_Tecnología15" ref="J1:J8" totalsRowShown="0" headerRowDxfId="192">
  <autoFilter ref="J1:J8" xr:uid="{0138BEAE-178E-4290-B8A2-2F5DD09811C5}"/>
  <tableColumns count="1">
    <tableColumn id="1" xr3:uid="{0894879B-BA9F-49EB-BDF3-12CAE5425465}" name="Equipos_Tecnología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F8F0D082-7880-48B9-9F13-E9469BCE9715}" name="Oficina_ServiciosBásicos16" displayName="Oficina_ServiciosBásicos16" ref="K1:K7" totalsRowShown="0" headerRowDxfId="191">
  <autoFilter ref="K1:K7" xr:uid="{C2B7E9CB-08C1-472A-9841-839AD10ED02A}"/>
  <tableColumns count="1">
    <tableColumn id="1" xr3:uid="{DFF33B37-3CED-406D-A4A2-1B773A2A7C9F}" name="Oficina_ServiciosBásicos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2B5C22D4-ABB7-4D3C-81FC-72B3F51D708F}" name="Administración17" displayName="Administración17" ref="L1:L8" totalsRowShown="0" headerRowDxfId="190">
  <autoFilter ref="L1:L8" xr:uid="{42AFE4A8-5B6F-4495-97E0-098C9D291B2D}"/>
  <tableColumns count="1">
    <tableColumn id="1" xr3:uid="{884FBDAF-B252-4617-873A-F1215247183D}" name="Administración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B8CC644-9EDD-4BD0-BA7C-81966987DAB8}" name="GastosProyecto18" displayName="GastosProyecto18" ref="M1:M7" totalsRowShown="0" headerRowDxfId="189">
  <autoFilter ref="M1:M7" xr:uid="{7AA39701-4C0D-43BD-8DBF-80404AA5148D}"/>
  <tableColumns count="1">
    <tableColumn id="1" xr3:uid="{A0E375E9-0BDF-4A79-9EE7-B637357C5776}" name="GastosProyecto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63199BA1-4E19-4295-93D1-05CB83296E27}" name="Financieros19" displayName="Financieros19" ref="N1:N5" totalsRowShown="0" headerRowDxfId="188">
  <autoFilter ref="N1:N5" xr:uid="{75A7ADE3-9D0D-4B93-AA73-CA4809B2E09B}"/>
  <tableColumns count="1">
    <tableColumn id="1" xr3:uid="{762A0623-FD02-42C9-AEE3-8185D0C534F9}" name="Financieros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C9F76DE6-6FC6-4B01-BB10-09983A67EE2D}" name="Impuestos_Obligaciones20" displayName="Impuestos_Obligaciones20" ref="O1:O5" totalsRowShown="0" headerRowDxfId="187">
  <autoFilter ref="O1:O5" xr:uid="{84B42F2D-772E-45AD-B17C-1B071019B3B6}"/>
  <tableColumns count="1">
    <tableColumn id="1" xr3:uid="{B2272CDA-762A-4CCA-80E2-3029C66D42F7}" name="Impuestos_Obligaciones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BB2D0655-9CAB-434F-BE02-F6ADF0E68382}" name="OtrosGastos21" displayName="OtrosGastos21" ref="P1:P5" totalsRowShown="0" headerRowDxfId="186">
  <autoFilter ref="P1:P5" xr:uid="{D73926F8-3889-4B66-B227-323C8E93B65A}"/>
  <tableColumns count="1">
    <tableColumn id="1" xr3:uid="{CCC417B1-3759-4D14-B3AA-697362FB52C6}" name="OtrosGastos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DC19E58-572F-40E0-9BB7-1B2ED18FD71F}" name="Viajes" displayName="Viajes" ref="G1:G11" totalsRowShown="0" headerRowDxfId="185">
  <autoFilter ref="G1:G11" xr:uid="{1DC19E58-572F-40E0-9BB7-1B2ED18FD71F}"/>
  <tableColumns count="1">
    <tableColumn id="1" xr3:uid="{DC112300-86B8-4945-B348-71BBA5680A1F}" name="Viajes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FB219EA-E06D-4EA0-9D2F-AE1345268D5A}" name="Alojamiento" displayName="Alojamiento" ref="H1:H6" totalsRowShown="0" headerRowDxfId="184">
  <autoFilter ref="H1:H6" xr:uid="{8FB219EA-E06D-4EA0-9D2F-AE1345268D5A}"/>
  <tableColumns count="1">
    <tableColumn id="1" xr3:uid="{B6A1FD6B-E1BC-4776-AAEB-521600A330E0}" name="Alojamiento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035D4F1-BB4C-4D41-8981-398CB43FAFBB}" name="Personal" displayName="Personal" ref="I1:I12" totalsRowShown="0" headerRowDxfId="183">
  <autoFilter ref="I1:I12" xr:uid="{B035D4F1-BB4C-4D41-8981-398CB43FAFBB}"/>
  <tableColumns count="1">
    <tableColumn id="1" xr3:uid="{F4131E82-18B7-4A22-AA92-710EBFABA411}" name="Personal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138BEAE-178E-4290-B8A2-2F5DD09811C5}" name="Tecnología" displayName="Tecnología" ref="J1:J8" totalsRowShown="0" headerRowDxfId="182">
  <autoFilter ref="J1:J8" xr:uid="{0138BEAE-178E-4290-B8A2-2F5DD09811C5}"/>
  <tableColumns count="1">
    <tableColumn id="1" xr3:uid="{ACAA03C4-2832-4D2B-A29D-F4AA90A9F2BB}" name="Tecnología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2B7E9CB-08C1-472A-9841-839AD10ED02A}" name="ServiciosBásicos" displayName="ServiciosBásicos" ref="K1:K8" totalsRowShown="0" headerRowDxfId="181">
  <autoFilter ref="K1:K8" xr:uid="{C2B7E9CB-08C1-472A-9841-839AD10ED02A}"/>
  <tableColumns count="1">
    <tableColumn id="1" xr3:uid="{3A0F4B26-A975-41C0-9589-2E3A227FC5C8}" name="ServiciosBásico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2AFE4A8-5B6F-4495-97E0-098C9D291B2D}" name="Administración" displayName="Administración" ref="L1:L22" totalsRowShown="0" headerRowDxfId="180">
  <autoFilter ref="L1:L22" xr:uid="{42AFE4A8-5B6F-4495-97E0-098C9D291B2D}"/>
  <tableColumns count="1">
    <tableColumn id="1" xr3:uid="{8C707BC5-1A42-447B-A9AC-765C3F31D7CF}" name="Administración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AA39701-4C0D-43BD-8DBF-80404AA5148D}" name="GastosProyecto" displayName="GastosProyecto" ref="M1:M8" totalsRowShown="0" headerRowDxfId="179">
  <autoFilter ref="M1:M8" xr:uid="{7AA39701-4C0D-43BD-8DBF-80404AA5148D}"/>
  <tableColumns count="1">
    <tableColumn id="1" xr3:uid="{25371C7C-2AA9-4A20-8366-887C8ED550CD}" name="GastosProyecto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75A7ADE3-9D0D-4B93-AA73-CA4809B2E09B}" name="Financieros" displayName="Financieros" ref="N1:N6" totalsRowShown="0" headerRowDxfId="178">
  <autoFilter ref="N1:N6" xr:uid="{75A7ADE3-9D0D-4B93-AA73-CA4809B2E09B}"/>
  <tableColumns count="1">
    <tableColumn id="1" xr3:uid="{27EF4DAB-5AFF-4403-B0FC-DD715F6EB2FC}" name="Financieros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4B42F2D-772E-45AD-B17C-1B071019B3B6}" name="Impuestos_Obligaciones" displayName="Impuestos_Obligaciones" ref="O1:O6" totalsRowShown="0" headerRowDxfId="177">
  <autoFilter ref="O1:O6" xr:uid="{84B42F2D-772E-45AD-B17C-1B071019B3B6}"/>
  <tableColumns count="1">
    <tableColumn id="1" xr3:uid="{B1320FA5-D96B-4FE0-8C6F-64281AD38897}" name="Impuestos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D73926F8-3889-4B66-B227-323C8E93B65A}" name="OtrosGastos" displayName="OtrosGastos" ref="P1:P8" totalsRowShown="0" headerRowDxfId="176">
  <autoFilter ref="P1:P8" xr:uid="{D73926F8-3889-4B66-B227-323C8E93B65A}"/>
  <tableColumns count="1">
    <tableColumn id="1" xr3:uid="{F5A10F30-2593-434E-A471-38AD43F5D8C9}" name="OtrosGastos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E727CF3E-CBAC-40A2-BFB5-0F72CFAB1534}" name="CapEx" displayName="CapEx" ref="Q1:Q4" totalsRowShown="0" headerRowDxfId="175">
  <autoFilter ref="Q1:Q4" xr:uid="{E727CF3E-CBAC-40A2-BFB5-0F72CFAB1534}"/>
  <tableColumns count="1">
    <tableColumn id="1" xr3:uid="{285E6C4A-8C42-4360-A0B7-CF41F2DCD60A}" name="CapEx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449B179A-1546-451B-AAB1-E4D0E7E50986}" name="Comercial" displayName="Comercial" ref="R1:R6" totalsRowShown="0">
  <autoFilter ref="R1:R6" xr:uid="{449B179A-1546-451B-AAB1-E4D0E7E50986}"/>
  <tableColumns count="1">
    <tableColumn id="1" xr3:uid="{5755669E-82FB-4299-B94F-4DDDDCFF8E81}" name="Comercial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ECA0153B-6726-4E55-A458-9F25C6A0DD52}" name="Ingreso_Operacional" displayName="Ingreso_Operacional" ref="T1:T4" totalsRowShown="0">
  <autoFilter ref="T1:T4" xr:uid="{ECA0153B-6726-4E55-A458-9F25C6A0DD52}"/>
  <tableColumns count="1">
    <tableColumn id="1" xr3:uid="{BC9AB4FE-07C9-4222-869C-E7E1C9D7A19A}" name="Ingreso_Operacional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54E4097E-06BC-4FCB-8E81-642F8A2EEBAA}" name="GastoAdmin" displayName="GastoAdmin" ref="A6:S106" totalsRowShown="0" headerRowDxfId="174" dataDxfId="173">
  <autoFilter ref="A6:S106" xr:uid="{54E4097E-06BC-4FCB-8E81-642F8A2EEBAA}"/>
  <tableColumns count="19">
    <tableColumn id="1" xr3:uid="{FB478161-C261-46DE-A80F-F7A4420428BD}" name="#" dataDxfId="172"/>
    <tableColumn id="2" xr3:uid="{5CF34A82-9274-49FE-96ED-86167A97EF2D}" name="País" dataDxfId="171"/>
    <tableColumn id="19" xr3:uid="{EAD6F578-B07D-4080-9EB2-76A310685749}" name="Proceso" dataDxfId="170"/>
    <tableColumn id="3" xr3:uid="{0000B436-9283-48F0-87AC-849E7C1714EC}" name="Categoría Gasto" dataDxfId="169"/>
    <tableColumn id="4" xr3:uid="{498DB7F7-C954-4F4D-849B-151F0A2EFA0C}" name="Concepto" dataDxfId="168"/>
    <tableColumn id="5" xr3:uid="{85D55C41-CCA9-41B5-8A6F-093FFE982EF2}" name="Detalle del Gasto" dataDxfId="167"/>
    <tableColumn id="6" xr3:uid="{2DB491C8-7B6F-4C86-9BB7-147EB0272244}" name="Gasto USD" dataDxfId="166">
      <calculatedColumnFormula>+SUM(H7:S7)</calculatedColumnFormula>
    </tableColumn>
    <tableColumn id="7" xr3:uid="{97CBF74E-B5F0-4D57-9AE5-9FC5CAF9C685}" name="ene-26" dataDxfId="165"/>
    <tableColumn id="8" xr3:uid="{4930A974-43A2-4217-8105-06C045A57E11}" name="feb-26" dataDxfId="164"/>
    <tableColumn id="9" xr3:uid="{B7C8FF41-C0C7-4E6C-99E8-BF58B57BFD71}" name="mar-26" dataDxfId="163"/>
    <tableColumn id="10" xr3:uid="{0D826CC5-96FD-4003-A724-59E881995F92}" name="abr-26" dataDxfId="162"/>
    <tableColumn id="11" xr3:uid="{4734814D-4EE9-41DB-9DDB-89344219F8B8}" name="may-26" dataDxfId="161"/>
    <tableColumn id="12" xr3:uid="{B94AFCE6-E99E-43ED-8CCD-FAE52D72E2EC}" name="jun-26" dataDxfId="160"/>
    <tableColumn id="13" xr3:uid="{5728E48D-C4B9-477B-BE97-BDC6683E2AF8}" name="jul-26" dataDxfId="159"/>
    <tableColumn id="14" xr3:uid="{952637A1-A0BD-495E-8693-AE8AA8F40A42}" name="ago-26" dataDxfId="158"/>
    <tableColumn id="15" xr3:uid="{C7B09E6A-0875-4914-88AE-74651AA83652}" name="sept-26" dataDxfId="157"/>
    <tableColumn id="16" xr3:uid="{15A62AAC-8770-421A-ADD4-1FD92F6E7798}" name="oct-26" dataDxfId="156"/>
    <tableColumn id="17" xr3:uid="{ADD8BAE8-F155-4B2D-9905-AC73BB83B0BB}" name="nov-26" dataDxfId="155"/>
    <tableColumn id="18" xr3:uid="{CC623BFF-D2F9-46EA-AB42-722F846A0D11}" name="dic-26" dataDxfId="154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E69DBB4E-96ED-4C40-A733-4BB31CAF10CC}" name="GastoComercial" displayName="GastoComercial" ref="A6:S105" totalsRowShown="0" headerRowDxfId="153" dataDxfId="152">
  <autoFilter ref="A6:S105" xr:uid="{E69DBB4E-96ED-4C40-A733-4BB31CAF10CC}"/>
  <tableColumns count="19">
    <tableColumn id="1" xr3:uid="{F5F38B27-63C6-49FB-A33B-E7FFFE7520F4}" name="#" dataDxfId="151"/>
    <tableColumn id="2" xr3:uid="{770C7F4D-53EC-4D76-BF94-BE28C3389418}" name="País" dataDxfId="150"/>
    <tableColumn id="19" xr3:uid="{943AD049-EEE7-4E89-B550-A440A3C22D36}" name="Proceso" dataDxfId="149"/>
    <tableColumn id="3" xr3:uid="{33F95C58-7FB2-46CF-B389-0A1E37B74EF0}" name="Categoría Gasto" dataDxfId="148"/>
    <tableColumn id="4" xr3:uid="{13B77476-8066-429D-A123-C901F299CB08}" name="Concepto" dataDxfId="147"/>
    <tableColumn id="5" xr3:uid="{7A0690D5-B6CE-4823-BF8C-883ABFED64EE}" name="Detalle del Gasto" dataDxfId="146"/>
    <tableColumn id="6" xr3:uid="{4D8D2863-7BA2-4E93-801C-33DF5F2C3128}" name="Gasto USD" dataDxfId="145">
      <calculatedColumnFormula>+SUM(H7:S7)</calculatedColumnFormula>
    </tableColumn>
    <tableColumn id="7" xr3:uid="{AA8E49CD-78F1-4E93-B819-F7929817AA36}" name="ene-26" dataDxfId="144"/>
    <tableColumn id="8" xr3:uid="{B2848201-E31C-4528-BB70-AC2EDBD8B69C}" name="feb-26" dataDxfId="143"/>
    <tableColumn id="9" xr3:uid="{D3B714DA-0822-4F94-97DF-C0FEC5279CDE}" name="mar-26" dataDxfId="142"/>
    <tableColumn id="10" xr3:uid="{468C5431-4EA5-4152-B8D4-7735305F66BF}" name="abr-26" dataDxfId="141"/>
    <tableColumn id="11" xr3:uid="{9ECA2480-EDD9-4FA8-9C81-47170336C618}" name="may-26" dataDxfId="140"/>
    <tableColumn id="12" xr3:uid="{12A2DEDF-4207-463B-8941-7F64ED3B8BDF}" name="jun-26" dataDxfId="139"/>
    <tableColumn id="13" xr3:uid="{1AF48A51-5564-418F-B13A-BA5A0F6CF037}" name="jul-26" dataDxfId="138"/>
    <tableColumn id="14" xr3:uid="{81D8B5D0-BA53-4BB6-ABBD-010C4B3EA82B}" name="ago-26" dataDxfId="137"/>
    <tableColumn id="15" xr3:uid="{112C905C-0B21-4A66-9CE3-73247560134A}" name="sept-26" dataDxfId="136"/>
    <tableColumn id="16" xr3:uid="{30DDC670-14EA-4DCF-8410-E2C761CC8806}" name="oct-26" dataDxfId="135"/>
    <tableColumn id="17" xr3:uid="{246D831F-9DA3-47C1-A8CD-BBCF9797BE30}" name="nov-26" dataDxfId="134"/>
    <tableColumn id="18" xr3:uid="{1FC2E760-25D3-4E48-92D2-7E2C1884AA89}" name="dic-26" dataDxfId="133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73823F0D-203F-41AB-838A-9F031957B53E}" name="GastoRRHH" displayName="GastoRRHH" ref="A6:S106" totalsRowShown="0" headerRowDxfId="132" dataDxfId="131">
  <autoFilter ref="A6:S106" xr:uid="{73823F0D-203F-41AB-838A-9F031957B53E}"/>
  <tableColumns count="19">
    <tableColumn id="1" xr3:uid="{F2ECECB1-8370-4589-8F61-76FAE135D26C}" name="#" dataDxfId="130"/>
    <tableColumn id="2" xr3:uid="{F1C995F7-75F1-4A5E-9FB0-F459FA784015}" name="País" dataDxfId="129"/>
    <tableColumn id="19" xr3:uid="{93BCAD98-44D1-4795-A822-AAADC49ADAEF}" name="Proceso" dataDxfId="128"/>
    <tableColumn id="3" xr3:uid="{C16C2B40-9808-4A85-9CA7-455AE548B33C}" name="Categoría Gasto" dataDxfId="127"/>
    <tableColumn id="4" xr3:uid="{F38FAD48-326A-461F-828E-5203384C1DCE}" name="Concepto" dataDxfId="126"/>
    <tableColumn id="5" xr3:uid="{11B267E2-93AB-415C-BC8D-BC26B5B6ECD3}" name="Detalle del Gasto" dataDxfId="125"/>
    <tableColumn id="6" xr3:uid="{1F4772D0-D37C-49A2-BEC4-F33DE1F99A64}" name="Gasto USD" dataDxfId="124">
      <calculatedColumnFormula>+SUM(H7:S7)</calculatedColumnFormula>
    </tableColumn>
    <tableColumn id="7" xr3:uid="{6086B371-3DBC-4501-830D-D4EEB2F12B9D}" name="ene-26" dataDxfId="123"/>
    <tableColumn id="8" xr3:uid="{1F117530-87FC-46E8-B307-CB0E93230905}" name="feb-26" dataDxfId="122"/>
    <tableColumn id="9" xr3:uid="{7C8D1D1D-B261-4F26-9372-C60BEF2051E6}" name="mar-26" dataDxfId="121"/>
    <tableColumn id="10" xr3:uid="{19F9AFF5-C299-4922-B103-284320754150}" name="abr-26" dataDxfId="120"/>
    <tableColumn id="11" xr3:uid="{305FB406-784B-4404-B02C-FEC261F8CCDB}" name="may-26" dataDxfId="119"/>
    <tableColumn id="12" xr3:uid="{1732A19C-E378-4090-96F0-0C51947D646E}" name="jun-26" dataDxfId="118"/>
    <tableColumn id="13" xr3:uid="{AF222431-B627-4681-8CC2-9960FCF33BE0}" name="jul-26" dataDxfId="117"/>
    <tableColumn id="14" xr3:uid="{2D3E9364-7E67-4B00-983F-0B7A13631ACF}" name="ago-26" dataDxfId="116"/>
    <tableColumn id="15" xr3:uid="{84823EC7-5EAF-47EA-9920-4130795AD9C5}" name="sept-26" dataDxfId="115"/>
    <tableColumn id="16" xr3:uid="{5BFFB345-9E6E-48E6-B7E7-E70BE11C3EF8}" name="oct-26" dataDxfId="114"/>
    <tableColumn id="17" xr3:uid="{45FA5A6C-E75A-4F82-9170-B5F27954DF3B}" name="nov-26" dataDxfId="113"/>
    <tableColumn id="18" xr3:uid="{36183B69-9D80-4070-8F16-1FF6F39D2C7E}" name="dic-26" dataDxfId="112"/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6FD44428-0E19-4820-ADA0-1D2110F6CAAF}" name="GastoSSTT" displayName="GastoSSTT" ref="A6:S106" totalsRowShown="0" headerRowDxfId="111" dataDxfId="110">
  <autoFilter ref="A6:S106" xr:uid="{6FD44428-0E19-4820-ADA0-1D2110F6CAAF}"/>
  <tableColumns count="19">
    <tableColumn id="1" xr3:uid="{93819CA4-E0B5-47E7-9BA6-91585714173D}" name="#" dataDxfId="109"/>
    <tableColumn id="2" xr3:uid="{4025A63B-F98F-4D90-9ED9-8250AE53561E}" name="País" dataDxfId="108"/>
    <tableColumn id="19" xr3:uid="{237389B9-1ECD-4791-B49C-8C74EA35ED62}" name="Proceso" dataDxfId="107"/>
    <tableColumn id="3" xr3:uid="{9357DD29-FEE4-4CB8-B84E-32697F0033D9}" name="Categoría Gasto" dataDxfId="106"/>
    <tableColumn id="4" xr3:uid="{3850D52D-EC39-4F28-B2FA-F4F5C0277342}" name="Concepto" dataDxfId="105"/>
    <tableColumn id="5" xr3:uid="{8CE01951-78E7-407B-AD0F-4036278EA2AF}" name="Detalle del Gasto" dataDxfId="104"/>
    <tableColumn id="6" xr3:uid="{0FDAAB56-BDAA-4BB3-A28E-35471C8283FE}" name="Gasto USD" dataDxfId="103">
      <calculatedColumnFormula>+SUM(H7:S7)</calculatedColumnFormula>
    </tableColumn>
    <tableColumn id="7" xr3:uid="{7A8C861A-16D0-45E0-BBD1-7D4698A59818}" name="ene-26" dataDxfId="102"/>
    <tableColumn id="8" xr3:uid="{572A0B12-AA70-405C-BE0A-36DDBEFE3EE1}" name="feb-26" dataDxfId="101"/>
    <tableColumn id="9" xr3:uid="{3455AB8E-542B-49BE-A14B-6D310758BF9E}" name="mar-26" dataDxfId="100"/>
    <tableColumn id="10" xr3:uid="{777512C4-A548-4B85-A6DF-4109CAFBBD19}" name="abr-26" dataDxfId="99"/>
    <tableColumn id="11" xr3:uid="{44D4D9AF-8562-4C5C-8076-841A1C9E67C4}" name="may-26" dataDxfId="98"/>
    <tableColumn id="12" xr3:uid="{3F89E7B4-EF26-4A96-9978-7E1E7C76B94A}" name="jun-26" dataDxfId="97"/>
    <tableColumn id="13" xr3:uid="{076C2D2F-4DF3-4CFE-91D2-7A890C594FDC}" name="jul-26" dataDxfId="96"/>
    <tableColumn id="14" xr3:uid="{D77263DD-D80F-4F76-B125-111D5F51AABE}" name="ago-26" dataDxfId="95"/>
    <tableColumn id="15" xr3:uid="{6C5840F8-67F2-4288-883D-7BDEB31B5EE0}" name="sept-26" dataDxfId="94"/>
    <tableColumn id="16" xr3:uid="{9298A938-4EBE-42D8-A499-4BB4F0D27163}" name="oct-26" dataDxfId="93"/>
    <tableColumn id="17" xr3:uid="{ECFB08A6-B5CC-4335-8A88-8AAEF58F1A36}" name="nov-26" dataDxfId="92"/>
    <tableColumn id="18" xr3:uid="{6322CFA9-5630-4453-987B-AC8D4FABBFE8}" name="dic-26" dataDxfId="91"/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03096F30-BA98-4CEE-924F-49E7C28B5CFF}" name="GastoGeomecanica" displayName="GastoGeomecanica" ref="A6:S105" totalsRowShown="0" headerRowDxfId="90" dataDxfId="89">
  <autoFilter ref="A6:S105" xr:uid="{03096F30-BA98-4CEE-924F-49E7C28B5CFF}"/>
  <tableColumns count="19">
    <tableColumn id="1" xr3:uid="{079D0D25-7F13-48B2-A0AE-9587134AED48}" name="#" dataDxfId="88"/>
    <tableColumn id="2" xr3:uid="{E4FFEE1C-7AE2-446D-A2D0-EF1C20BCAEBC}" name="País" dataDxfId="87"/>
    <tableColumn id="19" xr3:uid="{87E07BCD-08EE-42C1-A71A-AF9361E52A81}" name="Proceso" dataDxfId="86"/>
    <tableColumn id="3" xr3:uid="{F72A91C5-CCFC-4331-B6E0-18C4CD2B9270}" name="Categoría Gasto" dataDxfId="85"/>
    <tableColumn id="4" xr3:uid="{7C1E8721-4ACA-4821-BFA8-7AF7DD08F626}" name="Concepto" dataDxfId="84"/>
    <tableColumn id="5" xr3:uid="{7489A818-5EE1-43B0-A35F-E9AA4B350EBF}" name="Detalle del Gasto" dataDxfId="83"/>
    <tableColumn id="6" xr3:uid="{7592CFFE-8027-4E65-A305-A0158BEC3594}" name="Gasto USD" dataDxfId="82">
      <calculatedColumnFormula>+SUM(H7:S7)</calculatedColumnFormula>
    </tableColumn>
    <tableColumn id="7" xr3:uid="{A168CB36-3694-4828-8213-5574D70CEA14}" name="ene-26" dataDxfId="81"/>
    <tableColumn id="8" xr3:uid="{81B7BF77-B00E-4590-9974-75A3EAD0E4FE}" name="feb-26" dataDxfId="80"/>
    <tableColumn id="9" xr3:uid="{3F64DD2D-C10A-453B-872B-9393EEAF7F04}" name="mar-26" dataDxfId="79"/>
    <tableColumn id="10" xr3:uid="{0223E38C-606C-4742-84A2-84A3542351EA}" name="abr-26" dataDxfId="78"/>
    <tableColumn id="11" xr3:uid="{F40F4D5F-DBC9-4536-BEED-CEFC85513270}" name="may-26" dataDxfId="77"/>
    <tableColumn id="12" xr3:uid="{9C700D9B-7E9C-4B9E-8446-64A8C80B31DD}" name="jun-26" dataDxfId="76"/>
    <tableColumn id="13" xr3:uid="{FC2F86B6-2A24-4930-AA2E-9E45288C9B06}" name="jul-26" dataDxfId="75"/>
    <tableColumn id="14" xr3:uid="{16FA7E55-1191-4B08-8E95-027EACC0332E}" name="ago-26" dataDxfId="74"/>
    <tableColumn id="15" xr3:uid="{F4C85150-22E3-4956-8CEB-676B9481F9C5}" name="sept-26" dataDxfId="73"/>
    <tableColumn id="16" xr3:uid="{8ECB8A0E-FB9C-41A5-8354-56E926720FC1}" name="oct-26" dataDxfId="72"/>
    <tableColumn id="17" xr3:uid="{48B3206F-3D57-468C-B09F-DE5F83FFF0B4}" name="nov-26" dataDxfId="71"/>
    <tableColumn id="18" xr3:uid="{A60FB833-92B6-45EC-BFE8-14E89A4E90BF}" name="dic-26" dataDxfId="70"/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F49F1333-F98E-4709-935A-AAB1E8208DA6}" name="GastosVarios" displayName="GastosVarios" ref="A6:S106" totalsRowShown="0" headerRowDxfId="69" dataDxfId="68">
  <autoFilter ref="A6:S106" xr:uid="{F49F1333-F98E-4709-935A-AAB1E8208DA6}"/>
  <tableColumns count="19">
    <tableColumn id="1" xr3:uid="{A4A5BDD8-7078-4E22-90C3-E714C96DC7A1}" name="#" dataDxfId="67"/>
    <tableColumn id="2" xr3:uid="{73128D0D-59F2-4257-9B0F-EB973B49CC1B}" name="País" dataDxfId="66"/>
    <tableColumn id="3" xr3:uid="{B41D70E1-C3B3-4C64-9A2F-7B369286F42F}" name="Proceso" dataDxfId="65"/>
    <tableColumn id="4" xr3:uid="{24A73C0F-1D85-4CA9-8159-F38D9F5280E5}" name="Categoría Gasto" dataDxfId="64"/>
    <tableColumn id="5" xr3:uid="{3400AA7F-61E2-407C-B6AB-3190679B7BE5}" name="Concepto" dataDxfId="63"/>
    <tableColumn id="6" xr3:uid="{77AE2E36-DF8F-4152-A439-A045F1D649B5}" name="Detalle del Gasto" dataDxfId="62"/>
    <tableColumn id="7" xr3:uid="{D34EFD4F-1A13-469B-A41B-D760D51468CF}" name="Gasto USD" dataDxfId="61">
      <calculatedColumnFormula>+SUM(H7:S7)</calculatedColumnFormula>
    </tableColumn>
    <tableColumn id="8" xr3:uid="{687A736A-7B37-4439-839D-E5D732C94F14}" name="ene-26" dataDxfId="60"/>
    <tableColumn id="9" xr3:uid="{396D8F03-6A9E-454F-8C94-206E07D14905}" name="feb-26" dataDxfId="59"/>
    <tableColumn id="10" xr3:uid="{90F523E1-8BC1-442E-BA17-5FEFA3286445}" name="mar-26" dataDxfId="58"/>
    <tableColumn id="11" xr3:uid="{ADD45172-E974-48F3-9F69-0667411730B7}" name="abr-26" dataDxfId="57"/>
    <tableColumn id="12" xr3:uid="{AE2DC752-514B-4C25-BA21-2F49A90578FC}" name="may-26" dataDxfId="56"/>
    <tableColumn id="13" xr3:uid="{5EB00CFC-5EC4-4E16-8520-F50E227270E7}" name="jun-26" dataDxfId="55"/>
    <tableColumn id="14" xr3:uid="{A5A2CACC-18C7-449B-B97A-53E45AB4EBCA}" name="jul-26" dataDxfId="54"/>
    <tableColumn id="15" xr3:uid="{1BA524DA-8904-4249-9D6F-21B5620D0C39}" name="ago-26" dataDxfId="53"/>
    <tableColumn id="16" xr3:uid="{0EA233E5-E8B8-4D0D-BB71-FD7B9D6DD547}" name="sept-26" dataDxfId="52"/>
    <tableColumn id="17" xr3:uid="{1F292A2E-85EB-485B-A84E-3728B666185D}" name="oct-26" dataDxfId="51"/>
    <tableColumn id="18" xr3:uid="{03DA8F73-3FAF-42A6-9B94-8E454C70BDDF}" name="nov-26" dataDxfId="50"/>
    <tableColumn id="19" xr3:uid="{EF6BB127-B31A-49EF-B179-BB14B1959FCB}" name="dic-26" dataDxfId="49"/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26ED449A-DBEB-4C98-95D1-DDEE95178741}" name="GastoSueldos" displayName="GastoSueldos" ref="A1:S114" totalsRowShown="0" headerRowDxfId="48">
  <autoFilter ref="A1:S114" xr:uid="{26ED449A-DBEB-4C98-95D1-DDEE95178741}"/>
  <tableColumns count="19">
    <tableColumn id="1" xr3:uid="{DE5C35C4-6FC4-42C8-9E28-5641A51E4BBA}" name="#" dataDxfId="47"/>
    <tableColumn id="2" xr3:uid="{301E2DAC-3EEF-43F1-8606-3251C7A11A26}" name="País"/>
    <tableColumn id="19" xr3:uid="{0010B902-FE01-4462-A875-4ECCBDF0FB69}" name="Proceso"/>
    <tableColumn id="3" xr3:uid="{DA9F74F2-F4B5-456A-8C3F-4DEE7555F760}" name="Categoría Gasto"/>
    <tableColumn id="4" xr3:uid="{8D09AB05-F886-49C9-BC89-CB1937AFC562}" name="Concepto"/>
    <tableColumn id="5" xr3:uid="{E2604CEF-8E80-4E10-A3DD-5A5974AC23FA}" name="Detalle del Gasto"/>
    <tableColumn id="6" xr3:uid="{6CA60C3E-2950-4855-B24A-8D78C1E67523}" name="Gasto USD"/>
    <tableColumn id="7" xr3:uid="{3EF41474-F270-48CB-9C61-9DFDFCBD5ACE}" name="ene-26"/>
    <tableColumn id="8" xr3:uid="{393B24F2-0631-44AC-9C15-C9E4BF4DD774}" name="feb-26"/>
    <tableColumn id="9" xr3:uid="{6FE504F0-54FD-44B3-8B39-D0226606D16E}" name="mar-26"/>
    <tableColumn id="10" xr3:uid="{F6B05269-52D8-49AE-A0F3-5B21ADC9460E}" name="abr-26"/>
    <tableColumn id="11" xr3:uid="{EC9AF573-1640-42B0-B03D-A34782502E9B}" name="may-26"/>
    <tableColumn id="12" xr3:uid="{1BEEAF69-E4D2-46D7-A32D-3C1A9973A659}" name="jun-26"/>
    <tableColumn id="13" xr3:uid="{4E1037EE-2EA8-493C-99DD-15A211136932}" name="jul-26"/>
    <tableColumn id="14" xr3:uid="{8C2E3885-5569-4236-B0B5-6F899C6F8F5B}" name="ago-26"/>
    <tableColumn id="15" xr3:uid="{3D70C96D-905B-4335-AE53-A3C1F1DB4F99}" name="sept-26"/>
    <tableColumn id="16" xr3:uid="{C44F6498-321E-431C-B653-277D4170104B}" name="oct-26"/>
    <tableColumn id="17" xr3:uid="{5D904D4C-47C9-4A07-8275-BC507612E870}" name="nov-26"/>
    <tableColumn id="18" xr3:uid="{5939E8D0-3069-4960-86EF-663B40E251BB}" name="dic-26"/>
  </tableColumns>
  <tableStyleInfo name="TableStyleMedium2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3A314E70-6BCE-4706-8506-976F51A7C49B}" name="GastoSueldosExtras" displayName="GastoSueldosExtras" ref="A1:S11" totalsRowShown="0" headerRowDxfId="46" dataDxfId="45">
  <autoFilter ref="A1:S11" xr:uid="{3A314E70-6BCE-4706-8506-976F51A7C49B}"/>
  <tableColumns count="19">
    <tableColumn id="1" xr3:uid="{4B25CD82-ECFD-4BEF-A42B-165475FD88DB}" name="#" dataDxfId="44"/>
    <tableColumn id="2" xr3:uid="{4E0696BE-BAF7-41A7-B364-C06F0F17B43A}" name="País" dataDxfId="43"/>
    <tableColumn id="19" xr3:uid="{54B10656-0B88-4B58-99AB-8BA14A8D212C}" name="Proceso" dataDxfId="42"/>
    <tableColumn id="3" xr3:uid="{84B8CCDB-5798-4528-B585-324B183CBFDF}" name="Categoría Gasto" dataDxfId="41"/>
    <tableColumn id="4" xr3:uid="{AB425825-EA34-4FEC-8BDC-EFBB3F561885}" name="Concepto" dataDxfId="40"/>
    <tableColumn id="5" xr3:uid="{5FA6F0F9-406C-4781-A7DA-5A23A25D0EC3}" name="Detalle del Gasto" dataDxfId="39"/>
    <tableColumn id="6" xr3:uid="{BC0E63F9-43D9-479C-AC72-70B27051D1B3}" name="Gasto USD" dataDxfId="38"/>
    <tableColumn id="7" xr3:uid="{23588961-B8CF-4F44-A227-35C9BE1F6142}" name="ene-26" dataDxfId="37"/>
    <tableColumn id="8" xr3:uid="{D1A79EC4-56B3-473D-BFA1-6C6635966F6F}" name="feb-26" dataDxfId="36"/>
    <tableColumn id="9" xr3:uid="{1E0EAB04-B83F-47AE-8561-C4B1EC5F4672}" name="mar-26" dataDxfId="35"/>
    <tableColumn id="10" xr3:uid="{6FD723C8-E791-45F9-ABC6-134012A1FDCC}" name="abr-26" dataDxfId="34"/>
    <tableColumn id="11" xr3:uid="{D34B3E4C-D3C5-42AB-BA9F-B86BB6F0DAA2}" name="may-26" dataDxfId="33"/>
    <tableColumn id="12" xr3:uid="{027D9679-4AC1-4AA7-80B6-6549833A65F1}" name="jun-26" dataDxfId="32"/>
    <tableColumn id="13" xr3:uid="{E65DF1CE-95B7-4EA5-9DDC-D6FEC21AA7F3}" name="jul-26" dataDxfId="31"/>
    <tableColumn id="14" xr3:uid="{5A3A88FA-C128-49D5-BF9E-4FD98FDA2E29}" name="ago-26" dataDxfId="30"/>
    <tableColumn id="15" xr3:uid="{F7DACE73-A560-4747-A7BA-5CFDE5E7D22E}" name="sept-26" dataDxfId="29"/>
    <tableColumn id="16" xr3:uid="{51EC3CBE-FF52-44B6-9D15-F4421ACE1DC5}" name="oct-26" dataDxfId="28"/>
    <tableColumn id="17" xr3:uid="{3BCEAF9E-A9E7-41F5-AF27-5FDBA8DFB425}" name="nov-26" dataDxfId="27"/>
    <tableColumn id="18" xr3:uid="{A2D0FF6E-10CA-4D98-A595-76CA3113413A}" name="dic-26" dataDxfId="26"/>
  </tableColumns>
  <tableStyleInfo name="TableStyleMedium2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BE54A51C-BBA3-4D45-B027-5007AC7D9326}" name="GastoSueldos34" displayName="GastoSueldos34" ref="A1:T98" totalsRowShown="0" headerRowDxfId="25">
  <autoFilter ref="A1:T98" xr:uid="{26ED449A-DBEB-4C98-95D1-DDEE95178741}"/>
  <tableColumns count="20">
    <tableColumn id="1" xr3:uid="{06ABAA01-2C2F-4F53-97E3-F30EE5B5AF3B}" name="#" dataDxfId="24"/>
    <tableColumn id="2" xr3:uid="{A1BDF2A3-6EC5-4E2B-8C27-55DACF7AE702}" name="País"/>
    <tableColumn id="19" xr3:uid="{FF1A6A4D-0586-40C1-8B83-977F6E7E4837}" name="Proceso"/>
    <tableColumn id="3" xr3:uid="{E1B03007-C6AA-4FA2-A0C8-4E5CEDB922C5}" name="Categoría Gasto"/>
    <tableColumn id="4" xr3:uid="{3907EA64-A6C6-448D-AD66-5F068FB54F81}" name="Concepto"/>
    <tableColumn id="5" xr3:uid="{CAA1E21F-59D9-4008-B2AC-C1EA1CD058CE}" name="Detalle del Gasto"/>
    <tableColumn id="20" xr3:uid="{2C694C8D-BB75-4A8F-8A33-07A8C5C64ABF}" name="Rol II" dataDxfId="23">
      <calculatedColumnFormula>+_xlfn.XLOOKUP(GastoSueldos34[[#This Row],[Detalle del Gasto]],Personas_Cargos!C:C,Personas_Cargos!F:F,0,0,1)</calculatedColumnFormula>
    </tableColumn>
    <tableColumn id="6" xr3:uid="{731C6FC9-09BF-4654-BBF1-E0F913F4821F}" name="Gasto USD"/>
    <tableColumn id="7" xr3:uid="{99E22B89-896A-4EBA-BB04-E9951C0AE379}" name="ene-26"/>
    <tableColumn id="8" xr3:uid="{B4AA7409-79E5-4101-9B58-F1B71F7F15F7}" name="feb-26"/>
    <tableColumn id="9" xr3:uid="{559F599B-D22B-48B7-85C0-76450F9C1A14}" name="mar-26"/>
    <tableColumn id="10" xr3:uid="{9FB04E8B-A34D-4223-90A8-78DFD00142D8}" name="abr-26"/>
    <tableColumn id="11" xr3:uid="{06EEC6DB-54B2-4CA6-8FB7-E9F4919B4762}" name="may-26"/>
    <tableColumn id="12" xr3:uid="{582D8F87-5C93-48CC-9FEE-55A18E6CFB6F}" name="jun-26"/>
    <tableColumn id="13" xr3:uid="{3BCE56B2-58BB-49F1-8A1D-B12BCD01BAE9}" name="jul-26"/>
    <tableColumn id="14" xr3:uid="{FB7ECD60-EDC2-4692-B1FB-14F0C1C935DA}" name="ago-26"/>
    <tableColumn id="15" xr3:uid="{ED6BCE52-40EF-4A61-B2C2-AC95E8D9B47F}" name="sept-26"/>
    <tableColumn id="16" xr3:uid="{28F99B39-1138-48ED-BD8B-A131DB7D1388}" name="oct-26"/>
    <tableColumn id="17" xr3:uid="{3CD2930D-AB79-420B-B67E-A0DC7F6F482B}" name="nov-26"/>
    <tableColumn id="18" xr3:uid="{60DBD14C-2DE4-40DF-9C22-4D6F43C4605B}" name="dic-26"/>
  </tableColumns>
  <tableStyleInfo name="TableStyleMedium2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1281E761-0463-429F-87CC-021CE02D6AB3}" name="Tabla31" displayName="Tabla31" ref="A6:S106" totalsRowShown="0" headerRowDxfId="22" dataDxfId="21">
  <autoFilter ref="A6:S106" xr:uid="{1281E761-0463-429F-87CC-021CE02D6AB3}"/>
  <sortState xmlns:xlrd2="http://schemas.microsoft.com/office/spreadsheetml/2017/richdata2" ref="A7:S106">
    <sortCondition descending="1" ref="G6:G106"/>
  </sortState>
  <tableColumns count="19">
    <tableColumn id="1" xr3:uid="{3563292E-BDB1-4EEF-85D5-A4101A7AA1D2}" name="#" dataDxfId="20"/>
    <tableColumn id="2" xr3:uid="{BF0450A7-D485-4C7E-AB2C-50214C07630C}" name="País" dataDxfId="19"/>
    <tableColumn id="3" xr3:uid="{ABFD05CC-B532-4813-903B-85E4840398A4}" name="Proceso" dataDxfId="18"/>
    <tableColumn id="4" xr3:uid="{CEB00EF0-85C3-43D7-81E6-DF1FD5ACE613}" name="Categoría" dataDxfId="17"/>
    <tableColumn id="5" xr3:uid="{2A880732-CDCE-492E-9972-ED5E367ABD87}" name="Concepto" dataDxfId="16"/>
    <tableColumn id="6" xr3:uid="{64E9AB67-D0FE-4C7B-BAC9-F99B1CD1BB86}" name="Nombre Proyecto" dataDxfId="15"/>
    <tableColumn id="7" xr3:uid="{C51837FF-0E18-4CED-9FAF-8ECA7C9C69A7}" name="Ingresos USD" dataDxfId="14">
      <calculatedColumnFormula>+SUM(H7:S7)</calculatedColumnFormula>
    </tableColumn>
    <tableColumn id="8" xr3:uid="{9C7B2806-78D3-4421-A877-C2E398EFAE38}" name="ene-26" dataDxfId="13"/>
    <tableColumn id="9" xr3:uid="{38796C82-ACB4-434C-A1FF-D9231E901F5C}" name="feb-26" dataDxfId="12"/>
    <tableColumn id="10" xr3:uid="{6CA167E4-63EF-4380-B867-B7030A9B2EC4}" name="mar-26" dataDxfId="11"/>
    <tableColumn id="11" xr3:uid="{5753AC84-B018-473E-A0D3-5B756656604E}" name="abr-26" dataDxfId="10"/>
    <tableColumn id="12" xr3:uid="{93093B70-D5AF-4A80-B6B9-24F4952B0F68}" name="may-26" dataDxfId="9"/>
    <tableColumn id="13" xr3:uid="{1BB590BB-FC72-4F33-A9F1-4753A50F38DF}" name="jun-26" dataDxfId="8"/>
    <tableColumn id="14" xr3:uid="{46BA3B25-57C5-4695-8B2E-8F4DB3DAEA35}" name="jul-26" dataDxfId="7"/>
    <tableColumn id="15" xr3:uid="{CAFAC3CE-4124-4436-8AD5-E8F313AD390C}" name="ago-26" dataDxfId="6"/>
    <tableColumn id="16" xr3:uid="{F7CA55B9-4E87-4CC1-A0DF-F2F51AD8F694}" name="sept-26" dataDxfId="5"/>
    <tableColumn id="17" xr3:uid="{BBFD5328-294D-4D94-B22C-4825E384C269}" name="oct-26" dataDxfId="4"/>
    <tableColumn id="18" xr3:uid="{D722AD1A-3566-4CD7-9216-2E5B64B84E26}" name="nov-26" dataDxfId="3"/>
    <tableColumn id="19" xr3:uid="{AAEE259B-9D88-4962-9304-DA9ECBAC4D3F}" name="dic-26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10" Type="http://schemas.openxmlformats.org/officeDocument/2006/relationships/table" Target="../tables/table10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s://cambioseguro.com/articulos/dolar-podria-caer-2026-impacto-peru" TargetMode="External"/><Relationship Id="rId2" Type="http://schemas.openxmlformats.org/officeDocument/2006/relationships/hyperlink" Target="https://www.hacienda.cl/areas-de-trabajo/politicas-macroeconomicas/escenario-macroeconomico" TargetMode="External"/><Relationship Id="rId1" Type="http://schemas.openxmlformats.org/officeDocument/2006/relationships/hyperlink" Target="https://agenciabrasil.ebc.com.br/es/economia/noticia/2025-09/presupuesto-2026-estima-crecimiento-del-244-para-economia-de-brasil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8.xml"/><Relationship Id="rId13" Type="http://schemas.openxmlformats.org/officeDocument/2006/relationships/table" Target="../tables/table23.xml"/><Relationship Id="rId3" Type="http://schemas.openxmlformats.org/officeDocument/2006/relationships/table" Target="../tables/table13.xml"/><Relationship Id="rId7" Type="http://schemas.openxmlformats.org/officeDocument/2006/relationships/table" Target="../tables/table17.xml"/><Relationship Id="rId12" Type="http://schemas.openxmlformats.org/officeDocument/2006/relationships/table" Target="../tables/table22.xml"/><Relationship Id="rId2" Type="http://schemas.openxmlformats.org/officeDocument/2006/relationships/table" Target="../tables/table12.xml"/><Relationship Id="rId1" Type="http://schemas.openxmlformats.org/officeDocument/2006/relationships/table" Target="../tables/table11.xml"/><Relationship Id="rId6" Type="http://schemas.openxmlformats.org/officeDocument/2006/relationships/table" Target="../tables/table16.xml"/><Relationship Id="rId11" Type="http://schemas.openxmlformats.org/officeDocument/2006/relationships/table" Target="../tables/table21.xml"/><Relationship Id="rId5" Type="http://schemas.openxmlformats.org/officeDocument/2006/relationships/table" Target="../tables/table15.xml"/><Relationship Id="rId10" Type="http://schemas.openxmlformats.org/officeDocument/2006/relationships/table" Target="../tables/table20.xml"/><Relationship Id="rId4" Type="http://schemas.openxmlformats.org/officeDocument/2006/relationships/table" Target="../tables/table14.xml"/><Relationship Id="rId9" Type="http://schemas.openxmlformats.org/officeDocument/2006/relationships/table" Target="../tables/table19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4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5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6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7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8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9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0.xml"/><Relationship Id="rId1" Type="http://schemas.openxmlformats.org/officeDocument/2006/relationships/drawing" Target="../drawings/drawing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3.xml"/><Relationship Id="rId1" Type="http://schemas.openxmlformats.org/officeDocument/2006/relationships/printerSettings" Target="../printerSettings/printerSettings9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5.xml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6" Type="http://schemas.openxmlformats.org/officeDocument/2006/relationships/drawing" Target="../drawings/drawing3.xml"/><Relationship Id="rId5" Type="http://schemas.openxmlformats.org/officeDocument/2006/relationships/pivotTable" Target="../pivotTables/pivotTable7.xml"/><Relationship Id="rId4" Type="http://schemas.openxmlformats.org/officeDocument/2006/relationships/pivotTable" Target="../pivotTables/pivotTable6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ivotTable" Target="../pivotTables/pivotTable9.xml"/><Relationship Id="rId1" Type="http://schemas.openxmlformats.org/officeDocument/2006/relationships/pivotTable" Target="../pivotTables/pivotTable8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204CAF-DA46-46F4-8F74-46E60182DB85}">
  <sheetPr codeName="Hoja11">
    <tabColor rgb="FFFFC000"/>
  </sheetPr>
  <dimension ref="A1:P47"/>
  <sheetViews>
    <sheetView zoomScale="80" zoomScaleNormal="80" workbookViewId="0">
      <selection activeCell="J21" sqref="J21"/>
    </sheetView>
  </sheetViews>
  <sheetFormatPr defaultColWidth="8.7109375" defaultRowHeight="14.45"/>
  <cols>
    <col min="1" max="1" width="24.7109375" bestFit="1" customWidth="1"/>
    <col min="2" max="2" width="31.28515625" bestFit="1" customWidth="1"/>
    <col min="3" max="3" width="48.28515625" bestFit="1" customWidth="1"/>
    <col min="4" max="4" width="21.28515625" bestFit="1" customWidth="1"/>
    <col min="5" max="5" width="16.5703125" bestFit="1" customWidth="1"/>
    <col min="6" max="6" width="9.28515625"/>
    <col min="7" max="7" width="27.28515625" bestFit="1" customWidth="1"/>
    <col min="8" max="8" width="25.28515625" customWidth="1"/>
    <col min="9" max="9" width="20.5703125" customWidth="1"/>
    <col min="10" max="10" width="19.7109375" bestFit="1" customWidth="1"/>
    <col min="11" max="11" width="24.42578125" customWidth="1"/>
    <col min="12" max="12" width="24.7109375" bestFit="1" customWidth="1"/>
    <col min="13" max="13" width="24.28515625" bestFit="1" customWidth="1"/>
    <col min="14" max="14" width="19.7109375" bestFit="1" customWidth="1"/>
    <col min="15" max="15" width="23.7109375" customWidth="1"/>
    <col min="16" max="16" width="21.5703125" bestFit="1" customWidth="1"/>
    <col min="17" max="17" width="11.7109375" bestFit="1" customWidth="1"/>
  </cols>
  <sheetData>
    <row r="1" spans="1:16">
      <c r="A1" s="9" t="s">
        <v>0</v>
      </c>
      <c r="B1" s="9" t="s">
        <v>1</v>
      </c>
      <c r="C1" s="9" t="s">
        <v>2</v>
      </c>
      <c r="D1" s="9" t="s">
        <v>3</v>
      </c>
      <c r="E1" s="9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1" t="s">
        <v>13</v>
      </c>
      <c r="P1" s="1" t="s">
        <v>14</v>
      </c>
    </row>
    <row r="2" spans="1:16">
      <c r="A2" t="s">
        <v>15</v>
      </c>
      <c r="B2" t="s">
        <v>16</v>
      </c>
      <c r="C2" t="s">
        <v>17</v>
      </c>
      <c r="D2" t="s">
        <v>18</v>
      </c>
      <c r="E2" t="s">
        <v>19</v>
      </c>
      <c r="G2" s="13" t="s">
        <v>16</v>
      </c>
      <c r="H2" s="13" t="s">
        <v>20</v>
      </c>
      <c r="I2" t="s">
        <v>21</v>
      </c>
      <c r="J2" s="13" t="s">
        <v>22</v>
      </c>
      <c r="K2" t="s">
        <v>23</v>
      </c>
      <c r="L2" t="s">
        <v>24</v>
      </c>
      <c r="M2" t="s">
        <v>25</v>
      </c>
      <c r="N2" t="s">
        <v>26</v>
      </c>
      <c r="O2" t="s">
        <v>27</v>
      </c>
      <c r="P2" t="s">
        <v>28</v>
      </c>
    </row>
    <row r="3" spans="1:16">
      <c r="A3" t="s">
        <v>15</v>
      </c>
      <c r="B3" t="s">
        <v>29</v>
      </c>
      <c r="C3" t="s">
        <v>30</v>
      </c>
      <c r="D3" t="s">
        <v>18</v>
      </c>
      <c r="E3" t="s">
        <v>19</v>
      </c>
      <c r="G3" s="13" t="s">
        <v>29</v>
      </c>
      <c r="H3" s="13" t="s">
        <v>31</v>
      </c>
      <c r="I3" t="s">
        <v>32</v>
      </c>
      <c r="J3" s="13" t="s">
        <v>33</v>
      </c>
      <c r="K3" t="s">
        <v>34</v>
      </c>
      <c r="L3" t="s">
        <v>35</v>
      </c>
      <c r="M3" s="13" t="s">
        <v>36</v>
      </c>
      <c r="N3" t="s">
        <v>37</v>
      </c>
      <c r="O3" t="s">
        <v>38</v>
      </c>
      <c r="P3" t="s">
        <v>39</v>
      </c>
    </row>
    <row r="4" spans="1:16">
      <c r="A4" t="s">
        <v>15</v>
      </c>
      <c r="B4" t="s">
        <v>40</v>
      </c>
      <c r="C4" t="s">
        <v>41</v>
      </c>
      <c r="D4" t="s">
        <v>18</v>
      </c>
      <c r="E4" t="s">
        <v>42</v>
      </c>
      <c r="G4" t="s">
        <v>40</v>
      </c>
      <c r="H4" s="13" t="s">
        <v>43</v>
      </c>
      <c r="I4" t="s">
        <v>44</v>
      </c>
      <c r="J4" t="s">
        <v>45</v>
      </c>
      <c r="K4" t="s">
        <v>46</v>
      </c>
      <c r="L4" s="13" t="s">
        <v>47</v>
      </c>
      <c r="M4" t="s">
        <v>48</v>
      </c>
      <c r="N4" t="s">
        <v>49</v>
      </c>
      <c r="O4" t="s">
        <v>50</v>
      </c>
      <c r="P4" t="s">
        <v>51</v>
      </c>
    </row>
    <row r="5" spans="1:16">
      <c r="A5" t="s">
        <v>15</v>
      </c>
      <c r="B5" t="s">
        <v>52</v>
      </c>
      <c r="C5" t="s">
        <v>53</v>
      </c>
      <c r="D5" t="s">
        <v>18</v>
      </c>
      <c r="E5" t="s">
        <v>54</v>
      </c>
      <c r="G5" t="s">
        <v>52</v>
      </c>
      <c r="H5" s="13" t="s">
        <v>55</v>
      </c>
      <c r="I5" t="s">
        <v>56</v>
      </c>
      <c r="J5" t="s">
        <v>57</v>
      </c>
      <c r="K5" t="s">
        <v>58</v>
      </c>
      <c r="L5" t="s">
        <v>59</v>
      </c>
      <c r="M5" t="s">
        <v>60</v>
      </c>
      <c r="N5" t="s">
        <v>61</v>
      </c>
      <c r="O5" t="s">
        <v>61</v>
      </c>
      <c r="P5" t="s">
        <v>61</v>
      </c>
    </row>
    <row r="6" spans="1:16">
      <c r="A6" t="s">
        <v>15</v>
      </c>
      <c r="B6" t="s">
        <v>62</v>
      </c>
      <c r="C6" t="s">
        <v>63</v>
      </c>
      <c r="D6" t="s">
        <v>18</v>
      </c>
      <c r="E6" t="s">
        <v>42</v>
      </c>
      <c r="G6" s="13" t="s">
        <v>62</v>
      </c>
      <c r="H6" t="s">
        <v>61</v>
      </c>
      <c r="I6" t="s">
        <v>64</v>
      </c>
      <c r="J6" s="13" t="s">
        <v>65</v>
      </c>
      <c r="K6" t="s">
        <v>66</v>
      </c>
      <c r="L6" t="s">
        <v>67</v>
      </c>
      <c r="M6" t="s">
        <v>68</v>
      </c>
    </row>
    <row r="7" spans="1:16">
      <c r="A7" t="s">
        <v>15</v>
      </c>
      <c r="B7" t="s">
        <v>69</v>
      </c>
      <c r="C7" t="s">
        <v>70</v>
      </c>
      <c r="D7" t="s">
        <v>18</v>
      </c>
      <c r="E7" t="s">
        <v>71</v>
      </c>
      <c r="G7" s="13" t="s">
        <v>69</v>
      </c>
      <c r="I7" t="s">
        <v>61</v>
      </c>
      <c r="J7" t="s">
        <v>72</v>
      </c>
      <c r="K7" t="s">
        <v>61</v>
      </c>
      <c r="L7" t="s">
        <v>61</v>
      </c>
      <c r="M7" t="s">
        <v>61</v>
      </c>
    </row>
    <row r="8" spans="1:16">
      <c r="A8" t="s">
        <v>15</v>
      </c>
      <c r="B8" t="s">
        <v>73</v>
      </c>
      <c r="C8" t="s">
        <v>74</v>
      </c>
      <c r="D8" t="s">
        <v>18</v>
      </c>
      <c r="E8" t="s">
        <v>75</v>
      </c>
      <c r="G8" s="13" t="s">
        <v>73</v>
      </c>
      <c r="J8" t="s">
        <v>61</v>
      </c>
    </row>
    <row r="9" spans="1:16">
      <c r="A9" t="s">
        <v>76</v>
      </c>
      <c r="B9" t="s">
        <v>20</v>
      </c>
      <c r="C9" t="s">
        <v>77</v>
      </c>
      <c r="D9" t="s">
        <v>18</v>
      </c>
      <c r="E9" t="s">
        <v>78</v>
      </c>
      <c r="G9" t="s">
        <v>61</v>
      </c>
    </row>
    <row r="10" spans="1:16">
      <c r="A10" t="s">
        <v>76</v>
      </c>
      <c r="B10" t="s">
        <v>31</v>
      </c>
      <c r="C10" t="s">
        <v>79</v>
      </c>
      <c r="D10" t="s">
        <v>18</v>
      </c>
      <c r="E10" t="s">
        <v>42</v>
      </c>
    </row>
    <row r="11" spans="1:16">
      <c r="A11" t="s">
        <v>76</v>
      </c>
      <c r="B11" t="s">
        <v>43</v>
      </c>
      <c r="C11" t="s">
        <v>80</v>
      </c>
      <c r="D11" t="s">
        <v>81</v>
      </c>
      <c r="E11" t="s">
        <v>71</v>
      </c>
    </row>
    <row r="12" spans="1:16">
      <c r="A12" t="s">
        <v>76</v>
      </c>
      <c r="B12" t="s">
        <v>55</v>
      </c>
      <c r="C12" t="s">
        <v>82</v>
      </c>
      <c r="D12" t="s">
        <v>81</v>
      </c>
      <c r="E12" t="s">
        <v>71</v>
      </c>
    </row>
    <row r="13" spans="1:16">
      <c r="A13" s="10" t="s">
        <v>83</v>
      </c>
      <c r="B13" s="10" t="s">
        <v>21</v>
      </c>
      <c r="C13" s="10" t="s">
        <v>84</v>
      </c>
      <c r="D13" s="10" t="s">
        <v>18</v>
      </c>
      <c r="E13" s="10" t="s">
        <v>85</v>
      </c>
    </row>
    <row r="14" spans="1:16">
      <c r="A14" s="10" t="s">
        <v>83</v>
      </c>
      <c r="B14" s="10" t="s">
        <v>32</v>
      </c>
      <c r="C14" s="10" t="s">
        <v>86</v>
      </c>
      <c r="D14" s="10" t="s">
        <v>18</v>
      </c>
      <c r="E14" s="10" t="s">
        <v>85</v>
      </c>
    </row>
    <row r="15" spans="1:16">
      <c r="A15" s="10" t="s">
        <v>83</v>
      </c>
      <c r="B15" s="10" t="s">
        <v>44</v>
      </c>
      <c r="C15" s="10" t="s">
        <v>87</v>
      </c>
      <c r="D15" s="10" t="s">
        <v>18</v>
      </c>
      <c r="E15" s="10" t="s">
        <v>88</v>
      </c>
    </row>
    <row r="16" spans="1:16">
      <c r="A16" s="10" t="s">
        <v>83</v>
      </c>
      <c r="B16" s="10" t="s">
        <v>56</v>
      </c>
      <c r="C16" s="10" t="s">
        <v>89</v>
      </c>
      <c r="D16" s="10" t="s">
        <v>81</v>
      </c>
      <c r="E16" s="10" t="s">
        <v>85</v>
      </c>
    </row>
    <row r="17" spans="1:5">
      <c r="A17" s="10" t="s">
        <v>83</v>
      </c>
      <c r="B17" s="10" t="s">
        <v>64</v>
      </c>
      <c r="C17" s="10" t="s">
        <v>90</v>
      </c>
      <c r="D17" s="10" t="s">
        <v>81</v>
      </c>
      <c r="E17" s="10" t="s">
        <v>88</v>
      </c>
    </row>
    <row r="18" spans="1:5">
      <c r="A18" t="s">
        <v>91</v>
      </c>
      <c r="B18" t="s">
        <v>22</v>
      </c>
      <c r="C18" t="s">
        <v>92</v>
      </c>
      <c r="D18" t="s">
        <v>81</v>
      </c>
      <c r="E18" t="s">
        <v>93</v>
      </c>
    </row>
    <row r="19" spans="1:5">
      <c r="A19" t="s">
        <v>91</v>
      </c>
      <c r="B19" t="s">
        <v>33</v>
      </c>
      <c r="C19" t="s">
        <v>94</v>
      </c>
      <c r="D19" t="s">
        <v>18</v>
      </c>
      <c r="E19" t="s">
        <v>93</v>
      </c>
    </row>
    <row r="20" spans="1:5">
      <c r="A20" t="s">
        <v>91</v>
      </c>
      <c r="B20" t="s">
        <v>45</v>
      </c>
      <c r="C20" t="s">
        <v>95</v>
      </c>
      <c r="D20" t="s">
        <v>18</v>
      </c>
      <c r="E20" t="s">
        <v>96</v>
      </c>
    </row>
    <row r="21" spans="1:5">
      <c r="A21" t="s">
        <v>91</v>
      </c>
      <c r="B21" t="s">
        <v>57</v>
      </c>
      <c r="C21" t="s">
        <v>97</v>
      </c>
      <c r="D21" t="s">
        <v>81</v>
      </c>
      <c r="E21" t="s">
        <v>96</v>
      </c>
    </row>
    <row r="22" spans="1:5">
      <c r="A22" t="s">
        <v>91</v>
      </c>
      <c r="B22" t="s">
        <v>65</v>
      </c>
      <c r="C22" t="s">
        <v>98</v>
      </c>
      <c r="D22" t="s">
        <v>81</v>
      </c>
      <c r="E22" t="s">
        <v>96</v>
      </c>
    </row>
    <row r="23" spans="1:5">
      <c r="A23" t="s">
        <v>91</v>
      </c>
      <c r="B23" t="s">
        <v>72</v>
      </c>
      <c r="C23" t="s">
        <v>99</v>
      </c>
      <c r="D23" t="s">
        <v>81</v>
      </c>
      <c r="E23" t="s">
        <v>85</v>
      </c>
    </row>
    <row r="24" spans="1:5">
      <c r="A24" t="s">
        <v>100</v>
      </c>
      <c r="B24" t="s">
        <v>23</v>
      </c>
      <c r="C24" t="s">
        <v>101</v>
      </c>
      <c r="D24" t="s">
        <v>81</v>
      </c>
      <c r="E24" t="s">
        <v>85</v>
      </c>
    </row>
    <row r="25" spans="1:5">
      <c r="A25" t="s">
        <v>100</v>
      </c>
      <c r="B25" t="s">
        <v>34</v>
      </c>
      <c r="C25" t="s">
        <v>102</v>
      </c>
      <c r="D25" t="s">
        <v>81</v>
      </c>
      <c r="E25" t="s">
        <v>85</v>
      </c>
    </row>
    <row r="26" spans="1:5">
      <c r="A26" t="s">
        <v>100</v>
      </c>
      <c r="B26" t="s">
        <v>46</v>
      </c>
      <c r="C26" t="s">
        <v>103</v>
      </c>
      <c r="D26" t="s">
        <v>81</v>
      </c>
      <c r="E26" t="s">
        <v>85</v>
      </c>
    </row>
    <row r="27" spans="1:5">
      <c r="A27" t="s">
        <v>100</v>
      </c>
      <c r="B27" t="s">
        <v>58</v>
      </c>
      <c r="C27" t="s">
        <v>104</v>
      </c>
      <c r="D27" t="s">
        <v>81</v>
      </c>
      <c r="E27" t="s">
        <v>85</v>
      </c>
    </row>
    <row r="28" spans="1:5">
      <c r="A28" t="s">
        <v>100</v>
      </c>
      <c r="B28" t="s">
        <v>66</v>
      </c>
      <c r="C28" t="s">
        <v>105</v>
      </c>
      <c r="D28" t="s">
        <v>81</v>
      </c>
      <c r="E28" t="s">
        <v>85</v>
      </c>
    </row>
    <row r="29" spans="1:5">
      <c r="A29" t="s">
        <v>106</v>
      </c>
      <c r="B29" t="s">
        <v>24</v>
      </c>
      <c r="C29" t="s">
        <v>107</v>
      </c>
      <c r="D29" t="s">
        <v>81</v>
      </c>
      <c r="E29" t="s">
        <v>85</v>
      </c>
    </row>
    <row r="30" spans="1:5">
      <c r="A30" t="s">
        <v>106</v>
      </c>
      <c r="B30" t="s">
        <v>35</v>
      </c>
      <c r="C30" t="s">
        <v>108</v>
      </c>
      <c r="D30" t="s">
        <v>81</v>
      </c>
      <c r="E30" t="s">
        <v>88</v>
      </c>
    </row>
    <row r="31" spans="1:5">
      <c r="A31" t="s">
        <v>106</v>
      </c>
      <c r="B31" t="s">
        <v>47</v>
      </c>
      <c r="C31" t="s">
        <v>109</v>
      </c>
      <c r="D31" t="s">
        <v>81</v>
      </c>
      <c r="E31" t="s">
        <v>71</v>
      </c>
    </row>
    <row r="32" spans="1:5">
      <c r="A32" t="s">
        <v>106</v>
      </c>
      <c r="B32" t="s">
        <v>59</v>
      </c>
      <c r="C32" t="s">
        <v>110</v>
      </c>
      <c r="D32" t="s">
        <v>81</v>
      </c>
      <c r="E32" t="s">
        <v>96</v>
      </c>
    </row>
    <row r="33" spans="1:5">
      <c r="A33" t="s">
        <v>106</v>
      </c>
      <c r="B33" t="s">
        <v>67</v>
      </c>
      <c r="C33" t="s">
        <v>111</v>
      </c>
      <c r="D33" t="s">
        <v>81</v>
      </c>
      <c r="E33" t="s">
        <v>85</v>
      </c>
    </row>
    <row r="34" spans="1:5">
      <c r="A34" t="s">
        <v>112</v>
      </c>
      <c r="B34" t="s">
        <v>25</v>
      </c>
      <c r="C34" t="s">
        <v>113</v>
      </c>
      <c r="D34" t="s">
        <v>18</v>
      </c>
      <c r="E34" t="s">
        <v>88</v>
      </c>
    </row>
    <row r="35" spans="1:5">
      <c r="A35" t="s">
        <v>112</v>
      </c>
      <c r="B35" t="s">
        <v>36</v>
      </c>
      <c r="C35" t="s">
        <v>114</v>
      </c>
      <c r="D35" t="s">
        <v>18</v>
      </c>
      <c r="E35" t="s">
        <v>88</v>
      </c>
    </row>
    <row r="36" spans="1:5">
      <c r="A36" t="s">
        <v>112</v>
      </c>
      <c r="B36" t="s">
        <v>48</v>
      </c>
      <c r="C36" t="s">
        <v>115</v>
      </c>
      <c r="D36" t="s">
        <v>18</v>
      </c>
      <c r="E36" t="s">
        <v>88</v>
      </c>
    </row>
    <row r="37" spans="1:5">
      <c r="A37" t="s">
        <v>112</v>
      </c>
      <c r="B37" t="s">
        <v>60</v>
      </c>
      <c r="C37" t="s">
        <v>116</v>
      </c>
      <c r="D37" t="s">
        <v>18</v>
      </c>
      <c r="E37" t="s">
        <v>88</v>
      </c>
    </row>
    <row r="38" spans="1:5">
      <c r="A38" t="s">
        <v>112</v>
      </c>
      <c r="B38" t="s">
        <v>68</v>
      </c>
      <c r="C38" t="s">
        <v>87</v>
      </c>
      <c r="D38" t="s">
        <v>18</v>
      </c>
      <c r="E38" t="s">
        <v>88</v>
      </c>
    </row>
    <row r="39" spans="1:5">
      <c r="A39" t="s">
        <v>12</v>
      </c>
      <c r="B39" t="s">
        <v>26</v>
      </c>
      <c r="C39" t="s">
        <v>117</v>
      </c>
      <c r="D39" t="s">
        <v>81</v>
      </c>
      <c r="E39" t="s">
        <v>85</v>
      </c>
    </row>
    <row r="40" spans="1:5">
      <c r="A40" t="s">
        <v>12</v>
      </c>
      <c r="B40" t="s">
        <v>37</v>
      </c>
      <c r="C40" t="s">
        <v>118</v>
      </c>
      <c r="D40" t="s">
        <v>81</v>
      </c>
      <c r="E40" t="s">
        <v>85</v>
      </c>
    </row>
    <row r="41" spans="1:5">
      <c r="A41" t="s">
        <v>12</v>
      </c>
      <c r="B41" t="s">
        <v>49</v>
      </c>
      <c r="C41" t="s">
        <v>119</v>
      </c>
      <c r="D41" t="s">
        <v>81</v>
      </c>
      <c r="E41" t="s">
        <v>85</v>
      </c>
    </row>
    <row r="42" spans="1:5">
      <c r="A42" t="s">
        <v>120</v>
      </c>
      <c r="B42" t="s">
        <v>27</v>
      </c>
      <c r="C42" t="s">
        <v>121</v>
      </c>
      <c r="D42" t="s">
        <v>81</v>
      </c>
      <c r="E42" t="s">
        <v>85</v>
      </c>
    </row>
    <row r="43" spans="1:5">
      <c r="A43" t="s">
        <v>120</v>
      </c>
      <c r="B43" t="s">
        <v>38</v>
      </c>
      <c r="C43" t="s">
        <v>122</v>
      </c>
      <c r="D43" t="s">
        <v>81</v>
      </c>
      <c r="E43" t="s">
        <v>96</v>
      </c>
    </row>
    <row r="44" spans="1:5">
      <c r="A44" t="s">
        <v>120</v>
      </c>
      <c r="B44" t="s">
        <v>50</v>
      </c>
      <c r="C44" t="s">
        <v>123</v>
      </c>
      <c r="D44" t="s">
        <v>81</v>
      </c>
      <c r="E44" t="s">
        <v>85</v>
      </c>
    </row>
    <row r="45" spans="1:5">
      <c r="A45" t="s">
        <v>124</v>
      </c>
      <c r="B45" t="s">
        <v>28</v>
      </c>
      <c r="C45" t="s">
        <v>125</v>
      </c>
      <c r="D45" t="s">
        <v>81</v>
      </c>
      <c r="E45" t="s">
        <v>71</v>
      </c>
    </row>
    <row r="46" spans="1:5">
      <c r="A46" t="s">
        <v>124</v>
      </c>
      <c r="B46" t="s">
        <v>39</v>
      </c>
      <c r="C46" t="s">
        <v>126</v>
      </c>
      <c r="D46" t="s">
        <v>81</v>
      </c>
      <c r="E46" t="s">
        <v>71</v>
      </c>
    </row>
    <row r="47" spans="1:5">
      <c r="A47" t="s">
        <v>124</v>
      </c>
      <c r="B47" t="s">
        <v>51</v>
      </c>
      <c r="C47" t="s">
        <v>127</v>
      </c>
      <c r="D47" t="s">
        <v>81</v>
      </c>
      <c r="E47" t="s">
        <v>88</v>
      </c>
    </row>
  </sheetData>
  <autoFilter ref="A1:E47" xr:uid="{00000000-0001-0000-0000-000000000000}"/>
  <pageMargins left="0.7" right="0.7" top="0.75" bottom="0.75" header="0.3" footer="0.3"/>
  <tableParts count="10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D1E1F4-B451-4009-ADFA-6C0BB95FA531}">
  <sheetPr codeName="Hoja1"/>
  <dimension ref="A1:F15"/>
  <sheetViews>
    <sheetView zoomScale="80" zoomScaleNormal="80" workbookViewId="0">
      <selection activeCell="C9" sqref="C9"/>
    </sheetView>
  </sheetViews>
  <sheetFormatPr defaultColWidth="11.42578125" defaultRowHeight="14.45"/>
  <cols>
    <col min="1" max="1" width="18.7109375" bestFit="1" customWidth="1"/>
    <col min="2" max="2" width="22.28515625" bestFit="1" customWidth="1"/>
    <col min="3" max="3" width="12.28515625" bestFit="1" customWidth="1"/>
    <col min="6" max="6" width="15" bestFit="1" customWidth="1"/>
  </cols>
  <sheetData>
    <row r="1" spans="1:6">
      <c r="A1" s="1" t="s">
        <v>128</v>
      </c>
      <c r="B1" s="1" t="s">
        <v>129</v>
      </c>
      <c r="C1" s="1" t="s">
        <v>130</v>
      </c>
      <c r="F1" s="1"/>
    </row>
    <row r="2" spans="1:6">
      <c r="A2" t="s">
        <v>131</v>
      </c>
      <c r="B2" t="s">
        <v>132</v>
      </c>
      <c r="C2" t="s">
        <v>133</v>
      </c>
    </row>
    <row r="3" spans="1:6">
      <c r="A3" t="s">
        <v>134</v>
      </c>
      <c r="B3" t="s">
        <v>10</v>
      </c>
      <c r="C3" t="s">
        <v>135</v>
      </c>
    </row>
    <row r="4" spans="1:6">
      <c r="A4" t="s">
        <v>136</v>
      </c>
      <c r="B4" t="s">
        <v>137</v>
      </c>
      <c r="C4" t="s">
        <v>138</v>
      </c>
    </row>
    <row r="5" spans="1:6">
      <c r="A5" t="s">
        <v>139</v>
      </c>
      <c r="B5" t="s">
        <v>140</v>
      </c>
      <c r="C5" t="s">
        <v>141</v>
      </c>
    </row>
    <row r="6" spans="1:6">
      <c r="A6" t="s">
        <v>142</v>
      </c>
      <c r="B6" t="s">
        <v>143</v>
      </c>
      <c r="C6" t="s">
        <v>144</v>
      </c>
    </row>
    <row r="7" spans="1:6">
      <c r="A7" t="s">
        <v>145</v>
      </c>
      <c r="B7" t="s">
        <v>146</v>
      </c>
    </row>
    <row r="8" spans="1:6">
      <c r="A8" t="s">
        <v>147</v>
      </c>
      <c r="B8" t="s">
        <v>148</v>
      </c>
    </row>
    <row r="11" spans="1:6">
      <c r="A11" s="95" t="s">
        <v>149</v>
      </c>
      <c r="B11" s="95"/>
      <c r="C11" s="95"/>
      <c r="D11" s="95"/>
    </row>
    <row r="12" spans="1:6">
      <c r="A12" s="1" t="s">
        <v>150</v>
      </c>
      <c r="B12" s="1" t="s">
        <v>151</v>
      </c>
      <c r="C12" s="1" t="s">
        <v>152</v>
      </c>
      <c r="D12" s="1" t="s">
        <v>153</v>
      </c>
    </row>
    <row r="13" spans="1:6">
      <c r="A13" t="s">
        <v>154</v>
      </c>
      <c r="B13">
        <v>959</v>
      </c>
      <c r="C13" s="8" t="s">
        <v>155</v>
      </c>
      <c r="D13" t="s">
        <v>133</v>
      </c>
    </row>
    <row r="14" spans="1:6">
      <c r="A14" t="s">
        <v>156</v>
      </c>
      <c r="B14">
        <v>5.76</v>
      </c>
      <c r="C14" s="8" t="s">
        <v>155</v>
      </c>
      <c r="D14" t="s">
        <v>138</v>
      </c>
    </row>
    <row r="15" spans="1:6">
      <c r="A15" t="s">
        <v>157</v>
      </c>
      <c r="B15">
        <v>3.45</v>
      </c>
      <c r="C15" s="8" t="s">
        <v>155</v>
      </c>
      <c r="D15" t="s">
        <v>135</v>
      </c>
    </row>
  </sheetData>
  <sheetProtection sheet="1" objects="1" scenarios="1"/>
  <mergeCells count="1">
    <mergeCell ref="A11:D11"/>
  </mergeCells>
  <hyperlinks>
    <hyperlink ref="C14" r:id="rId1" xr:uid="{892BCBA3-937C-4302-80D8-83E778F398C1}"/>
    <hyperlink ref="C13" r:id="rId2" xr:uid="{94597E2F-128E-441E-A6D2-D73AF011D508}"/>
    <hyperlink ref="C15" r:id="rId3" xr:uid="{2D53258E-3BD8-4646-8312-964250C4235B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24CB98-B9B6-4067-9DF1-E6531913C4D0}">
  <sheetPr codeName="Hoja2"/>
  <dimension ref="A1:T47"/>
  <sheetViews>
    <sheetView zoomScale="80" zoomScaleNormal="80" workbookViewId="0">
      <selection activeCell="T6" sqref="T6"/>
    </sheetView>
  </sheetViews>
  <sheetFormatPr defaultColWidth="8.7109375" defaultRowHeight="14.45"/>
  <cols>
    <col min="1" max="1" width="24.7109375" bestFit="1" customWidth="1"/>
    <col min="2" max="2" width="31.28515625" bestFit="1" customWidth="1"/>
    <col min="3" max="3" width="48.28515625" bestFit="1" customWidth="1"/>
    <col min="4" max="4" width="21.28515625" bestFit="1" customWidth="1"/>
    <col min="5" max="5" width="16.5703125" bestFit="1" customWidth="1"/>
    <col min="7" max="7" width="27.28515625" bestFit="1" customWidth="1"/>
    <col min="8" max="8" width="25.28515625" customWidth="1"/>
    <col min="9" max="9" width="25.5703125" bestFit="1" customWidth="1"/>
    <col min="10" max="10" width="21" bestFit="1" customWidth="1"/>
    <col min="11" max="11" width="24.42578125" customWidth="1"/>
    <col min="12" max="12" width="33" bestFit="1" customWidth="1"/>
    <col min="13" max="13" width="24.28515625" bestFit="1" customWidth="1"/>
    <col min="14" max="14" width="19.7109375" bestFit="1" customWidth="1"/>
    <col min="15" max="15" width="23.7109375" customWidth="1"/>
    <col min="16" max="16" width="21.5703125" bestFit="1" customWidth="1"/>
    <col min="17" max="17" width="11.7109375" bestFit="1" customWidth="1"/>
    <col min="18" max="18" width="25.28515625" bestFit="1" customWidth="1"/>
    <col min="20" max="20" width="19.7109375" customWidth="1"/>
  </cols>
  <sheetData>
    <row r="1" spans="1:20">
      <c r="A1" s="9" t="s">
        <v>0</v>
      </c>
      <c r="B1" s="9" t="s">
        <v>1</v>
      </c>
      <c r="C1" s="9" t="s">
        <v>2</v>
      </c>
      <c r="D1" s="9" t="s">
        <v>3</v>
      </c>
      <c r="E1" s="9" t="s">
        <v>4</v>
      </c>
      <c r="G1" s="1" t="s">
        <v>158</v>
      </c>
      <c r="H1" s="1" t="s">
        <v>159</v>
      </c>
      <c r="I1" s="1" t="s">
        <v>160</v>
      </c>
      <c r="J1" s="1" t="s">
        <v>161</v>
      </c>
      <c r="K1" s="1" t="s">
        <v>162</v>
      </c>
      <c r="L1" s="1" t="s">
        <v>10</v>
      </c>
      <c r="M1" s="1" t="s">
        <v>11</v>
      </c>
      <c r="N1" s="1" t="s">
        <v>12</v>
      </c>
      <c r="O1" s="1" t="s">
        <v>163</v>
      </c>
      <c r="P1" s="1" t="s">
        <v>14</v>
      </c>
      <c r="Q1" s="1" t="s">
        <v>164</v>
      </c>
      <c r="R1" t="s">
        <v>132</v>
      </c>
      <c r="T1" t="s">
        <v>165</v>
      </c>
    </row>
    <row r="2" spans="1:20">
      <c r="A2" t="s">
        <v>15</v>
      </c>
      <c r="B2" t="s">
        <v>16</v>
      </c>
      <c r="C2" t="s">
        <v>17</v>
      </c>
      <c r="D2" t="s">
        <v>18</v>
      </c>
      <c r="E2" t="s">
        <v>19</v>
      </c>
      <c r="G2" t="s">
        <v>166</v>
      </c>
      <c r="H2" t="s">
        <v>20</v>
      </c>
      <c r="I2" s="42" t="s">
        <v>21</v>
      </c>
      <c r="J2" t="s">
        <v>167</v>
      </c>
      <c r="K2" t="s">
        <v>23</v>
      </c>
      <c r="L2" t="s">
        <v>168</v>
      </c>
      <c r="M2" t="s">
        <v>25</v>
      </c>
      <c r="N2" t="s">
        <v>26</v>
      </c>
      <c r="O2" t="s">
        <v>27</v>
      </c>
      <c r="P2" t="s">
        <v>28</v>
      </c>
      <c r="Q2" t="s">
        <v>169</v>
      </c>
      <c r="R2" t="s">
        <v>67</v>
      </c>
      <c r="T2" t="s">
        <v>170</v>
      </c>
    </row>
    <row r="3" spans="1:20">
      <c r="A3" t="s">
        <v>15</v>
      </c>
      <c r="B3" t="s">
        <v>29</v>
      </c>
      <c r="C3" t="s">
        <v>30</v>
      </c>
      <c r="D3" t="s">
        <v>18</v>
      </c>
      <c r="E3" t="s">
        <v>19</v>
      </c>
      <c r="G3" t="s">
        <v>171</v>
      </c>
      <c r="H3" t="s">
        <v>31</v>
      </c>
      <c r="I3" s="42" t="s">
        <v>32</v>
      </c>
      <c r="J3" t="s">
        <v>172</v>
      </c>
      <c r="K3" t="s">
        <v>34</v>
      </c>
      <c r="L3" t="s">
        <v>35</v>
      </c>
      <c r="M3" t="s">
        <v>36</v>
      </c>
      <c r="N3" t="s">
        <v>37</v>
      </c>
      <c r="O3" t="s">
        <v>38</v>
      </c>
      <c r="P3" t="s">
        <v>39</v>
      </c>
      <c r="Q3" t="s">
        <v>173</v>
      </c>
      <c r="R3" t="s">
        <v>174</v>
      </c>
      <c r="T3" t="s">
        <v>175</v>
      </c>
    </row>
    <row r="4" spans="1:20">
      <c r="A4" t="s">
        <v>15</v>
      </c>
      <c r="B4" t="s">
        <v>40</v>
      </c>
      <c r="C4" t="s">
        <v>41</v>
      </c>
      <c r="D4" t="s">
        <v>18</v>
      </c>
      <c r="E4" t="s">
        <v>42</v>
      </c>
      <c r="G4" t="s">
        <v>176</v>
      </c>
      <c r="H4" t="s">
        <v>177</v>
      </c>
      <c r="I4" s="42" t="s">
        <v>44</v>
      </c>
      <c r="J4" t="s">
        <v>57</v>
      </c>
      <c r="K4" t="s">
        <v>46</v>
      </c>
      <c r="L4" t="s">
        <v>178</v>
      </c>
      <c r="M4" t="s">
        <v>48</v>
      </c>
      <c r="N4" t="s">
        <v>49</v>
      </c>
      <c r="O4" t="s">
        <v>50</v>
      </c>
      <c r="P4" t="s">
        <v>51</v>
      </c>
      <c r="Q4" t="s">
        <v>179</v>
      </c>
      <c r="R4" t="s">
        <v>43</v>
      </c>
      <c r="T4" t="s">
        <v>180</v>
      </c>
    </row>
    <row r="5" spans="1:20">
      <c r="A5" t="s">
        <v>15</v>
      </c>
      <c r="B5" t="s">
        <v>52</v>
      </c>
      <c r="C5" t="s">
        <v>53</v>
      </c>
      <c r="D5" t="s">
        <v>18</v>
      </c>
      <c r="E5" t="s">
        <v>54</v>
      </c>
      <c r="G5" t="s">
        <v>52</v>
      </c>
      <c r="H5" t="s">
        <v>173</v>
      </c>
      <c r="I5" t="s">
        <v>56</v>
      </c>
      <c r="J5" t="s">
        <v>181</v>
      </c>
      <c r="K5" t="s">
        <v>58</v>
      </c>
      <c r="L5" t="s">
        <v>182</v>
      </c>
      <c r="M5" t="s">
        <v>60</v>
      </c>
      <c r="N5" t="s">
        <v>173</v>
      </c>
      <c r="O5" t="s">
        <v>173</v>
      </c>
      <c r="P5" t="s">
        <v>183</v>
      </c>
      <c r="R5" t="s">
        <v>173</v>
      </c>
    </row>
    <row r="6" spans="1:20">
      <c r="A6" t="s">
        <v>15</v>
      </c>
      <c r="B6" t="s">
        <v>62</v>
      </c>
      <c r="C6" t="s">
        <v>63</v>
      </c>
      <c r="D6" t="s">
        <v>18</v>
      </c>
      <c r="E6" t="s">
        <v>42</v>
      </c>
      <c r="G6" t="s">
        <v>62</v>
      </c>
      <c r="H6" t="s">
        <v>179</v>
      </c>
      <c r="I6" t="s">
        <v>64</v>
      </c>
      <c r="J6" t="s">
        <v>72</v>
      </c>
      <c r="K6" t="s">
        <v>66</v>
      </c>
      <c r="L6" t="s">
        <v>184</v>
      </c>
      <c r="M6" t="s">
        <v>68</v>
      </c>
      <c r="N6" t="s">
        <v>179</v>
      </c>
      <c r="O6" t="s">
        <v>179</v>
      </c>
      <c r="P6" t="s">
        <v>185</v>
      </c>
      <c r="R6" t="s">
        <v>179</v>
      </c>
    </row>
    <row r="7" spans="1:20">
      <c r="A7" t="s">
        <v>15</v>
      </c>
      <c r="B7" t="s">
        <v>69</v>
      </c>
      <c r="C7" t="s">
        <v>70</v>
      </c>
      <c r="D7" t="s">
        <v>18</v>
      </c>
      <c r="E7" t="s">
        <v>71</v>
      </c>
      <c r="G7" t="s">
        <v>69</v>
      </c>
      <c r="I7" t="s">
        <v>186</v>
      </c>
      <c r="J7" t="s">
        <v>173</v>
      </c>
      <c r="K7" t="s">
        <v>173</v>
      </c>
      <c r="L7" t="s">
        <v>187</v>
      </c>
      <c r="M7" t="s">
        <v>173</v>
      </c>
      <c r="P7" t="s">
        <v>173</v>
      </c>
    </row>
    <row r="8" spans="1:20">
      <c r="A8" t="s">
        <v>15</v>
      </c>
      <c r="B8" t="s">
        <v>73</v>
      </c>
      <c r="C8" t="s">
        <v>74</v>
      </c>
      <c r="D8" t="s">
        <v>18</v>
      </c>
      <c r="E8" t="s">
        <v>75</v>
      </c>
      <c r="G8" t="s">
        <v>73</v>
      </c>
      <c r="I8" t="s">
        <v>188</v>
      </c>
      <c r="J8" t="s">
        <v>179</v>
      </c>
      <c r="K8" t="s">
        <v>179</v>
      </c>
      <c r="L8" t="s">
        <v>189</v>
      </c>
      <c r="M8" t="s">
        <v>179</v>
      </c>
      <c r="P8" t="s">
        <v>179</v>
      </c>
    </row>
    <row r="9" spans="1:20">
      <c r="A9" t="s">
        <v>76</v>
      </c>
      <c r="B9" t="s">
        <v>20</v>
      </c>
      <c r="C9" t="s">
        <v>77</v>
      </c>
      <c r="D9" t="s">
        <v>18</v>
      </c>
      <c r="E9" t="s">
        <v>78</v>
      </c>
      <c r="G9" t="s">
        <v>190</v>
      </c>
      <c r="I9" t="s">
        <v>191</v>
      </c>
      <c r="L9" t="s">
        <v>192</v>
      </c>
    </row>
    <row r="10" spans="1:20">
      <c r="A10" t="s">
        <v>76</v>
      </c>
      <c r="B10" t="s">
        <v>31</v>
      </c>
      <c r="C10" t="s">
        <v>79</v>
      </c>
      <c r="D10" t="s">
        <v>18</v>
      </c>
      <c r="E10" t="s">
        <v>42</v>
      </c>
      <c r="G10" t="s">
        <v>173</v>
      </c>
      <c r="I10" t="s">
        <v>47</v>
      </c>
      <c r="L10" t="s">
        <v>193</v>
      </c>
    </row>
    <row r="11" spans="1:20">
      <c r="A11" t="s">
        <v>76</v>
      </c>
      <c r="B11" t="s">
        <v>43</v>
      </c>
      <c r="C11" t="s">
        <v>80</v>
      </c>
      <c r="D11" t="s">
        <v>81</v>
      </c>
      <c r="E11" t="s">
        <v>71</v>
      </c>
      <c r="G11" t="s">
        <v>179</v>
      </c>
      <c r="I11" t="s">
        <v>173</v>
      </c>
      <c r="L11" t="s">
        <v>194</v>
      </c>
    </row>
    <row r="12" spans="1:20">
      <c r="A12" t="s">
        <v>76</v>
      </c>
      <c r="B12" t="s">
        <v>55</v>
      </c>
      <c r="C12" t="s">
        <v>82</v>
      </c>
      <c r="D12" t="s">
        <v>81</v>
      </c>
      <c r="E12" t="s">
        <v>71</v>
      </c>
      <c r="I12" t="s">
        <v>179</v>
      </c>
      <c r="L12" t="s">
        <v>195</v>
      </c>
      <c r="M12" t="s">
        <v>196</v>
      </c>
    </row>
    <row r="13" spans="1:20">
      <c r="A13" s="10" t="s">
        <v>83</v>
      </c>
      <c r="B13" s="10" t="s">
        <v>21</v>
      </c>
      <c r="C13" s="10" t="s">
        <v>84</v>
      </c>
      <c r="D13" s="10" t="s">
        <v>18</v>
      </c>
      <c r="E13" s="10" t="s">
        <v>85</v>
      </c>
      <c r="L13" t="s">
        <v>197</v>
      </c>
    </row>
    <row r="14" spans="1:20">
      <c r="A14" s="10" t="s">
        <v>83</v>
      </c>
      <c r="B14" s="10" t="s">
        <v>32</v>
      </c>
      <c r="C14" s="10" t="s">
        <v>86</v>
      </c>
      <c r="D14" s="10" t="s">
        <v>18</v>
      </c>
      <c r="E14" s="10" t="s">
        <v>85</v>
      </c>
      <c r="L14" t="s">
        <v>198</v>
      </c>
    </row>
    <row r="15" spans="1:20">
      <c r="A15" s="10" t="s">
        <v>83</v>
      </c>
      <c r="B15" s="10" t="s">
        <v>44</v>
      </c>
      <c r="C15" s="10" t="s">
        <v>87</v>
      </c>
      <c r="D15" s="10" t="s">
        <v>18</v>
      </c>
      <c r="E15" s="10" t="s">
        <v>88</v>
      </c>
      <c r="L15" t="s">
        <v>199</v>
      </c>
    </row>
    <row r="16" spans="1:20">
      <c r="A16" s="10" t="s">
        <v>83</v>
      </c>
      <c r="B16" s="10" t="s">
        <v>56</v>
      </c>
      <c r="C16" s="10" t="s">
        <v>89</v>
      </c>
      <c r="D16" s="10" t="s">
        <v>81</v>
      </c>
      <c r="E16" s="10" t="s">
        <v>85</v>
      </c>
      <c r="L16" t="s">
        <v>200</v>
      </c>
    </row>
    <row r="17" spans="1:12">
      <c r="A17" s="10" t="s">
        <v>83</v>
      </c>
      <c r="B17" s="10" t="s">
        <v>64</v>
      </c>
      <c r="C17" s="10" t="s">
        <v>90</v>
      </c>
      <c r="D17" s="10" t="s">
        <v>81</v>
      </c>
      <c r="E17" s="10" t="s">
        <v>88</v>
      </c>
      <c r="L17" t="s">
        <v>201</v>
      </c>
    </row>
    <row r="18" spans="1:12">
      <c r="A18" t="s">
        <v>91</v>
      </c>
      <c r="B18" t="s">
        <v>22</v>
      </c>
      <c r="C18" t="s">
        <v>92</v>
      </c>
      <c r="D18" t="s">
        <v>81</v>
      </c>
      <c r="E18" t="s">
        <v>93</v>
      </c>
      <c r="L18" t="s">
        <v>202</v>
      </c>
    </row>
    <row r="19" spans="1:12">
      <c r="A19" t="s">
        <v>91</v>
      </c>
      <c r="B19" t="s">
        <v>33</v>
      </c>
      <c r="C19" t="s">
        <v>94</v>
      </c>
      <c r="D19" t="s">
        <v>18</v>
      </c>
      <c r="E19" t="s">
        <v>93</v>
      </c>
      <c r="L19" t="s">
        <v>203</v>
      </c>
    </row>
    <row r="20" spans="1:12">
      <c r="A20" t="s">
        <v>91</v>
      </c>
      <c r="B20" t="s">
        <v>45</v>
      </c>
      <c r="C20" t="s">
        <v>95</v>
      </c>
      <c r="D20" t="s">
        <v>18</v>
      </c>
      <c r="E20" t="s">
        <v>96</v>
      </c>
      <c r="L20" t="s">
        <v>204</v>
      </c>
    </row>
    <row r="21" spans="1:12">
      <c r="A21" t="s">
        <v>91</v>
      </c>
      <c r="B21" t="s">
        <v>57</v>
      </c>
      <c r="C21" t="s">
        <v>97</v>
      </c>
      <c r="D21" t="s">
        <v>81</v>
      </c>
      <c r="E21" t="s">
        <v>96</v>
      </c>
      <c r="L21" t="s">
        <v>173</v>
      </c>
    </row>
    <row r="22" spans="1:12">
      <c r="A22" t="s">
        <v>91</v>
      </c>
      <c r="B22" t="s">
        <v>65</v>
      </c>
      <c r="C22" t="s">
        <v>98</v>
      </c>
      <c r="D22" t="s">
        <v>81</v>
      </c>
      <c r="E22" t="s">
        <v>96</v>
      </c>
      <c r="L22" t="s">
        <v>179</v>
      </c>
    </row>
    <row r="23" spans="1:12">
      <c r="A23" t="s">
        <v>91</v>
      </c>
      <c r="B23" t="s">
        <v>72</v>
      </c>
      <c r="C23" t="s">
        <v>99</v>
      </c>
      <c r="D23" t="s">
        <v>81</v>
      </c>
      <c r="E23" t="s">
        <v>85</v>
      </c>
    </row>
    <row r="24" spans="1:12">
      <c r="A24" t="s">
        <v>100</v>
      </c>
      <c r="B24" t="s">
        <v>23</v>
      </c>
      <c r="C24" t="s">
        <v>101</v>
      </c>
      <c r="D24" t="s">
        <v>81</v>
      </c>
      <c r="E24" t="s">
        <v>85</v>
      </c>
    </row>
    <row r="25" spans="1:12">
      <c r="A25" t="s">
        <v>100</v>
      </c>
      <c r="B25" t="s">
        <v>34</v>
      </c>
      <c r="C25" t="s">
        <v>102</v>
      </c>
      <c r="D25" t="s">
        <v>81</v>
      </c>
      <c r="E25" t="s">
        <v>85</v>
      </c>
    </row>
    <row r="26" spans="1:12">
      <c r="A26" t="s">
        <v>100</v>
      </c>
      <c r="B26" t="s">
        <v>46</v>
      </c>
      <c r="C26" t="s">
        <v>103</v>
      </c>
      <c r="D26" t="s">
        <v>81</v>
      </c>
      <c r="E26" t="s">
        <v>85</v>
      </c>
    </row>
    <row r="27" spans="1:12">
      <c r="A27" t="s">
        <v>100</v>
      </c>
      <c r="B27" t="s">
        <v>58</v>
      </c>
      <c r="C27" t="s">
        <v>104</v>
      </c>
      <c r="D27" t="s">
        <v>81</v>
      </c>
      <c r="E27" t="s">
        <v>85</v>
      </c>
    </row>
    <row r="28" spans="1:12">
      <c r="A28" t="s">
        <v>100</v>
      </c>
      <c r="B28" t="s">
        <v>66</v>
      </c>
      <c r="C28" t="s">
        <v>105</v>
      </c>
      <c r="D28" t="s">
        <v>81</v>
      </c>
      <c r="E28" t="s">
        <v>85</v>
      </c>
    </row>
    <row r="29" spans="1:12">
      <c r="A29" t="s">
        <v>106</v>
      </c>
      <c r="B29" t="s">
        <v>24</v>
      </c>
      <c r="C29" t="s">
        <v>107</v>
      </c>
      <c r="D29" t="s">
        <v>81</v>
      </c>
      <c r="E29" t="s">
        <v>85</v>
      </c>
    </row>
    <row r="30" spans="1:12">
      <c r="A30" t="s">
        <v>106</v>
      </c>
      <c r="B30" t="s">
        <v>35</v>
      </c>
      <c r="C30" t="s">
        <v>108</v>
      </c>
      <c r="D30" t="s">
        <v>81</v>
      </c>
      <c r="E30" t="s">
        <v>88</v>
      </c>
    </row>
    <row r="31" spans="1:12">
      <c r="A31" t="s">
        <v>106</v>
      </c>
      <c r="B31" t="s">
        <v>47</v>
      </c>
      <c r="C31" t="s">
        <v>109</v>
      </c>
      <c r="D31" t="s">
        <v>81</v>
      </c>
      <c r="E31" t="s">
        <v>71</v>
      </c>
    </row>
    <row r="32" spans="1:12">
      <c r="A32" t="s">
        <v>106</v>
      </c>
      <c r="B32" t="s">
        <v>59</v>
      </c>
      <c r="C32" t="s">
        <v>110</v>
      </c>
      <c r="D32" t="s">
        <v>81</v>
      </c>
      <c r="E32" t="s">
        <v>96</v>
      </c>
    </row>
    <row r="33" spans="1:5">
      <c r="A33" t="s">
        <v>106</v>
      </c>
      <c r="B33" t="s">
        <v>67</v>
      </c>
      <c r="C33" t="s">
        <v>111</v>
      </c>
      <c r="D33" t="s">
        <v>81</v>
      </c>
      <c r="E33" t="s">
        <v>85</v>
      </c>
    </row>
    <row r="34" spans="1:5">
      <c r="A34" t="s">
        <v>112</v>
      </c>
      <c r="B34" t="s">
        <v>25</v>
      </c>
      <c r="C34" t="s">
        <v>113</v>
      </c>
      <c r="D34" t="s">
        <v>18</v>
      </c>
      <c r="E34" t="s">
        <v>88</v>
      </c>
    </row>
    <row r="35" spans="1:5">
      <c r="A35" t="s">
        <v>112</v>
      </c>
      <c r="B35" t="s">
        <v>36</v>
      </c>
      <c r="C35" t="s">
        <v>114</v>
      </c>
      <c r="D35" t="s">
        <v>18</v>
      </c>
      <c r="E35" t="s">
        <v>88</v>
      </c>
    </row>
    <row r="36" spans="1:5">
      <c r="A36" t="s">
        <v>112</v>
      </c>
      <c r="B36" t="s">
        <v>48</v>
      </c>
      <c r="C36" t="s">
        <v>115</v>
      </c>
      <c r="D36" t="s">
        <v>18</v>
      </c>
      <c r="E36" t="s">
        <v>88</v>
      </c>
    </row>
    <row r="37" spans="1:5">
      <c r="A37" t="s">
        <v>112</v>
      </c>
      <c r="B37" t="s">
        <v>60</v>
      </c>
      <c r="C37" t="s">
        <v>116</v>
      </c>
      <c r="D37" t="s">
        <v>18</v>
      </c>
      <c r="E37" t="s">
        <v>88</v>
      </c>
    </row>
    <row r="38" spans="1:5">
      <c r="A38" t="s">
        <v>112</v>
      </c>
      <c r="B38" t="s">
        <v>68</v>
      </c>
      <c r="C38" t="s">
        <v>87</v>
      </c>
      <c r="D38" t="s">
        <v>18</v>
      </c>
      <c r="E38" t="s">
        <v>88</v>
      </c>
    </row>
    <row r="39" spans="1:5">
      <c r="A39" t="s">
        <v>12</v>
      </c>
      <c r="B39" t="s">
        <v>26</v>
      </c>
      <c r="C39" t="s">
        <v>117</v>
      </c>
      <c r="D39" t="s">
        <v>81</v>
      </c>
      <c r="E39" t="s">
        <v>85</v>
      </c>
    </row>
    <row r="40" spans="1:5">
      <c r="A40" t="s">
        <v>12</v>
      </c>
      <c r="B40" t="s">
        <v>37</v>
      </c>
      <c r="C40" t="s">
        <v>118</v>
      </c>
      <c r="D40" t="s">
        <v>81</v>
      </c>
      <c r="E40" t="s">
        <v>85</v>
      </c>
    </row>
    <row r="41" spans="1:5">
      <c r="A41" t="s">
        <v>12</v>
      </c>
      <c r="B41" t="s">
        <v>49</v>
      </c>
      <c r="C41" t="s">
        <v>119</v>
      </c>
      <c r="D41" t="s">
        <v>81</v>
      </c>
      <c r="E41" t="s">
        <v>85</v>
      </c>
    </row>
    <row r="42" spans="1:5">
      <c r="A42" t="s">
        <v>120</v>
      </c>
      <c r="B42" t="s">
        <v>27</v>
      </c>
      <c r="C42" t="s">
        <v>121</v>
      </c>
      <c r="D42" t="s">
        <v>81</v>
      </c>
      <c r="E42" t="s">
        <v>85</v>
      </c>
    </row>
    <row r="43" spans="1:5">
      <c r="A43" t="s">
        <v>120</v>
      </c>
      <c r="B43" t="s">
        <v>38</v>
      </c>
      <c r="C43" t="s">
        <v>122</v>
      </c>
      <c r="D43" t="s">
        <v>81</v>
      </c>
      <c r="E43" t="s">
        <v>96</v>
      </c>
    </row>
    <row r="44" spans="1:5">
      <c r="A44" t="s">
        <v>120</v>
      </c>
      <c r="B44" t="s">
        <v>50</v>
      </c>
      <c r="C44" t="s">
        <v>123</v>
      </c>
      <c r="D44" t="s">
        <v>81</v>
      </c>
      <c r="E44" t="s">
        <v>85</v>
      </c>
    </row>
    <row r="45" spans="1:5">
      <c r="A45" t="s">
        <v>124</v>
      </c>
      <c r="B45" t="s">
        <v>28</v>
      </c>
      <c r="C45" t="s">
        <v>125</v>
      </c>
      <c r="D45" t="s">
        <v>81</v>
      </c>
      <c r="E45" t="s">
        <v>71</v>
      </c>
    </row>
    <row r="46" spans="1:5">
      <c r="A46" t="s">
        <v>124</v>
      </c>
      <c r="B46" t="s">
        <v>39</v>
      </c>
      <c r="C46" t="s">
        <v>126</v>
      </c>
      <c r="D46" t="s">
        <v>81</v>
      </c>
      <c r="E46" t="s">
        <v>71</v>
      </c>
    </row>
    <row r="47" spans="1:5">
      <c r="A47" t="s">
        <v>124</v>
      </c>
      <c r="B47" t="s">
        <v>51</v>
      </c>
      <c r="C47" t="s">
        <v>127</v>
      </c>
      <c r="D47" t="s">
        <v>81</v>
      </c>
      <c r="E47" t="s">
        <v>88</v>
      </c>
    </row>
  </sheetData>
  <autoFilter ref="A1:E47" xr:uid="{00000000-0001-0000-0000-000000000000}"/>
  <pageMargins left="0.7" right="0.7" top="0.75" bottom="0.75" header="0.3" footer="0.3"/>
  <tableParts count="13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CF7EC0-BCA7-4AFC-A22A-398C431C72A7}">
  <sheetPr codeName="Hoja5">
    <tabColor theme="3"/>
  </sheetPr>
  <dimension ref="A1:T106"/>
  <sheetViews>
    <sheetView topLeftCell="A25" zoomScale="80" zoomScaleNormal="80" workbookViewId="0">
      <selection activeCell="J63" sqref="J63"/>
    </sheetView>
  </sheetViews>
  <sheetFormatPr defaultColWidth="0" defaultRowHeight="12.95"/>
  <cols>
    <col min="1" max="1" width="5.28515625" style="2" bestFit="1" customWidth="1"/>
    <col min="2" max="2" width="12.42578125" style="2" bestFit="1" customWidth="1"/>
    <col min="3" max="3" width="13.7109375" style="2" bestFit="1" customWidth="1"/>
    <col min="4" max="4" width="21.42578125" style="2" bestFit="1" customWidth="1"/>
    <col min="5" max="5" width="31.28515625" style="2" bestFit="1" customWidth="1"/>
    <col min="6" max="6" width="47.5703125" style="2" customWidth="1"/>
    <col min="7" max="7" width="12.5703125" style="2" customWidth="1"/>
    <col min="8" max="18" width="11.5703125" style="2" bestFit="1" customWidth="1"/>
    <col min="19" max="19" width="10.42578125" style="2" customWidth="1"/>
    <col min="20" max="20" width="0" style="2" hidden="1" customWidth="1"/>
    <col min="21" max="16384" width="11.5703125" style="2" hidden="1"/>
  </cols>
  <sheetData>
    <row r="1" spans="1:19" ht="23.45">
      <c r="A1" s="97" t="s">
        <v>205</v>
      </c>
      <c r="B1" s="97"/>
      <c r="C1" s="97"/>
      <c r="D1" s="97"/>
      <c r="E1" s="97"/>
      <c r="F1" s="97"/>
      <c r="G1" s="97"/>
      <c r="H1" s="97"/>
      <c r="I1" s="97"/>
      <c r="J1" s="97"/>
      <c r="K1" s="97"/>
      <c r="L1" s="97"/>
      <c r="M1" s="97"/>
      <c r="N1" s="97"/>
      <c r="O1" s="97"/>
      <c r="P1" s="97"/>
      <c r="Q1" s="97"/>
      <c r="R1" s="97"/>
      <c r="S1" s="97"/>
    </row>
    <row r="2" spans="1:19" ht="6" customHeight="1">
      <c r="A2" s="96"/>
      <c r="B2" s="96"/>
      <c r="C2" s="96"/>
      <c r="D2" s="96"/>
      <c r="E2" s="96"/>
      <c r="F2" s="96"/>
      <c r="G2" s="96"/>
      <c r="H2" s="96"/>
      <c r="I2" s="96"/>
      <c r="J2" s="96"/>
      <c r="K2" s="96"/>
      <c r="L2" s="96"/>
      <c r="M2" s="96"/>
      <c r="N2" s="96"/>
      <c r="O2" s="96"/>
      <c r="P2" s="96"/>
      <c r="Q2" s="96"/>
      <c r="R2" s="96"/>
      <c r="S2" s="96"/>
    </row>
    <row r="3" spans="1:19" ht="14.65" customHeight="1">
      <c r="A3" s="98" t="s">
        <v>129</v>
      </c>
      <c r="B3" s="98"/>
      <c r="C3" s="6"/>
      <c r="D3" s="6"/>
      <c r="E3" s="6"/>
      <c r="F3" s="2" t="s">
        <v>10</v>
      </c>
      <c r="G3" s="4" t="s">
        <v>206</v>
      </c>
      <c r="H3" s="5">
        <v>46023</v>
      </c>
      <c r="I3" s="5">
        <v>46054</v>
      </c>
      <c r="J3" s="5">
        <v>46082</v>
      </c>
      <c r="K3" s="5">
        <v>46113</v>
      </c>
      <c r="L3" s="5">
        <v>46143</v>
      </c>
      <c r="M3" s="5">
        <v>46174</v>
      </c>
      <c r="N3" s="5">
        <v>46204</v>
      </c>
      <c r="O3" s="5">
        <v>46235</v>
      </c>
      <c r="P3" s="5">
        <v>46266</v>
      </c>
      <c r="Q3" s="5">
        <v>46296</v>
      </c>
      <c r="R3" s="5">
        <v>46327</v>
      </c>
      <c r="S3" s="5">
        <v>46357</v>
      </c>
    </row>
    <row r="4" spans="1:19" ht="14.65" customHeight="1">
      <c r="A4" s="98" t="s">
        <v>207</v>
      </c>
      <c r="B4" s="98"/>
      <c r="C4" s="6"/>
      <c r="D4" s="6"/>
      <c r="E4" s="6"/>
      <c r="F4" s="2" t="s">
        <v>134</v>
      </c>
      <c r="G4" s="16">
        <f t="shared" ref="G4:S4" si="0">+SUM(G7:G106)</f>
        <v>1044896</v>
      </c>
      <c r="H4" s="16">
        <f t="shared" si="0"/>
        <v>87012</v>
      </c>
      <c r="I4" s="16">
        <f t="shared" si="0"/>
        <v>84828</v>
      </c>
      <c r="J4" s="16">
        <f t="shared" si="0"/>
        <v>92998</v>
      </c>
      <c r="K4" s="16">
        <f t="shared" si="0"/>
        <v>91053</v>
      </c>
      <c r="L4" s="16">
        <f t="shared" si="0"/>
        <v>88298</v>
      </c>
      <c r="M4" s="16">
        <f t="shared" si="0"/>
        <v>87653</v>
      </c>
      <c r="N4" s="16">
        <f t="shared" si="0"/>
        <v>85253</v>
      </c>
      <c r="O4" s="16">
        <f t="shared" si="0"/>
        <v>84301</v>
      </c>
      <c r="P4" s="16">
        <f t="shared" si="0"/>
        <v>86546</v>
      </c>
      <c r="Q4" s="16">
        <f t="shared" si="0"/>
        <v>84301</v>
      </c>
      <c r="R4" s="16">
        <f t="shared" si="0"/>
        <v>87501</v>
      </c>
      <c r="S4" s="16">
        <f t="shared" si="0"/>
        <v>85152</v>
      </c>
    </row>
    <row r="5" spans="1:19" ht="5.65" customHeight="1">
      <c r="A5" s="96"/>
      <c r="B5" s="96"/>
      <c r="C5" s="96"/>
      <c r="D5" s="96"/>
      <c r="E5" s="96"/>
      <c r="F5" s="96"/>
      <c r="G5" s="96"/>
      <c r="H5" s="96"/>
      <c r="I5" s="96"/>
      <c r="J5" s="96"/>
      <c r="K5" s="96"/>
      <c r="L5" s="96"/>
      <c r="M5" s="96"/>
      <c r="N5" s="96"/>
      <c r="O5" s="96"/>
      <c r="P5" s="96"/>
      <c r="Q5" s="96"/>
      <c r="R5" s="96"/>
      <c r="S5" s="96"/>
    </row>
    <row r="6" spans="1:19" s="5" customFormat="1">
      <c r="A6" s="4" t="s">
        <v>208</v>
      </c>
      <c r="B6" s="4" t="s">
        <v>153</v>
      </c>
      <c r="C6" s="4" t="s">
        <v>209</v>
      </c>
      <c r="D6" s="4" t="s">
        <v>210</v>
      </c>
      <c r="E6" s="4" t="s">
        <v>1</v>
      </c>
      <c r="F6" s="4" t="s">
        <v>211</v>
      </c>
      <c r="G6" s="4" t="s">
        <v>206</v>
      </c>
      <c r="H6" s="5" t="s">
        <v>212</v>
      </c>
      <c r="I6" s="5" t="s">
        <v>213</v>
      </c>
      <c r="J6" s="5" t="s">
        <v>214</v>
      </c>
      <c r="K6" s="5" t="s">
        <v>215</v>
      </c>
      <c r="L6" s="5" t="s">
        <v>216</v>
      </c>
      <c r="M6" s="5" t="s">
        <v>217</v>
      </c>
      <c r="N6" s="5" t="s">
        <v>218</v>
      </c>
      <c r="O6" s="5" t="s">
        <v>219</v>
      </c>
      <c r="P6" s="5" t="s">
        <v>220</v>
      </c>
      <c r="Q6" s="5" t="s">
        <v>221</v>
      </c>
      <c r="R6" s="5" t="s">
        <v>222</v>
      </c>
      <c r="S6" s="5" t="s">
        <v>223</v>
      </c>
    </row>
    <row r="7" spans="1:19" s="12" customFormat="1">
      <c r="A7" s="7">
        <v>1</v>
      </c>
      <c r="B7" s="2" t="s">
        <v>133</v>
      </c>
      <c r="C7" s="2" t="s">
        <v>10</v>
      </c>
      <c r="D7" s="2" t="s">
        <v>10</v>
      </c>
      <c r="E7" s="2" t="s">
        <v>35</v>
      </c>
      <c r="F7" s="2" t="s">
        <v>224</v>
      </c>
      <c r="G7" s="11">
        <f>+SUM(H7:S7)</f>
        <v>10800</v>
      </c>
      <c r="H7" s="12">
        <v>900</v>
      </c>
      <c r="I7" s="12">
        <v>900</v>
      </c>
      <c r="J7" s="12">
        <v>900</v>
      </c>
      <c r="K7" s="12">
        <v>900</v>
      </c>
      <c r="L7" s="12">
        <v>900</v>
      </c>
      <c r="M7" s="12">
        <v>900</v>
      </c>
      <c r="N7" s="12">
        <v>900</v>
      </c>
      <c r="O7" s="12">
        <v>900</v>
      </c>
      <c r="P7" s="12">
        <v>900</v>
      </c>
      <c r="Q7" s="12">
        <v>900</v>
      </c>
      <c r="R7" s="12">
        <v>900</v>
      </c>
      <c r="S7" s="12">
        <v>900</v>
      </c>
    </row>
    <row r="8" spans="1:19" s="12" customFormat="1">
      <c r="A8" s="7">
        <v>2</v>
      </c>
      <c r="B8" s="2" t="s">
        <v>133</v>
      </c>
      <c r="C8" s="2" t="s">
        <v>10</v>
      </c>
      <c r="D8" s="2" t="s">
        <v>10</v>
      </c>
      <c r="E8" s="2" t="s">
        <v>178</v>
      </c>
      <c r="F8" s="2" t="s">
        <v>225</v>
      </c>
      <c r="G8" s="11">
        <f t="shared" ref="G8:G67" si="1">+SUM(H8:S8)</f>
        <v>10800</v>
      </c>
      <c r="H8" s="12">
        <v>900</v>
      </c>
      <c r="I8" s="12">
        <v>900</v>
      </c>
      <c r="J8" s="12">
        <v>900</v>
      </c>
      <c r="K8" s="12">
        <v>900</v>
      </c>
      <c r="L8" s="12">
        <v>900</v>
      </c>
      <c r="M8" s="12">
        <v>900</v>
      </c>
      <c r="N8" s="12">
        <v>900</v>
      </c>
      <c r="O8" s="12">
        <v>900</v>
      </c>
      <c r="P8" s="12">
        <v>900</v>
      </c>
      <c r="Q8" s="12">
        <v>900</v>
      </c>
      <c r="R8" s="12">
        <v>900</v>
      </c>
      <c r="S8" s="12">
        <v>900</v>
      </c>
    </row>
    <row r="9" spans="1:19" s="12" customFormat="1">
      <c r="A9" s="7">
        <v>3</v>
      </c>
      <c r="B9" s="2" t="s">
        <v>133</v>
      </c>
      <c r="C9" s="2" t="s">
        <v>10</v>
      </c>
      <c r="D9" s="2" t="s">
        <v>10</v>
      </c>
      <c r="E9" s="2" t="s">
        <v>187</v>
      </c>
      <c r="F9" s="60" t="s">
        <v>226</v>
      </c>
      <c r="G9" s="11">
        <f t="shared" si="1"/>
        <v>84000</v>
      </c>
      <c r="H9" s="12">
        <v>7000</v>
      </c>
      <c r="I9" s="12">
        <v>7000</v>
      </c>
      <c r="J9" s="12">
        <v>7000</v>
      </c>
      <c r="K9" s="12">
        <v>7000</v>
      </c>
      <c r="L9" s="12">
        <v>7000</v>
      </c>
      <c r="M9" s="12">
        <v>7000</v>
      </c>
      <c r="N9" s="12">
        <v>7000</v>
      </c>
      <c r="O9" s="12">
        <v>7000</v>
      </c>
      <c r="P9" s="12">
        <v>7000</v>
      </c>
      <c r="Q9" s="12">
        <v>7000</v>
      </c>
      <c r="R9" s="12">
        <v>7000</v>
      </c>
      <c r="S9" s="12">
        <v>7000</v>
      </c>
    </row>
    <row r="10" spans="1:19" s="12" customFormat="1">
      <c r="A10" s="7">
        <v>4</v>
      </c>
      <c r="B10" s="2" t="s">
        <v>133</v>
      </c>
      <c r="C10" s="2" t="s">
        <v>10</v>
      </c>
      <c r="D10" s="2" t="s">
        <v>10</v>
      </c>
      <c r="E10" s="2" t="s">
        <v>189</v>
      </c>
      <c r="F10" s="60" t="s">
        <v>227</v>
      </c>
      <c r="G10" s="11">
        <f t="shared" si="1"/>
        <v>4200</v>
      </c>
      <c r="H10" s="12">
        <v>350</v>
      </c>
      <c r="I10" s="12">
        <v>350</v>
      </c>
      <c r="J10" s="12">
        <v>350</v>
      </c>
      <c r="K10" s="12">
        <v>350</v>
      </c>
      <c r="L10" s="12">
        <v>350</v>
      </c>
      <c r="M10" s="12">
        <v>350</v>
      </c>
      <c r="N10" s="12">
        <v>350</v>
      </c>
      <c r="O10" s="12">
        <v>350</v>
      </c>
      <c r="P10" s="12">
        <v>350</v>
      </c>
      <c r="Q10" s="12">
        <v>350</v>
      </c>
      <c r="R10" s="12">
        <v>350</v>
      </c>
      <c r="S10" s="12">
        <v>350</v>
      </c>
    </row>
    <row r="11" spans="1:19" s="12" customFormat="1">
      <c r="A11" s="7">
        <v>5</v>
      </c>
      <c r="B11" s="2" t="s">
        <v>133</v>
      </c>
      <c r="C11" s="2" t="s">
        <v>10</v>
      </c>
      <c r="D11" s="2" t="s">
        <v>162</v>
      </c>
      <c r="E11" s="2" t="s">
        <v>34</v>
      </c>
      <c r="F11" s="60" t="s">
        <v>228</v>
      </c>
      <c r="G11" s="11">
        <f t="shared" si="1"/>
        <v>10800</v>
      </c>
      <c r="H11" s="12">
        <v>900</v>
      </c>
      <c r="I11" s="12">
        <v>900</v>
      </c>
      <c r="J11" s="12">
        <v>900</v>
      </c>
      <c r="K11" s="12">
        <v>900</v>
      </c>
      <c r="L11" s="12">
        <v>900</v>
      </c>
      <c r="M11" s="12">
        <v>900</v>
      </c>
      <c r="N11" s="12">
        <v>900</v>
      </c>
      <c r="O11" s="12">
        <v>900</v>
      </c>
      <c r="P11" s="12">
        <v>900</v>
      </c>
      <c r="Q11" s="12">
        <v>900</v>
      </c>
      <c r="R11" s="12">
        <v>900</v>
      </c>
      <c r="S11" s="12">
        <v>900</v>
      </c>
    </row>
    <row r="12" spans="1:19" s="12" customFormat="1">
      <c r="A12" s="7">
        <v>6</v>
      </c>
      <c r="B12" s="2" t="s">
        <v>133</v>
      </c>
      <c r="C12" s="2" t="s">
        <v>10</v>
      </c>
      <c r="D12" s="2" t="s">
        <v>162</v>
      </c>
      <c r="E12" s="2" t="s">
        <v>46</v>
      </c>
      <c r="F12" s="2" t="s">
        <v>229</v>
      </c>
      <c r="G12" s="11">
        <f t="shared" si="1"/>
        <v>3600</v>
      </c>
      <c r="H12" s="12">
        <v>300</v>
      </c>
      <c r="I12" s="12">
        <v>300</v>
      </c>
      <c r="J12" s="12">
        <v>300</v>
      </c>
      <c r="K12" s="12">
        <v>300</v>
      </c>
      <c r="L12" s="12">
        <v>300</v>
      </c>
      <c r="M12" s="12">
        <v>300</v>
      </c>
      <c r="N12" s="12">
        <v>300</v>
      </c>
      <c r="O12" s="12">
        <v>300</v>
      </c>
      <c r="P12" s="12">
        <v>300</v>
      </c>
      <c r="Q12" s="12">
        <v>300</v>
      </c>
      <c r="R12" s="12">
        <v>300</v>
      </c>
      <c r="S12" s="12">
        <v>300</v>
      </c>
    </row>
    <row r="13" spans="1:19" s="12" customFormat="1">
      <c r="A13" s="7">
        <v>7</v>
      </c>
      <c r="B13" s="2" t="s">
        <v>133</v>
      </c>
      <c r="C13" s="2" t="s">
        <v>10</v>
      </c>
      <c r="D13" s="2" t="s">
        <v>10</v>
      </c>
      <c r="E13" s="2" t="s">
        <v>192</v>
      </c>
      <c r="F13" s="60" t="s">
        <v>230</v>
      </c>
      <c r="G13" s="11">
        <f t="shared" si="1"/>
        <v>10200</v>
      </c>
      <c r="H13" s="12">
        <v>850</v>
      </c>
      <c r="I13" s="12">
        <v>850</v>
      </c>
      <c r="J13" s="12">
        <v>850</v>
      </c>
      <c r="K13" s="12">
        <v>850</v>
      </c>
      <c r="L13" s="12">
        <v>850</v>
      </c>
      <c r="M13" s="12">
        <v>850</v>
      </c>
      <c r="N13" s="12">
        <v>850</v>
      </c>
      <c r="O13" s="12">
        <v>850</v>
      </c>
      <c r="P13" s="12">
        <v>850</v>
      </c>
      <c r="Q13" s="12">
        <v>850</v>
      </c>
      <c r="R13" s="12">
        <v>850</v>
      </c>
      <c r="S13" s="12">
        <v>850</v>
      </c>
    </row>
    <row r="14" spans="1:19" s="12" customFormat="1">
      <c r="A14" s="7">
        <v>8</v>
      </c>
      <c r="B14" s="2" t="s">
        <v>133</v>
      </c>
      <c r="C14" s="2" t="s">
        <v>10</v>
      </c>
      <c r="D14" s="2" t="s">
        <v>10</v>
      </c>
      <c r="E14" s="2" t="s">
        <v>193</v>
      </c>
      <c r="F14" s="60" t="s">
        <v>231</v>
      </c>
      <c r="G14" s="11">
        <f t="shared" si="1"/>
        <v>600</v>
      </c>
      <c r="K14" s="12">
        <v>200</v>
      </c>
      <c r="O14" s="12">
        <v>200</v>
      </c>
      <c r="S14" s="12">
        <v>200</v>
      </c>
    </row>
    <row r="15" spans="1:19" s="12" customFormat="1">
      <c r="A15" s="7">
        <v>9</v>
      </c>
      <c r="B15" s="2" t="s">
        <v>133</v>
      </c>
      <c r="C15" s="2" t="s">
        <v>10</v>
      </c>
      <c r="D15" s="2" t="s">
        <v>10</v>
      </c>
      <c r="E15" s="2" t="s">
        <v>194</v>
      </c>
      <c r="F15" s="60" t="s">
        <v>232</v>
      </c>
      <c r="G15" s="11">
        <f t="shared" si="1"/>
        <v>24000</v>
      </c>
      <c r="H15" s="12">
        <v>2000</v>
      </c>
      <c r="I15" s="12">
        <v>2000</v>
      </c>
      <c r="J15" s="12">
        <v>2000</v>
      </c>
      <c r="K15" s="12">
        <v>2000</v>
      </c>
      <c r="L15" s="12">
        <v>2000</v>
      </c>
      <c r="M15" s="12">
        <v>2000</v>
      </c>
      <c r="N15" s="12">
        <v>2000</v>
      </c>
      <c r="O15" s="12">
        <v>2000</v>
      </c>
      <c r="P15" s="12">
        <v>2000</v>
      </c>
      <c r="Q15" s="12">
        <v>2000</v>
      </c>
      <c r="R15" s="12">
        <v>2000</v>
      </c>
      <c r="S15" s="12">
        <v>2000</v>
      </c>
    </row>
    <row r="16" spans="1:19" s="12" customFormat="1">
      <c r="A16" s="7">
        <v>10</v>
      </c>
      <c r="B16" s="2" t="s">
        <v>133</v>
      </c>
      <c r="C16" s="2" t="s">
        <v>10</v>
      </c>
      <c r="D16" s="2" t="s">
        <v>10</v>
      </c>
      <c r="E16" s="2" t="s">
        <v>195</v>
      </c>
      <c r="F16" s="60" t="s">
        <v>233</v>
      </c>
      <c r="G16" s="11">
        <f t="shared" si="1"/>
        <v>6600</v>
      </c>
      <c r="H16" s="12">
        <v>550</v>
      </c>
      <c r="I16" s="12">
        <v>550</v>
      </c>
      <c r="J16" s="12">
        <v>550</v>
      </c>
      <c r="K16" s="12">
        <v>550</v>
      </c>
      <c r="L16" s="12">
        <v>550</v>
      </c>
      <c r="M16" s="12">
        <v>550</v>
      </c>
      <c r="N16" s="12">
        <v>550</v>
      </c>
      <c r="O16" s="12">
        <v>550</v>
      </c>
      <c r="P16" s="12">
        <v>550</v>
      </c>
      <c r="Q16" s="12">
        <v>550</v>
      </c>
      <c r="R16" s="12">
        <v>550</v>
      </c>
      <c r="S16" s="12">
        <v>550</v>
      </c>
    </row>
    <row r="17" spans="1:19" s="12" customFormat="1">
      <c r="A17" s="7">
        <v>11</v>
      </c>
      <c r="B17" s="2" t="s">
        <v>133</v>
      </c>
      <c r="C17" s="2" t="s">
        <v>10</v>
      </c>
      <c r="D17" s="2" t="s">
        <v>10</v>
      </c>
      <c r="E17" s="2" t="s">
        <v>197</v>
      </c>
      <c r="F17" s="2" t="s">
        <v>234</v>
      </c>
      <c r="G17" s="11">
        <f t="shared" si="1"/>
        <v>1600</v>
      </c>
      <c r="H17" s="12">
        <v>800</v>
      </c>
      <c r="N17" s="12">
        <v>800</v>
      </c>
    </row>
    <row r="18" spans="1:19" s="12" customFormat="1">
      <c r="A18" s="7">
        <v>12</v>
      </c>
      <c r="B18" s="2" t="s">
        <v>133</v>
      </c>
      <c r="C18" s="2" t="s">
        <v>10</v>
      </c>
      <c r="D18" s="2" t="s">
        <v>162</v>
      </c>
      <c r="E18" s="2" t="s">
        <v>66</v>
      </c>
      <c r="F18" s="60" t="s">
        <v>235</v>
      </c>
      <c r="G18" s="11">
        <f t="shared" si="1"/>
        <v>14400</v>
      </c>
      <c r="H18" s="12">
        <v>1200</v>
      </c>
      <c r="I18" s="12">
        <v>1200</v>
      </c>
      <c r="J18" s="12">
        <v>1200</v>
      </c>
      <c r="K18" s="12">
        <v>1200</v>
      </c>
      <c r="L18" s="12">
        <v>1200</v>
      </c>
      <c r="M18" s="12">
        <v>1200</v>
      </c>
      <c r="N18" s="12">
        <v>1200</v>
      </c>
      <c r="O18" s="12">
        <v>1200</v>
      </c>
      <c r="P18" s="12">
        <v>1200</v>
      </c>
      <c r="Q18" s="12">
        <v>1200</v>
      </c>
      <c r="R18" s="12">
        <v>1200</v>
      </c>
      <c r="S18" s="12">
        <v>1200</v>
      </c>
    </row>
    <row r="19" spans="1:19" s="12" customFormat="1">
      <c r="A19" s="7">
        <v>13</v>
      </c>
      <c r="B19" s="2" t="s">
        <v>133</v>
      </c>
      <c r="C19" s="2" t="s">
        <v>10</v>
      </c>
      <c r="D19" s="2" t="s">
        <v>10</v>
      </c>
      <c r="E19" s="2" t="s">
        <v>184</v>
      </c>
      <c r="F19" s="60" t="s">
        <v>236</v>
      </c>
      <c r="G19" s="11">
        <f t="shared" si="1"/>
        <v>3840</v>
      </c>
      <c r="H19" s="12">
        <v>320</v>
      </c>
      <c r="I19" s="12">
        <v>320</v>
      </c>
      <c r="J19" s="12">
        <v>320</v>
      </c>
      <c r="K19" s="12">
        <v>320</v>
      </c>
      <c r="L19" s="12">
        <v>320</v>
      </c>
      <c r="M19" s="12">
        <v>320</v>
      </c>
      <c r="N19" s="12">
        <v>320</v>
      </c>
      <c r="O19" s="12">
        <v>320</v>
      </c>
      <c r="P19" s="12">
        <v>320</v>
      </c>
      <c r="Q19" s="12">
        <v>320</v>
      </c>
      <c r="R19" s="12">
        <v>320</v>
      </c>
      <c r="S19" s="12">
        <v>320</v>
      </c>
    </row>
    <row r="20" spans="1:19" s="12" customFormat="1">
      <c r="A20" s="7">
        <v>14</v>
      </c>
      <c r="B20" s="2" t="s">
        <v>133</v>
      </c>
      <c r="C20" s="2" t="s">
        <v>10</v>
      </c>
      <c r="D20" s="2" t="s">
        <v>10</v>
      </c>
      <c r="E20" s="2" t="s">
        <v>198</v>
      </c>
      <c r="F20" s="60" t="s">
        <v>237</v>
      </c>
      <c r="G20" s="11">
        <f>+SUM(H20:S20)</f>
        <v>360000</v>
      </c>
      <c r="H20" s="12">
        <v>30000</v>
      </c>
      <c r="I20" s="12">
        <v>30000</v>
      </c>
      <c r="J20" s="12">
        <v>30000</v>
      </c>
      <c r="K20" s="12">
        <v>30000</v>
      </c>
      <c r="L20" s="12">
        <v>30000</v>
      </c>
      <c r="M20" s="12">
        <v>30000</v>
      </c>
      <c r="N20" s="12">
        <v>30000</v>
      </c>
      <c r="O20" s="12">
        <v>30000</v>
      </c>
      <c r="P20" s="12">
        <v>30000</v>
      </c>
      <c r="Q20" s="12">
        <v>30000</v>
      </c>
      <c r="R20" s="12">
        <v>30000</v>
      </c>
      <c r="S20" s="12">
        <v>30000</v>
      </c>
    </row>
    <row r="21" spans="1:19" s="12" customFormat="1">
      <c r="A21" s="7">
        <v>15</v>
      </c>
      <c r="B21" s="2" t="s">
        <v>133</v>
      </c>
      <c r="C21" s="2" t="s">
        <v>10</v>
      </c>
      <c r="D21" s="2" t="s">
        <v>10</v>
      </c>
      <c r="E21" s="2" t="s">
        <v>195</v>
      </c>
      <c r="F21" s="60" t="s">
        <v>238</v>
      </c>
      <c r="G21" s="11">
        <f t="shared" si="1"/>
        <v>36000</v>
      </c>
      <c r="H21" s="12">
        <v>3000</v>
      </c>
      <c r="I21" s="12">
        <v>3000</v>
      </c>
      <c r="J21" s="12">
        <v>3000</v>
      </c>
      <c r="K21" s="12">
        <v>3000</v>
      </c>
      <c r="L21" s="12">
        <v>3000</v>
      </c>
      <c r="M21" s="12">
        <v>3000</v>
      </c>
      <c r="N21" s="12">
        <v>3000</v>
      </c>
      <c r="O21" s="12">
        <v>3000</v>
      </c>
      <c r="P21" s="12">
        <v>3000</v>
      </c>
      <c r="Q21" s="12">
        <v>3000</v>
      </c>
      <c r="R21" s="12">
        <v>3000</v>
      </c>
      <c r="S21" s="12">
        <v>3000</v>
      </c>
    </row>
    <row r="22" spans="1:19" s="12" customFormat="1">
      <c r="A22" s="7">
        <v>16</v>
      </c>
      <c r="B22" s="2" t="s">
        <v>133</v>
      </c>
      <c r="C22" s="2" t="s">
        <v>10</v>
      </c>
      <c r="D22" s="2" t="s">
        <v>10</v>
      </c>
      <c r="E22" s="2" t="s">
        <v>195</v>
      </c>
      <c r="F22" s="2" t="s">
        <v>239</v>
      </c>
      <c r="G22" s="11">
        <f t="shared" si="1"/>
        <v>24000</v>
      </c>
      <c r="H22" s="12">
        <v>2000</v>
      </c>
      <c r="I22" s="12">
        <v>2000</v>
      </c>
      <c r="J22" s="12">
        <v>2000</v>
      </c>
      <c r="K22" s="12">
        <v>2000</v>
      </c>
      <c r="L22" s="12">
        <v>2000</v>
      </c>
      <c r="M22" s="12">
        <v>2000</v>
      </c>
      <c r="N22" s="12">
        <v>2000</v>
      </c>
      <c r="O22" s="12">
        <v>2000</v>
      </c>
      <c r="P22" s="12">
        <v>2000</v>
      </c>
      <c r="Q22" s="12">
        <v>2000</v>
      </c>
      <c r="R22" s="12">
        <v>2000</v>
      </c>
      <c r="S22" s="12">
        <v>2000</v>
      </c>
    </row>
    <row r="23" spans="1:19" s="12" customFormat="1">
      <c r="A23" s="7">
        <v>17</v>
      </c>
      <c r="B23" s="2" t="s">
        <v>133</v>
      </c>
      <c r="C23" s="2" t="s">
        <v>10</v>
      </c>
      <c r="D23" s="2" t="s">
        <v>161</v>
      </c>
      <c r="E23" s="2" t="s">
        <v>172</v>
      </c>
      <c r="F23" s="60" t="s">
        <v>240</v>
      </c>
      <c r="G23" s="11">
        <f t="shared" si="1"/>
        <v>72000</v>
      </c>
      <c r="H23" s="12">
        <v>6000</v>
      </c>
      <c r="I23" s="12">
        <v>6000</v>
      </c>
      <c r="J23" s="12">
        <v>6000</v>
      </c>
      <c r="K23" s="12">
        <v>6000</v>
      </c>
      <c r="L23" s="12">
        <v>6000</v>
      </c>
      <c r="M23" s="12">
        <v>6000</v>
      </c>
      <c r="N23" s="12">
        <v>6000</v>
      </c>
      <c r="O23" s="12">
        <v>6000</v>
      </c>
      <c r="P23" s="12">
        <v>6000</v>
      </c>
      <c r="Q23" s="12">
        <v>6000</v>
      </c>
      <c r="R23" s="12">
        <v>6000</v>
      </c>
      <c r="S23" s="12">
        <v>6000</v>
      </c>
    </row>
    <row r="24" spans="1:19" s="12" customFormat="1">
      <c r="A24" s="7">
        <v>18</v>
      </c>
      <c r="B24" s="2" t="s">
        <v>133</v>
      </c>
      <c r="C24" s="2" t="s">
        <v>10</v>
      </c>
      <c r="D24" s="2" t="s">
        <v>10</v>
      </c>
      <c r="E24" s="2" t="s">
        <v>199</v>
      </c>
      <c r="F24" s="2" t="s">
        <v>241</v>
      </c>
      <c r="G24" s="11">
        <f t="shared" si="1"/>
        <v>9600</v>
      </c>
      <c r="K24" s="12">
        <v>2400</v>
      </c>
      <c r="M24" s="12">
        <v>2400</v>
      </c>
      <c r="P24" s="12">
        <v>2400</v>
      </c>
      <c r="R24" s="12">
        <v>2400</v>
      </c>
    </row>
    <row r="25" spans="1:19" s="12" customFormat="1">
      <c r="A25" s="7">
        <v>19</v>
      </c>
      <c r="B25" s="2" t="s">
        <v>133</v>
      </c>
      <c r="C25" s="2" t="s">
        <v>242</v>
      </c>
      <c r="D25" s="2" t="s">
        <v>158</v>
      </c>
      <c r="E25" s="2" t="s">
        <v>62</v>
      </c>
      <c r="F25" s="60" t="s">
        <v>243</v>
      </c>
      <c r="G25" s="11">
        <f t="shared" si="1"/>
        <v>14400</v>
      </c>
      <c r="H25" s="12">
        <v>1200</v>
      </c>
      <c r="I25" s="12">
        <v>1200</v>
      </c>
      <c r="J25" s="12">
        <v>1200</v>
      </c>
      <c r="K25" s="12">
        <v>1200</v>
      </c>
      <c r="L25" s="12">
        <v>1200</v>
      </c>
      <c r="M25" s="12">
        <v>1200</v>
      </c>
      <c r="N25" s="12">
        <v>1200</v>
      </c>
      <c r="O25" s="12">
        <v>1200</v>
      </c>
      <c r="P25" s="12">
        <v>1200</v>
      </c>
      <c r="Q25" s="12">
        <v>1200</v>
      </c>
      <c r="R25" s="12">
        <v>1200</v>
      </c>
      <c r="S25" s="12">
        <v>1200</v>
      </c>
    </row>
    <row r="26" spans="1:19" s="12" customFormat="1">
      <c r="A26" s="7">
        <v>20</v>
      </c>
      <c r="B26" s="2" t="s">
        <v>133</v>
      </c>
      <c r="C26" s="2" t="s">
        <v>10</v>
      </c>
      <c r="D26" s="2" t="s">
        <v>10</v>
      </c>
      <c r="E26" s="2" t="s">
        <v>192</v>
      </c>
      <c r="F26" s="2" t="s">
        <v>244</v>
      </c>
      <c r="G26" s="11">
        <f t="shared" si="1"/>
        <v>3200</v>
      </c>
      <c r="J26" s="12">
        <v>3200</v>
      </c>
    </row>
    <row r="27" spans="1:19" s="12" customFormat="1">
      <c r="A27" s="7">
        <v>21</v>
      </c>
      <c r="B27" s="2" t="s">
        <v>133</v>
      </c>
      <c r="C27" s="2" t="s">
        <v>10</v>
      </c>
      <c r="D27" s="2" t="s">
        <v>10</v>
      </c>
      <c r="E27" s="2" t="s">
        <v>192</v>
      </c>
      <c r="F27" s="60" t="s">
        <v>245</v>
      </c>
      <c r="G27" s="11">
        <f>+SUM(H27:S27)</f>
        <v>0</v>
      </c>
    </row>
    <row r="28" spans="1:19" s="12" customFormat="1">
      <c r="A28" s="7">
        <v>22</v>
      </c>
      <c r="B28" s="2" t="s">
        <v>133</v>
      </c>
      <c r="C28" s="2" t="s">
        <v>10</v>
      </c>
      <c r="D28" s="2" t="s">
        <v>10</v>
      </c>
      <c r="E28" s="2" t="s">
        <v>201</v>
      </c>
      <c r="F28" s="60" t="s">
        <v>246</v>
      </c>
      <c r="G28" s="11">
        <f t="shared" si="1"/>
        <v>3500</v>
      </c>
      <c r="J28" s="12">
        <v>1500</v>
      </c>
      <c r="M28" s="12">
        <v>1000</v>
      </c>
      <c r="R28" s="12">
        <v>1000</v>
      </c>
    </row>
    <row r="29" spans="1:19" s="12" customFormat="1">
      <c r="A29" s="7">
        <v>23</v>
      </c>
      <c r="B29" s="2" t="s">
        <v>135</v>
      </c>
      <c r="C29" s="2" t="s">
        <v>10</v>
      </c>
      <c r="D29" s="2" t="s">
        <v>162</v>
      </c>
      <c r="E29" s="2" t="s">
        <v>46</v>
      </c>
      <c r="F29" s="2" t="s">
        <v>247</v>
      </c>
      <c r="G29" s="11">
        <f t="shared" si="1"/>
        <v>2736</v>
      </c>
      <c r="H29" s="12">
        <v>228</v>
      </c>
      <c r="I29" s="12">
        <v>228</v>
      </c>
      <c r="J29" s="12">
        <v>228</v>
      </c>
      <c r="K29" s="12">
        <v>228</v>
      </c>
      <c r="L29" s="12">
        <v>228</v>
      </c>
      <c r="M29" s="12">
        <v>228</v>
      </c>
      <c r="N29" s="12">
        <v>228</v>
      </c>
      <c r="O29" s="12">
        <v>228</v>
      </c>
      <c r="P29" s="12">
        <v>228</v>
      </c>
      <c r="Q29" s="12">
        <v>228</v>
      </c>
      <c r="R29" s="12">
        <v>228</v>
      </c>
      <c r="S29" s="12">
        <v>228</v>
      </c>
    </row>
    <row r="30" spans="1:19" s="12" customFormat="1">
      <c r="A30" s="7">
        <v>24</v>
      </c>
      <c r="B30" s="2" t="s">
        <v>135</v>
      </c>
      <c r="C30" s="2" t="s">
        <v>10</v>
      </c>
      <c r="D30" s="2" t="s">
        <v>10</v>
      </c>
      <c r="E30" s="2" t="s">
        <v>187</v>
      </c>
      <c r="F30" s="2" t="s">
        <v>248</v>
      </c>
      <c r="G30" s="11">
        <f t="shared" si="1"/>
        <v>48000</v>
      </c>
      <c r="H30" s="12">
        <v>4000</v>
      </c>
      <c r="I30" s="12">
        <v>4000</v>
      </c>
      <c r="J30" s="12">
        <v>4000</v>
      </c>
      <c r="K30" s="12">
        <v>4000</v>
      </c>
      <c r="L30" s="12">
        <v>4000</v>
      </c>
      <c r="M30" s="12">
        <v>4000</v>
      </c>
      <c r="N30" s="12">
        <v>4000</v>
      </c>
      <c r="O30" s="12">
        <v>4000</v>
      </c>
      <c r="P30" s="12">
        <v>4000</v>
      </c>
      <c r="Q30" s="12">
        <v>4000</v>
      </c>
      <c r="R30" s="12">
        <v>4000</v>
      </c>
      <c r="S30" s="12">
        <v>4000</v>
      </c>
    </row>
    <row r="31" spans="1:19" s="12" customFormat="1">
      <c r="A31" s="7">
        <v>25</v>
      </c>
      <c r="B31" s="2" t="s">
        <v>135</v>
      </c>
      <c r="C31" s="2" t="s">
        <v>10</v>
      </c>
      <c r="D31" s="2" t="s">
        <v>10</v>
      </c>
      <c r="E31" s="2" t="s">
        <v>35</v>
      </c>
      <c r="F31" s="2" t="s">
        <v>249</v>
      </c>
      <c r="G31" s="11">
        <f t="shared" si="1"/>
        <v>12600</v>
      </c>
      <c r="H31" s="12">
        <v>1050</v>
      </c>
      <c r="I31" s="12">
        <v>1050</v>
      </c>
      <c r="J31" s="12">
        <v>1050</v>
      </c>
      <c r="K31" s="12">
        <v>1050</v>
      </c>
      <c r="L31" s="12">
        <v>1050</v>
      </c>
      <c r="M31" s="12">
        <v>1050</v>
      </c>
      <c r="N31" s="12">
        <v>1050</v>
      </c>
      <c r="O31" s="12">
        <v>1050</v>
      </c>
      <c r="P31" s="12">
        <v>1050</v>
      </c>
      <c r="Q31" s="12">
        <v>1050</v>
      </c>
      <c r="R31" s="12">
        <v>1050</v>
      </c>
      <c r="S31" s="12">
        <v>1050</v>
      </c>
    </row>
    <row r="32" spans="1:19" s="12" customFormat="1">
      <c r="A32" s="7">
        <v>26</v>
      </c>
      <c r="B32" s="2" t="s">
        <v>135</v>
      </c>
      <c r="C32" s="2" t="s">
        <v>10</v>
      </c>
      <c r="D32" s="2" t="s">
        <v>10</v>
      </c>
      <c r="E32" s="2" t="s">
        <v>168</v>
      </c>
      <c r="F32" s="2" t="s">
        <v>250</v>
      </c>
      <c r="G32" s="11">
        <f t="shared" si="1"/>
        <v>10320</v>
      </c>
      <c r="H32" s="12">
        <v>860</v>
      </c>
      <c r="I32" s="12">
        <v>860</v>
      </c>
      <c r="J32" s="12">
        <v>860</v>
      </c>
      <c r="K32" s="12">
        <v>860</v>
      </c>
      <c r="L32" s="12">
        <v>860</v>
      </c>
      <c r="M32" s="12">
        <v>860</v>
      </c>
      <c r="N32" s="12">
        <v>860</v>
      </c>
      <c r="O32" s="12">
        <v>860</v>
      </c>
      <c r="P32" s="12">
        <v>860</v>
      </c>
      <c r="Q32" s="12">
        <v>860</v>
      </c>
      <c r="R32" s="12">
        <v>860</v>
      </c>
      <c r="S32" s="12">
        <v>860</v>
      </c>
    </row>
    <row r="33" spans="1:19" s="12" customFormat="1">
      <c r="A33" s="7">
        <v>27</v>
      </c>
      <c r="B33" s="2" t="s">
        <v>135</v>
      </c>
      <c r="C33" s="2" t="s">
        <v>10</v>
      </c>
      <c r="D33" s="2" t="s">
        <v>160</v>
      </c>
      <c r="E33" s="2" t="s">
        <v>188</v>
      </c>
      <c r="F33" s="2" t="s">
        <v>188</v>
      </c>
      <c r="G33" s="11">
        <f t="shared" si="1"/>
        <v>17400</v>
      </c>
      <c r="H33" s="12">
        <v>1450</v>
      </c>
      <c r="I33" s="12">
        <v>1450</v>
      </c>
      <c r="J33" s="12">
        <v>1450</v>
      </c>
      <c r="K33" s="12">
        <v>1450</v>
      </c>
      <c r="L33" s="12">
        <v>1450</v>
      </c>
      <c r="M33" s="12">
        <v>1450</v>
      </c>
      <c r="N33" s="12">
        <v>1450</v>
      </c>
      <c r="O33" s="12">
        <v>1450</v>
      </c>
      <c r="P33" s="12">
        <v>1450</v>
      </c>
      <c r="Q33" s="12">
        <v>1450</v>
      </c>
      <c r="R33" s="12">
        <v>1450</v>
      </c>
      <c r="S33" s="12">
        <v>1450</v>
      </c>
    </row>
    <row r="34" spans="1:19" s="12" customFormat="1">
      <c r="A34" s="7">
        <v>28</v>
      </c>
      <c r="B34" s="2" t="s">
        <v>135</v>
      </c>
      <c r="C34" s="2" t="s">
        <v>242</v>
      </c>
      <c r="D34" s="2" t="s">
        <v>158</v>
      </c>
      <c r="E34" s="2" t="s">
        <v>62</v>
      </c>
      <c r="F34" s="2" t="s">
        <v>251</v>
      </c>
      <c r="G34" s="11">
        <f t="shared" si="1"/>
        <v>18000</v>
      </c>
      <c r="H34" s="12">
        <v>1500</v>
      </c>
      <c r="I34" s="12">
        <v>1500</v>
      </c>
      <c r="J34" s="12">
        <v>1500</v>
      </c>
      <c r="K34" s="12">
        <v>1500</v>
      </c>
      <c r="L34" s="12">
        <v>1500</v>
      </c>
      <c r="M34" s="12">
        <v>1500</v>
      </c>
      <c r="N34" s="12">
        <v>1500</v>
      </c>
      <c r="O34" s="12">
        <v>1500</v>
      </c>
      <c r="P34" s="12">
        <v>1500</v>
      </c>
      <c r="Q34" s="12">
        <v>1500</v>
      </c>
      <c r="R34" s="12">
        <v>1500</v>
      </c>
      <c r="S34" s="12">
        <v>1500</v>
      </c>
    </row>
    <row r="35" spans="1:19" s="12" customFormat="1">
      <c r="A35" s="7">
        <v>29</v>
      </c>
      <c r="B35" s="2" t="s">
        <v>135</v>
      </c>
      <c r="C35" s="2" t="s">
        <v>10</v>
      </c>
      <c r="D35" s="2" t="s">
        <v>10</v>
      </c>
      <c r="E35" s="2" t="s">
        <v>202</v>
      </c>
      <c r="F35" s="2" t="s">
        <v>252</v>
      </c>
      <c r="G35" s="11">
        <f t="shared" si="1"/>
        <v>6624</v>
      </c>
      <c r="H35" s="12">
        <v>552</v>
      </c>
      <c r="I35" s="12">
        <v>552</v>
      </c>
      <c r="J35" s="12">
        <v>552</v>
      </c>
      <c r="K35" s="12">
        <v>552</v>
      </c>
      <c r="L35" s="12">
        <v>552</v>
      </c>
      <c r="M35" s="12">
        <v>552</v>
      </c>
      <c r="N35" s="12">
        <v>552</v>
      </c>
      <c r="O35" s="12">
        <v>552</v>
      </c>
      <c r="P35" s="12">
        <v>552</v>
      </c>
      <c r="Q35" s="12">
        <v>552</v>
      </c>
      <c r="R35" s="12">
        <v>552</v>
      </c>
      <c r="S35" s="12">
        <v>552</v>
      </c>
    </row>
    <row r="36" spans="1:19" s="12" customFormat="1">
      <c r="A36" s="7">
        <v>30</v>
      </c>
      <c r="B36" s="2" t="s">
        <v>135</v>
      </c>
      <c r="C36" s="2" t="s">
        <v>10</v>
      </c>
      <c r="D36" s="2" t="s">
        <v>161</v>
      </c>
      <c r="E36" s="2" t="s">
        <v>172</v>
      </c>
      <c r="F36" s="2" t="s">
        <v>253</v>
      </c>
      <c r="G36" s="11">
        <f>+SUM(H36:S36)</f>
        <v>0</v>
      </c>
    </row>
    <row r="37" spans="1:19" s="12" customFormat="1">
      <c r="A37" s="7">
        <v>31</v>
      </c>
      <c r="B37" s="2" t="s">
        <v>138</v>
      </c>
      <c r="C37" s="2" t="s">
        <v>10</v>
      </c>
      <c r="D37" s="2" t="s">
        <v>10</v>
      </c>
      <c r="E37" s="2" t="s">
        <v>168</v>
      </c>
      <c r="F37" s="62" t="s">
        <v>254</v>
      </c>
      <c r="G37" s="11">
        <f t="shared" si="1"/>
        <v>7200</v>
      </c>
      <c r="H37" s="12">
        <v>600</v>
      </c>
      <c r="I37" s="12">
        <v>600</v>
      </c>
      <c r="J37" s="12">
        <v>600</v>
      </c>
      <c r="K37" s="12">
        <v>600</v>
      </c>
      <c r="L37" s="12">
        <v>600</v>
      </c>
      <c r="M37" s="12">
        <v>600</v>
      </c>
      <c r="N37" s="12">
        <v>600</v>
      </c>
      <c r="O37" s="12">
        <v>600</v>
      </c>
      <c r="P37" s="12">
        <v>600</v>
      </c>
      <c r="Q37" s="12">
        <v>600</v>
      </c>
      <c r="R37" s="12">
        <v>600</v>
      </c>
      <c r="S37" s="12">
        <v>600</v>
      </c>
    </row>
    <row r="38" spans="1:19" s="12" customFormat="1">
      <c r="A38" s="7">
        <v>32</v>
      </c>
      <c r="B38" s="2" t="s">
        <v>138</v>
      </c>
      <c r="C38" s="2" t="s">
        <v>10</v>
      </c>
      <c r="D38" s="2" t="s">
        <v>10</v>
      </c>
      <c r="E38" s="2" t="s">
        <v>195</v>
      </c>
      <c r="F38" s="2" t="s">
        <v>255</v>
      </c>
      <c r="G38" s="11">
        <f t="shared" si="1"/>
        <v>2720</v>
      </c>
      <c r="H38" s="12">
        <v>360</v>
      </c>
      <c r="I38" s="12">
        <v>160</v>
      </c>
      <c r="J38" s="12">
        <v>160</v>
      </c>
      <c r="K38" s="12">
        <v>360</v>
      </c>
      <c r="L38" s="12">
        <v>160</v>
      </c>
      <c r="M38" s="12">
        <v>160</v>
      </c>
      <c r="N38" s="12">
        <v>360</v>
      </c>
      <c r="O38" s="12">
        <v>160</v>
      </c>
      <c r="P38" s="12">
        <v>160</v>
      </c>
      <c r="Q38" s="12">
        <v>360</v>
      </c>
      <c r="R38" s="12">
        <v>160</v>
      </c>
      <c r="S38" s="12">
        <v>160</v>
      </c>
    </row>
    <row r="39" spans="1:19" s="12" customFormat="1">
      <c r="A39" s="7">
        <v>33</v>
      </c>
      <c r="B39" s="2" t="s">
        <v>138</v>
      </c>
      <c r="C39" s="2" t="s">
        <v>10</v>
      </c>
      <c r="D39" s="2" t="s">
        <v>10</v>
      </c>
      <c r="E39" s="2" t="s">
        <v>182</v>
      </c>
      <c r="F39" s="2" t="s">
        <v>256</v>
      </c>
      <c r="G39" s="11">
        <f t="shared" si="1"/>
        <v>1092</v>
      </c>
      <c r="H39" s="12">
        <v>91</v>
      </c>
      <c r="I39" s="12">
        <v>91</v>
      </c>
      <c r="J39" s="12">
        <v>91</v>
      </c>
      <c r="K39" s="12">
        <v>91</v>
      </c>
      <c r="L39" s="12">
        <v>91</v>
      </c>
      <c r="M39" s="12">
        <v>91</v>
      </c>
      <c r="N39" s="12">
        <v>91</v>
      </c>
      <c r="O39" s="12">
        <v>91</v>
      </c>
      <c r="P39" s="12">
        <v>91</v>
      </c>
      <c r="Q39" s="12">
        <v>91</v>
      </c>
      <c r="R39" s="12">
        <v>91</v>
      </c>
      <c r="S39" s="12">
        <v>91</v>
      </c>
    </row>
    <row r="40" spans="1:19" s="12" customFormat="1">
      <c r="A40" s="7">
        <v>34</v>
      </c>
      <c r="B40" s="2" t="s">
        <v>138</v>
      </c>
      <c r="C40" s="2" t="s">
        <v>10</v>
      </c>
      <c r="D40" s="2" t="s">
        <v>10</v>
      </c>
      <c r="E40" s="2" t="s">
        <v>197</v>
      </c>
      <c r="F40" s="2" t="s">
        <v>257</v>
      </c>
      <c r="G40" s="11">
        <f t="shared" si="1"/>
        <v>1012</v>
      </c>
      <c r="I40" s="12">
        <v>252</v>
      </c>
      <c r="J40" s="12">
        <v>152</v>
      </c>
      <c r="K40" s="12">
        <v>152</v>
      </c>
      <c r="L40" s="12">
        <v>152</v>
      </c>
      <c r="M40" s="12">
        <v>152</v>
      </c>
      <c r="N40" s="12">
        <v>152</v>
      </c>
    </row>
    <row r="41" spans="1:19" s="12" customFormat="1">
      <c r="A41" s="7">
        <v>35</v>
      </c>
      <c r="B41" s="2" t="s">
        <v>138</v>
      </c>
      <c r="C41" s="2" t="s">
        <v>10</v>
      </c>
      <c r="D41" s="2" t="s">
        <v>10</v>
      </c>
      <c r="E41" s="2" t="s">
        <v>35</v>
      </c>
      <c r="F41" s="2" t="s">
        <v>258</v>
      </c>
      <c r="G41" s="11">
        <f t="shared" si="1"/>
        <v>12720</v>
      </c>
      <c r="H41" s="12">
        <v>1060</v>
      </c>
      <c r="I41" s="12">
        <v>1060</v>
      </c>
      <c r="J41" s="12">
        <v>1060</v>
      </c>
      <c r="K41" s="12">
        <v>1060</v>
      </c>
      <c r="L41" s="12">
        <v>1060</v>
      </c>
      <c r="M41" s="12">
        <v>1060</v>
      </c>
      <c r="N41" s="12">
        <v>1060</v>
      </c>
      <c r="O41" s="12">
        <v>1060</v>
      </c>
      <c r="P41" s="12">
        <v>1060</v>
      </c>
      <c r="Q41" s="12">
        <v>1060</v>
      </c>
      <c r="R41" s="12">
        <v>1060</v>
      </c>
      <c r="S41" s="12">
        <v>1060</v>
      </c>
    </row>
    <row r="42" spans="1:19" s="12" customFormat="1">
      <c r="A42" s="7">
        <v>36</v>
      </c>
      <c r="B42" s="2" t="s">
        <v>138</v>
      </c>
      <c r="C42" s="2" t="s">
        <v>10</v>
      </c>
      <c r="D42" s="2" t="s">
        <v>10</v>
      </c>
      <c r="E42" s="2" t="s">
        <v>194</v>
      </c>
      <c r="F42" s="2" t="s">
        <v>179</v>
      </c>
      <c r="G42" s="11">
        <f t="shared" si="1"/>
        <v>7920</v>
      </c>
      <c r="H42" s="12">
        <v>660</v>
      </c>
      <c r="I42" s="12">
        <v>660</v>
      </c>
      <c r="J42" s="12">
        <v>660</v>
      </c>
      <c r="K42" s="12">
        <v>660</v>
      </c>
      <c r="L42" s="12">
        <v>660</v>
      </c>
      <c r="M42" s="12">
        <v>660</v>
      </c>
      <c r="N42" s="12">
        <v>660</v>
      </c>
      <c r="O42" s="12">
        <v>660</v>
      </c>
      <c r="P42" s="12">
        <v>660</v>
      </c>
      <c r="Q42" s="12">
        <v>660</v>
      </c>
      <c r="R42" s="12">
        <v>660</v>
      </c>
      <c r="S42" s="12">
        <v>660</v>
      </c>
    </row>
    <row r="43" spans="1:19" s="12" customFormat="1">
      <c r="A43" s="7">
        <v>37</v>
      </c>
      <c r="B43" s="2" t="s">
        <v>138</v>
      </c>
      <c r="C43" s="2" t="s">
        <v>242</v>
      </c>
      <c r="D43" s="2" t="s">
        <v>10</v>
      </c>
      <c r="E43" s="2" t="s">
        <v>187</v>
      </c>
      <c r="F43" s="2" t="s">
        <v>259</v>
      </c>
      <c r="G43" s="11">
        <f t="shared" si="1"/>
        <v>60000</v>
      </c>
      <c r="H43" s="12">
        <v>5000</v>
      </c>
      <c r="I43" s="12">
        <v>5000</v>
      </c>
      <c r="J43" s="12">
        <v>5000</v>
      </c>
      <c r="K43" s="12">
        <v>5000</v>
      </c>
      <c r="L43" s="12">
        <v>5000</v>
      </c>
      <c r="M43" s="12">
        <v>5000</v>
      </c>
      <c r="N43" s="12">
        <v>5000</v>
      </c>
      <c r="O43" s="12">
        <v>5000</v>
      </c>
      <c r="P43" s="12">
        <v>5000</v>
      </c>
      <c r="Q43" s="12">
        <v>5000</v>
      </c>
      <c r="R43" s="12">
        <v>5000</v>
      </c>
      <c r="S43" s="12">
        <v>5000</v>
      </c>
    </row>
    <row r="44" spans="1:19" s="12" customFormat="1">
      <c r="A44" s="7">
        <v>38</v>
      </c>
      <c r="B44" s="2" t="s">
        <v>138</v>
      </c>
      <c r="C44" s="2" t="s">
        <v>10</v>
      </c>
      <c r="D44" s="2" t="s">
        <v>10</v>
      </c>
      <c r="E44" s="2" t="s">
        <v>35</v>
      </c>
      <c r="F44" s="2" t="s">
        <v>260</v>
      </c>
      <c r="G44" s="11">
        <f t="shared" si="1"/>
        <v>920</v>
      </c>
      <c r="H44" s="12">
        <v>460</v>
      </c>
      <c r="I44" s="12">
        <v>460</v>
      </c>
    </row>
    <row r="45" spans="1:19" s="12" customFormat="1">
      <c r="A45" s="7">
        <v>39</v>
      </c>
      <c r="B45" s="2" t="s">
        <v>138</v>
      </c>
      <c r="C45" s="2" t="s">
        <v>242</v>
      </c>
      <c r="D45" s="2" t="s">
        <v>158</v>
      </c>
      <c r="E45" s="2" t="s">
        <v>171</v>
      </c>
      <c r="F45" s="2" t="s">
        <v>261</v>
      </c>
      <c r="G45" s="11">
        <f t="shared" si="1"/>
        <v>1702</v>
      </c>
      <c r="H45" s="12">
        <v>851</v>
      </c>
      <c r="S45" s="12">
        <v>851</v>
      </c>
    </row>
    <row r="46" spans="1:19" s="12" customFormat="1">
      <c r="A46" s="7">
        <v>40</v>
      </c>
      <c r="B46" s="2" t="s">
        <v>138</v>
      </c>
      <c r="C46" s="2" t="s">
        <v>10</v>
      </c>
      <c r="D46" s="2" t="s">
        <v>10</v>
      </c>
      <c r="E46" s="2" t="s">
        <v>195</v>
      </c>
      <c r="F46" s="2" t="s">
        <v>195</v>
      </c>
      <c r="G46" s="11">
        <f t="shared" si="1"/>
        <v>330</v>
      </c>
      <c r="H46" s="12">
        <v>15</v>
      </c>
      <c r="I46" s="12">
        <v>30</v>
      </c>
      <c r="J46" s="12">
        <v>60</v>
      </c>
      <c r="K46" s="12">
        <v>15</v>
      </c>
      <c r="L46" s="12">
        <v>60</v>
      </c>
      <c r="M46" s="12">
        <v>15</v>
      </c>
      <c r="N46" s="12">
        <v>15</v>
      </c>
      <c r="O46" s="12">
        <v>15</v>
      </c>
      <c r="P46" s="12">
        <v>60</v>
      </c>
      <c r="Q46" s="12">
        <v>15</v>
      </c>
      <c r="R46" s="12">
        <v>15</v>
      </c>
      <c r="S46" s="12">
        <v>15</v>
      </c>
    </row>
    <row r="47" spans="1:19" s="12" customFormat="1">
      <c r="A47" s="7">
        <v>41</v>
      </c>
      <c r="B47" s="2" t="s">
        <v>138</v>
      </c>
      <c r="C47" s="2" t="s">
        <v>10</v>
      </c>
      <c r="D47" s="2" t="s">
        <v>160</v>
      </c>
      <c r="E47" s="2" t="s">
        <v>188</v>
      </c>
      <c r="F47" s="2" t="s">
        <v>188</v>
      </c>
      <c r="G47" s="11">
        <f t="shared" si="1"/>
        <v>3000</v>
      </c>
      <c r="H47" s="12">
        <v>800</v>
      </c>
      <c r="I47" s="12">
        <v>200</v>
      </c>
      <c r="J47" s="12">
        <v>200</v>
      </c>
      <c r="K47" s="12">
        <v>200</v>
      </c>
      <c r="L47" s="12">
        <v>200</v>
      </c>
      <c r="M47" s="12">
        <v>200</v>
      </c>
      <c r="N47" s="12">
        <v>200</v>
      </c>
      <c r="O47" s="12">
        <v>200</v>
      </c>
      <c r="P47" s="12">
        <v>200</v>
      </c>
      <c r="Q47" s="12">
        <v>200</v>
      </c>
      <c r="R47" s="12">
        <v>200</v>
      </c>
      <c r="S47" s="12">
        <v>200</v>
      </c>
    </row>
    <row r="48" spans="1:19" s="12" customFormat="1">
      <c r="A48" s="7">
        <v>42</v>
      </c>
      <c r="B48" s="2" t="s">
        <v>138</v>
      </c>
      <c r="C48" s="2" t="s">
        <v>10</v>
      </c>
      <c r="D48" s="2" t="s">
        <v>10</v>
      </c>
      <c r="E48" s="2" t="s">
        <v>194</v>
      </c>
      <c r="F48" s="2" t="s">
        <v>262</v>
      </c>
      <c r="G48" s="11">
        <f t="shared" si="1"/>
        <v>6600</v>
      </c>
      <c r="H48" s="12">
        <v>550</v>
      </c>
      <c r="I48" s="12">
        <v>550</v>
      </c>
      <c r="J48" s="12">
        <v>550</v>
      </c>
      <c r="K48" s="12">
        <v>550</v>
      </c>
      <c r="L48" s="12">
        <v>550</v>
      </c>
      <c r="M48" s="12">
        <v>550</v>
      </c>
      <c r="N48" s="12">
        <v>550</v>
      </c>
      <c r="O48" s="12">
        <v>550</v>
      </c>
      <c r="P48" s="12">
        <v>550</v>
      </c>
      <c r="Q48" s="12">
        <v>550</v>
      </c>
      <c r="R48" s="12">
        <v>550</v>
      </c>
      <c r="S48" s="12">
        <v>550</v>
      </c>
    </row>
    <row r="49" spans="1:19" s="12" customFormat="1">
      <c r="A49" s="7">
        <v>43</v>
      </c>
      <c r="B49" s="2" t="s">
        <v>138</v>
      </c>
      <c r="C49" s="2" t="s">
        <v>10</v>
      </c>
      <c r="D49" s="2" t="s">
        <v>10</v>
      </c>
      <c r="E49" s="2" t="s">
        <v>201</v>
      </c>
      <c r="F49" s="2" t="s">
        <v>263</v>
      </c>
      <c r="G49" s="11">
        <f t="shared" si="1"/>
        <v>2880</v>
      </c>
      <c r="H49" s="12">
        <v>240</v>
      </c>
      <c r="I49" s="12">
        <v>240</v>
      </c>
      <c r="J49" s="12">
        <v>240</v>
      </c>
      <c r="K49" s="12">
        <v>240</v>
      </c>
      <c r="L49" s="12">
        <v>240</v>
      </c>
      <c r="M49" s="12">
        <v>240</v>
      </c>
      <c r="N49" s="12">
        <v>240</v>
      </c>
      <c r="O49" s="12">
        <v>240</v>
      </c>
      <c r="P49" s="12">
        <v>240</v>
      </c>
      <c r="Q49" s="12">
        <v>240</v>
      </c>
      <c r="R49" s="12">
        <v>240</v>
      </c>
      <c r="S49" s="12">
        <v>240</v>
      </c>
    </row>
    <row r="50" spans="1:19" s="12" customFormat="1">
      <c r="A50" s="7">
        <v>44</v>
      </c>
      <c r="B50" s="2" t="s">
        <v>141</v>
      </c>
      <c r="C50" s="2" t="s">
        <v>10</v>
      </c>
      <c r="D50" s="2" t="s">
        <v>10</v>
      </c>
      <c r="E50" s="2" t="s">
        <v>195</v>
      </c>
      <c r="F50" s="2" t="s">
        <v>195</v>
      </c>
      <c r="G50" s="11">
        <f t="shared" si="1"/>
        <v>360</v>
      </c>
      <c r="H50" s="12">
        <v>30</v>
      </c>
      <c r="I50" s="12">
        <v>30</v>
      </c>
      <c r="J50" s="12">
        <v>30</v>
      </c>
      <c r="K50" s="12">
        <v>30</v>
      </c>
      <c r="L50" s="12">
        <v>30</v>
      </c>
      <c r="M50" s="12">
        <v>30</v>
      </c>
      <c r="N50" s="12">
        <v>30</v>
      </c>
      <c r="O50" s="12">
        <v>30</v>
      </c>
      <c r="P50" s="12">
        <v>30</v>
      </c>
      <c r="Q50" s="12">
        <v>30</v>
      </c>
      <c r="R50" s="12">
        <v>30</v>
      </c>
      <c r="S50" s="12">
        <v>30</v>
      </c>
    </row>
    <row r="51" spans="1:19" s="12" customFormat="1">
      <c r="A51" s="7">
        <v>45</v>
      </c>
      <c r="B51" s="2" t="s">
        <v>133</v>
      </c>
      <c r="C51" s="2" t="s">
        <v>10</v>
      </c>
      <c r="D51" s="2" t="s">
        <v>161</v>
      </c>
      <c r="E51" s="2" t="s">
        <v>72</v>
      </c>
      <c r="F51" s="2" t="s">
        <v>264</v>
      </c>
      <c r="G51" s="11">
        <f>+SUM(H51:S51)</f>
        <v>12000</v>
      </c>
      <c r="J51" s="12">
        <v>4000</v>
      </c>
      <c r="K51" s="12">
        <v>4000</v>
      </c>
      <c r="L51" s="12">
        <v>4000</v>
      </c>
    </row>
    <row r="52" spans="1:19" s="12" customFormat="1">
      <c r="A52" s="7">
        <v>46</v>
      </c>
      <c r="B52" s="2" t="s">
        <v>133</v>
      </c>
      <c r="C52" s="2" t="s">
        <v>10</v>
      </c>
      <c r="D52" s="2" t="s">
        <v>10</v>
      </c>
      <c r="E52" s="2" t="s">
        <v>173</v>
      </c>
      <c r="F52" s="2" t="s">
        <v>265</v>
      </c>
      <c r="G52" s="11">
        <f>+SUM(H52:S52)</f>
        <v>0</v>
      </c>
      <c r="H52" s="12">
        <v>0</v>
      </c>
      <c r="I52" s="12">
        <v>0</v>
      </c>
      <c r="J52" s="12">
        <v>0</v>
      </c>
      <c r="K52" s="12">
        <v>0</v>
      </c>
      <c r="L52" s="12">
        <v>0</v>
      </c>
      <c r="M52" s="12">
        <v>0</v>
      </c>
      <c r="N52" s="12">
        <v>0</v>
      </c>
      <c r="O52" s="12">
        <v>0</v>
      </c>
      <c r="P52" s="12">
        <v>0</v>
      </c>
      <c r="Q52" s="12">
        <v>0</v>
      </c>
      <c r="R52" s="12">
        <v>0</v>
      </c>
      <c r="S52" s="12">
        <v>0</v>
      </c>
    </row>
    <row r="53" spans="1:19" s="12" customFormat="1">
      <c r="A53" s="7">
        <v>47</v>
      </c>
      <c r="B53" s="2" t="s">
        <v>135</v>
      </c>
      <c r="C53" s="2" t="s">
        <v>10</v>
      </c>
      <c r="D53" s="2" t="s">
        <v>10</v>
      </c>
      <c r="E53" s="2" t="s">
        <v>187</v>
      </c>
      <c r="F53" s="2" t="s">
        <v>266</v>
      </c>
      <c r="G53" s="11">
        <f t="shared" si="1"/>
        <v>24588</v>
      </c>
      <c r="H53" s="12">
        <v>2049</v>
      </c>
      <c r="I53" s="12">
        <v>2049</v>
      </c>
      <c r="J53" s="12">
        <v>2049</v>
      </c>
      <c r="K53" s="12">
        <v>2049</v>
      </c>
      <c r="L53" s="12">
        <v>2049</v>
      </c>
      <c r="M53" s="12">
        <v>2049</v>
      </c>
      <c r="N53" s="12">
        <v>2049</v>
      </c>
      <c r="O53" s="12">
        <v>2049</v>
      </c>
      <c r="P53" s="12">
        <v>2049</v>
      </c>
      <c r="Q53" s="12">
        <v>2049</v>
      </c>
      <c r="R53" s="12">
        <v>2049</v>
      </c>
      <c r="S53" s="12">
        <v>2049</v>
      </c>
    </row>
    <row r="54" spans="1:19" s="12" customFormat="1">
      <c r="A54" s="7">
        <v>48</v>
      </c>
      <c r="B54" s="67" t="s">
        <v>133</v>
      </c>
      <c r="C54" s="67" t="s">
        <v>10</v>
      </c>
      <c r="D54" s="67" t="s">
        <v>10</v>
      </c>
      <c r="E54" s="67" t="s">
        <v>187</v>
      </c>
      <c r="F54" s="67" t="s">
        <v>267</v>
      </c>
      <c r="G54" s="11">
        <f t="shared" si="1"/>
        <v>46800</v>
      </c>
      <c r="H54" s="12">
        <v>3900</v>
      </c>
      <c r="I54" s="12">
        <v>3900</v>
      </c>
      <c r="J54" s="12">
        <v>3900</v>
      </c>
      <c r="K54" s="12">
        <v>3900</v>
      </c>
      <c r="L54" s="12">
        <v>3900</v>
      </c>
      <c r="M54" s="12">
        <v>3900</v>
      </c>
      <c r="N54" s="12">
        <v>3900</v>
      </c>
      <c r="O54" s="12">
        <v>3900</v>
      </c>
      <c r="P54" s="12">
        <v>3900</v>
      </c>
      <c r="Q54" s="12">
        <v>3900</v>
      </c>
      <c r="R54" s="12">
        <v>3900</v>
      </c>
      <c r="S54" s="12">
        <v>3900</v>
      </c>
    </row>
    <row r="55" spans="1:19" s="12" customFormat="1">
      <c r="A55" s="7">
        <v>49</v>
      </c>
      <c r="B55" s="67" t="s">
        <v>133</v>
      </c>
      <c r="C55" s="67" t="s">
        <v>10</v>
      </c>
      <c r="D55" s="67" t="s">
        <v>10</v>
      </c>
      <c r="E55" s="67" t="s">
        <v>187</v>
      </c>
      <c r="F55" s="67" t="s">
        <v>268</v>
      </c>
      <c r="G55" s="11">
        <f t="shared" si="1"/>
        <v>15360</v>
      </c>
      <c r="H55" s="12">
        <v>1280</v>
      </c>
      <c r="I55" s="12">
        <v>1280</v>
      </c>
      <c r="J55" s="12">
        <v>1280</v>
      </c>
      <c r="K55" s="12">
        <v>1280</v>
      </c>
      <c r="L55" s="12">
        <v>1280</v>
      </c>
      <c r="M55" s="12">
        <v>1280</v>
      </c>
      <c r="N55" s="12">
        <v>1280</v>
      </c>
      <c r="O55" s="12">
        <v>1280</v>
      </c>
      <c r="P55" s="12">
        <v>1280</v>
      </c>
      <c r="Q55" s="12">
        <v>1280</v>
      </c>
      <c r="R55" s="12">
        <v>1280</v>
      </c>
      <c r="S55" s="12">
        <v>1280</v>
      </c>
    </row>
    <row r="56" spans="1:19" s="12" customFormat="1">
      <c r="A56" s="7">
        <v>50</v>
      </c>
      <c r="B56" s="67" t="s">
        <v>133</v>
      </c>
      <c r="C56" s="67" t="s">
        <v>10</v>
      </c>
      <c r="D56" s="67" t="s">
        <v>162</v>
      </c>
      <c r="E56" s="67" t="s">
        <v>66</v>
      </c>
      <c r="F56" s="67" t="s">
        <v>269</v>
      </c>
      <c r="G56" s="11">
        <f t="shared" si="1"/>
        <v>6936</v>
      </c>
      <c r="H56" s="12">
        <v>578</v>
      </c>
      <c r="I56" s="12">
        <v>578</v>
      </c>
      <c r="J56" s="12">
        <v>578</v>
      </c>
      <c r="K56" s="12">
        <v>578</v>
      </c>
      <c r="L56" s="12">
        <v>578</v>
      </c>
      <c r="M56" s="12">
        <v>578</v>
      </c>
      <c r="N56" s="12">
        <v>578</v>
      </c>
      <c r="O56" s="12">
        <v>578</v>
      </c>
      <c r="P56" s="12">
        <v>578</v>
      </c>
      <c r="Q56" s="12">
        <v>578</v>
      </c>
      <c r="R56" s="12">
        <v>578</v>
      </c>
      <c r="S56" s="12">
        <v>578</v>
      </c>
    </row>
    <row r="57" spans="1:19" s="12" customFormat="1">
      <c r="A57" s="7">
        <v>51</v>
      </c>
      <c r="B57" s="67" t="s">
        <v>133</v>
      </c>
      <c r="C57" s="67" t="s">
        <v>10</v>
      </c>
      <c r="D57" s="67" t="s">
        <v>10</v>
      </c>
      <c r="E57" s="67" t="s">
        <v>189</v>
      </c>
      <c r="F57" s="67" t="s">
        <v>270</v>
      </c>
      <c r="G57" s="11">
        <f t="shared" si="1"/>
        <v>3468</v>
      </c>
      <c r="H57" s="12">
        <v>289</v>
      </c>
      <c r="I57" s="12">
        <v>289</v>
      </c>
      <c r="J57" s="12">
        <v>289</v>
      </c>
      <c r="K57" s="12">
        <v>289</v>
      </c>
      <c r="L57" s="12">
        <v>289</v>
      </c>
      <c r="M57" s="12">
        <v>289</v>
      </c>
      <c r="N57" s="12">
        <v>289</v>
      </c>
      <c r="O57" s="12">
        <v>289</v>
      </c>
      <c r="P57" s="12">
        <v>289</v>
      </c>
      <c r="Q57" s="12">
        <v>289</v>
      </c>
      <c r="R57" s="12">
        <v>289</v>
      </c>
      <c r="S57" s="12">
        <v>289</v>
      </c>
    </row>
    <row r="58" spans="1:19" s="12" customFormat="1">
      <c r="A58" s="7">
        <v>52</v>
      </c>
      <c r="B58" s="67" t="s">
        <v>133</v>
      </c>
      <c r="C58" s="67" t="s">
        <v>10</v>
      </c>
      <c r="D58" s="67" t="s">
        <v>162</v>
      </c>
      <c r="E58" s="67" t="s">
        <v>34</v>
      </c>
      <c r="F58" s="67" t="s">
        <v>271</v>
      </c>
      <c r="G58" s="11">
        <f t="shared" si="1"/>
        <v>3468</v>
      </c>
      <c r="H58" s="12">
        <v>289</v>
      </c>
      <c r="I58" s="12">
        <v>289</v>
      </c>
      <c r="J58" s="12">
        <v>289</v>
      </c>
      <c r="K58" s="12">
        <v>289</v>
      </c>
      <c r="L58" s="12">
        <v>289</v>
      </c>
      <c r="M58" s="12">
        <v>289</v>
      </c>
      <c r="N58" s="12">
        <v>289</v>
      </c>
      <c r="O58" s="12">
        <v>289</v>
      </c>
      <c r="P58" s="12">
        <v>289</v>
      </c>
      <c r="Q58" s="12">
        <v>289</v>
      </c>
      <c r="R58" s="12">
        <v>289</v>
      </c>
      <c r="S58" s="12">
        <v>289</v>
      </c>
    </row>
    <row r="59" spans="1:19" s="12" customFormat="1">
      <c r="A59" s="7">
        <v>53</v>
      </c>
      <c r="B59" s="2"/>
      <c r="C59" s="2"/>
      <c r="D59" s="2"/>
      <c r="E59" s="2"/>
      <c r="F59" s="2"/>
      <c r="G59" s="11">
        <f t="shared" si="1"/>
        <v>0</v>
      </c>
    </row>
    <row r="60" spans="1:19" s="12" customFormat="1">
      <c r="A60" s="7">
        <v>54</v>
      </c>
      <c r="B60" s="2"/>
      <c r="C60" s="2"/>
      <c r="D60" s="2"/>
      <c r="E60" s="2"/>
      <c r="F60" s="2"/>
      <c r="G60" s="11">
        <f t="shared" si="1"/>
        <v>0</v>
      </c>
    </row>
    <row r="61" spans="1:19" s="12" customFormat="1">
      <c r="A61" s="7">
        <v>55</v>
      </c>
      <c r="B61" s="2"/>
      <c r="C61" s="2"/>
      <c r="D61" s="2"/>
      <c r="E61" s="2"/>
      <c r="F61" s="2"/>
      <c r="G61" s="11">
        <f t="shared" si="1"/>
        <v>0</v>
      </c>
    </row>
    <row r="62" spans="1:19" s="12" customFormat="1">
      <c r="A62" s="7">
        <v>56</v>
      </c>
      <c r="B62" s="2"/>
      <c r="C62" s="2"/>
      <c r="D62" s="2"/>
      <c r="E62" s="2"/>
      <c r="F62" s="2"/>
      <c r="G62" s="11">
        <f t="shared" si="1"/>
        <v>0</v>
      </c>
    </row>
    <row r="63" spans="1:19" s="12" customFormat="1">
      <c r="A63" s="7">
        <v>57</v>
      </c>
      <c r="B63" s="2"/>
      <c r="C63" s="2"/>
      <c r="D63" s="2"/>
      <c r="E63" s="2"/>
      <c r="F63" s="2"/>
      <c r="G63" s="11">
        <f t="shared" si="1"/>
        <v>0</v>
      </c>
    </row>
    <row r="64" spans="1:19" s="12" customFormat="1">
      <c r="A64" s="7">
        <v>58</v>
      </c>
      <c r="B64" s="2"/>
      <c r="C64" s="2"/>
      <c r="D64" s="2"/>
      <c r="E64" s="2"/>
      <c r="F64" s="2"/>
      <c r="G64" s="11">
        <f t="shared" si="1"/>
        <v>0</v>
      </c>
    </row>
    <row r="65" spans="1:7" s="12" customFormat="1">
      <c r="A65" s="7">
        <v>59</v>
      </c>
      <c r="B65" s="2"/>
      <c r="C65" s="2"/>
      <c r="D65" s="2"/>
      <c r="E65" s="2"/>
      <c r="F65" s="2"/>
      <c r="G65" s="11">
        <f t="shared" si="1"/>
        <v>0</v>
      </c>
    </row>
    <row r="66" spans="1:7" s="12" customFormat="1">
      <c r="A66" s="7">
        <v>60</v>
      </c>
      <c r="B66" s="2"/>
      <c r="C66" s="2"/>
      <c r="D66" s="2"/>
      <c r="E66" s="2"/>
      <c r="F66" s="2"/>
      <c r="G66" s="11">
        <f t="shared" si="1"/>
        <v>0</v>
      </c>
    </row>
    <row r="67" spans="1:7" s="12" customFormat="1">
      <c r="A67" s="7">
        <v>61</v>
      </c>
      <c r="B67" s="2"/>
      <c r="C67" s="2"/>
      <c r="D67" s="2"/>
      <c r="E67" s="2"/>
      <c r="F67" s="2"/>
      <c r="G67" s="11">
        <f t="shared" si="1"/>
        <v>0</v>
      </c>
    </row>
    <row r="68" spans="1:7" s="12" customFormat="1">
      <c r="A68" s="7">
        <v>62</v>
      </c>
      <c r="B68" s="2"/>
      <c r="C68" s="2"/>
      <c r="D68" s="2"/>
      <c r="E68" s="2"/>
      <c r="F68" s="2"/>
      <c r="G68" s="11">
        <f t="shared" ref="G68:G102" si="2">+SUM(H68:S68)</f>
        <v>0</v>
      </c>
    </row>
    <row r="69" spans="1:7" s="12" customFormat="1">
      <c r="A69" s="7">
        <v>63</v>
      </c>
      <c r="B69" s="2"/>
      <c r="C69" s="2"/>
      <c r="D69" s="2"/>
      <c r="E69" s="2"/>
      <c r="F69" s="2"/>
      <c r="G69" s="11">
        <f t="shared" si="2"/>
        <v>0</v>
      </c>
    </row>
    <row r="70" spans="1:7" s="12" customFormat="1">
      <c r="A70" s="7">
        <v>64</v>
      </c>
      <c r="B70" s="2"/>
      <c r="C70" s="2"/>
      <c r="D70" s="2"/>
      <c r="E70" s="2"/>
      <c r="F70" s="2"/>
      <c r="G70" s="11">
        <f t="shared" si="2"/>
        <v>0</v>
      </c>
    </row>
    <row r="71" spans="1:7" s="12" customFormat="1">
      <c r="A71" s="7">
        <v>65</v>
      </c>
      <c r="B71" s="2"/>
      <c r="C71" s="2"/>
      <c r="D71" s="2"/>
      <c r="E71" s="2"/>
      <c r="F71" s="2"/>
      <c r="G71" s="11">
        <f t="shared" si="2"/>
        <v>0</v>
      </c>
    </row>
    <row r="72" spans="1:7" s="12" customFormat="1">
      <c r="A72" s="7">
        <v>66</v>
      </c>
      <c r="B72" s="2"/>
      <c r="C72" s="2"/>
      <c r="D72" s="2"/>
      <c r="E72" s="2"/>
      <c r="F72" s="2"/>
      <c r="G72" s="11">
        <f t="shared" si="2"/>
        <v>0</v>
      </c>
    </row>
    <row r="73" spans="1:7" s="12" customFormat="1">
      <c r="A73" s="7">
        <v>67</v>
      </c>
      <c r="B73" s="2"/>
      <c r="C73" s="2"/>
      <c r="D73" s="2"/>
      <c r="E73" s="2"/>
      <c r="F73" s="2"/>
      <c r="G73" s="11">
        <f t="shared" si="2"/>
        <v>0</v>
      </c>
    </row>
    <row r="74" spans="1:7" s="12" customFormat="1">
      <c r="A74" s="7">
        <v>68</v>
      </c>
      <c r="B74" s="2"/>
      <c r="C74" s="2"/>
      <c r="D74" s="2"/>
      <c r="E74" s="2"/>
      <c r="F74" s="2"/>
      <c r="G74" s="11">
        <f t="shared" si="2"/>
        <v>0</v>
      </c>
    </row>
    <row r="75" spans="1:7" s="12" customFormat="1">
      <c r="A75" s="7">
        <v>69</v>
      </c>
      <c r="B75" s="2"/>
      <c r="C75" s="2"/>
      <c r="D75" s="2"/>
      <c r="E75" s="2"/>
      <c r="F75" s="2"/>
      <c r="G75" s="11">
        <f t="shared" si="2"/>
        <v>0</v>
      </c>
    </row>
    <row r="76" spans="1:7" s="12" customFormat="1">
      <c r="A76" s="7">
        <v>70</v>
      </c>
      <c r="B76" s="2"/>
      <c r="C76" s="2"/>
      <c r="D76" s="2"/>
      <c r="E76" s="2"/>
      <c r="F76" s="2"/>
      <c r="G76" s="11">
        <f t="shared" si="2"/>
        <v>0</v>
      </c>
    </row>
    <row r="77" spans="1:7" s="12" customFormat="1">
      <c r="A77" s="7">
        <v>71</v>
      </c>
      <c r="B77" s="2"/>
      <c r="C77" s="2"/>
      <c r="D77" s="2"/>
      <c r="E77" s="2"/>
      <c r="F77" s="2"/>
      <c r="G77" s="11">
        <f t="shared" si="2"/>
        <v>0</v>
      </c>
    </row>
    <row r="78" spans="1:7" s="12" customFormat="1">
      <c r="A78" s="7">
        <v>72</v>
      </c>
      <c r="B78" s="2"/>
      <c r="C78" s="2"/>
      <c r="D78" s="2"/>
      <c r="E78" s="2"/>
      <c r="F78" s="2"/>
      <c r="G78" s="11">
        <f t="shared" si="2"/>
        <v>0</v>
      </c>
    </row>
    <row r="79" spans="1:7" s="12" customFormat="1">
      <c r="A79" s="7">
        <v>73</v>
      </c>
      <c r="B79" s="2"/>
      <c r="C79" s="2"/>
      <c r="D79" s="2"/>
      <c r="E79" s="2"/>
      <c r="F79" s="2"/>
      <c r="G79" s="11">
        <f t="shared" si="2"/>
        <v>0</v>
      </c>
    </row>
    <row r="80" spans="1:7" s="12" customFormat="1">
      <c r="A80" s="7">
        <v>74</v>
      </c>
      <c r="B80" s="2"/>
      <c r="C80" s="2"/>
      <c r="D80" s="2"/>
      <c r="E80" s="2"/>
      <c r="F80" s="2"/>
      <c r="G80" s="11">
        <f t="shared" si="2"/>
        <v>0</v>
      </c>
    </row>
    <row r="81" spans="1:7" s="12" customFormat="1">
      <c r="A81" s="7">
        <v>75</v>
      </c>
      <c r="B81" s="2"/>
      <c r="C81" s="2"/>
      <c r="D81" s="2"/>
      <c r="E81" s="2"/>
      <c r="F81" s="2"/>
      <c r="G81" s="11">
        <f t="shared" si="2"/>
        <v>0</v>
      </c>
    </row>
    <row r="82" spans="1:7" s="12" customFormat="1">
      <c r="A82" s="7">
        <v>76</v>
      </c>
      <c r="B82" s="2"/>
      <c r="C82" s="2"/>
      <c r="D82" s="2"/>
      <c r="E82" s="2"/>
      <c r="F82" s="2"/>
      <c r="G82" s="11">
        <f t="shared" si="2"/>
        <v>0</v>
      </c>
    </row>
    <row r="83" spans="1:7" s="12" customFormat="1">
      <c r="A83" s="7">
        <v>77</v>
      </c>
      <c r="B83" s="2"/>
      <c r="C83" s="2"/>
      <c r="D83" s="2"/>
      <c r="E83" s="2"/>
      <c r="F83" s="2"/>
      <c r="G83" s="11">
        <f t="shared" si="2"/>
        <v>0</v>
      </c>
    </row>
    <row r="84" spans="1:7" s="12" customFormat="1">
      <c r="A84" s="7">
        <v>78</v>
      </c>
      <c r="B84" s="2"/>
      <c r="C84" s="2"/>
      <c r="D84" s="2"/>
      <c r="E84" s="2"/>
      <c r="F84" s="2"/>
      <c r="G84" s="11">
        <f t="shared" si="2"/>
        <v>0</v>
      </c>
    </row>
    <row r="85" spans="1:7" s="12" customFormat="1">
      <c r="A85" s="7">
        <v>79</v>
      </c>
      <c r="B85" s="2"/>
      <c r="C85" s="2"/>
      <c r="D85" s="2"/>
      <c r="E85" s="2"/>
      <c r="F85" s="2"/>
      <c r="G85" s="11">
        <f t="shared" si="2"/>
        <v>0</v>
      </c>
    </row>
    <row r="86" spans="1:7" s="12" customFormat="1">
      <c r="A86" s="7">
        <v>80</v>
      </c>
      <c r="B86" s="2"/>
      <c r="C86" s="2"/>
      <c r="D86" s="2"/>
      <c r="E86" s="2"/>
      <c r="F86" s="2"/>
      <c r="G86" s="11">
        <f t="shared" si="2"/>
        <v>0</v>
      </c>
    </row>
    <row r="87" spans="1:7" s="12" customFormat="1">
      <c r="A87" s="7">
        <v>81</v>
      </c>
      <c r="B87" s="2"/>
      <c r="C87" s="2"/>
      <c r="D87" s="2"/>
      <c r="E87" s="2"/>
      <c r="F87" s="2"/>
      <c r="G87" s="11">
        <f t="shared" si="2"/>
        <v>0</v>
      </c>
    </row>
    <row r="88" spans="1:7" s="12" customFormat="1">
      <c r="A88" s="7">
        <v>82</v>
      </c>
      <c r="B88" s="2"/>
      <c r="C88" s="2"/>
      <c r="D88" s="2"/>
      <c r="E88" s="2"/>
      <c r="F88" s="2"/>
      <c r="G88" s="11">
        <f t="shared" si="2"/>
        <v>0</v>
      </c>
    </row>
    <row r="89" spans="1:7" s="12" customFormat="1">
      <c r="A89" s="7">
        <v>83</v>
      </c>
      <c r="B89" s="2"/>
      <c r="C89" s="2"/>
      <c r="D89" s="2"/>
      <c r="E89" s="2"/>
      <c r="F89" s="2"/>
      <c r="G89" s="11">
        <f t="shared" si="2"/>
        <v>0</v>
      </c>
    </row>
    <row r="90" spans="1:7" s="12" customFormat="1">
      <c r="A90" s="7">
        <v>84</v>
      </c>
      <c r="B90" s="2"/>
      <c r="C90" s="2"/>
      <c r="D90" s="2"/>
      <c r="E90" s="2"/>
      <c r="F90" s="2"/>
      <c r="G90" s="11">
        <f t="shared" si="2"/>
        <v>0</v>
      </c>
    </row>
    <row r="91" spans="1:7" s="12" customFormat="1">
      <c r="A91" s="7">
        <v>85</v>
      </c>
      <c r="B91" s="2"/>
      <c r="C91" s="2"/>
      <c r="D91" s="2"/>
      <c r="E91" s="2"/>
      <c r="F91" s="2"/>
      <c r="G91" s="11">
        <f t="shared" si="2"/>
        <v>0</v>
      </c>
    </row>
    <row r="92" spans="1:7" s="12" customFormat="1">
      <c r="A92" s="7">
        <v>86</v>
      </c>
      <c r="B92" s="2"/>
      <c r="C92" s="2"/>
      <c r="D92" s="2"/>
      <c r="E92" s="2"/>
      <c r="F92" s="2"/>
      <c r="G92" s="11">
        <f t="shared" si="2"/>
        <v>0</v>
      </c>
    </row>
    <row r="93" spans="1:7" s="12" customFormat="1">
      <c r="A93" s="7">
        <v>87</v>
      </c>
      <c r="B93" s="2"/>
      <c r="C93" s="2"/>
      <c r="D93" s="2"/>
      <c r="E93" s="2"/>
      <c r="F93" s="2"/>
      <c r="G93" s="11">
        <f t="shared" si="2"/>
        <v>0</v>
      </c>
    </row>
    <row r="94" spans="1:7" s="12" customFormat="1">
      <c r="A94" s="7">
        <v>88</v>
      </c>
      <c r="B94" s="2"/>
      <c r="C94" s="2"/>
      <c r="D94" s="2"/>
      <c r="E94" s="2"/>
      <c r="F94" s="2"/>
      <c r="G94" s="11">
        <f t="shared" si="2"/>
        <v>0</v>
      </c>
    </row>
    <row r="95" spans="1:7" s="12" customFormat="1">
      <c r="A95" s="7">
        <v>89</v>
      </c>
      <c r="B95" s="2"/>
      <c r="C95" s="2"/>
      <c r="D95" s="2"/>
      <c r="E95" s="2"/>
      <c r="F95" s="2"/>
      <c r="G95" s="11">
        <f t="shared" si="2"/>
        <v>0</v>
      </c>
    </row>
    <row r="96" spans="1:7" s="12" customFormat="1">
      <c r="A96" s="7">
        <v>90</v>
      </c>
      <c r="B96" s="2"/>
      <c r="C96" s="2"/>
      <c r="D96" s="2"/>
      <c r="E96" s="2"/>
      <c r="F96" s="2"/>
      <c r="G96" s="11">
        <f t="shared" si="2"/>
        <v>0</v>
      </c>
    </row>
    <row r="97" spans="1:7" s="12" customFormat="1">
      <c r="A97" s="7">
        <v>91</v>
      </c>
      <c r="B97" s="2"/>
      <c r="C97" s="2"/>
      <c r="D97" s="2"/>
      <c r="E97" s="2"/>
      <c r="F97" s="2"/>
      <c r="G97" s="11">
        <f t="shared" si="2"/>
        <v>0</v>
      </c>
    </row>
    <row r="98" spans="1:7" s="12" customFormat="1">
      <c r="A98" s="7">
        <v>92</v>
      </c>
      <c r="B98" s="2"/>
      <c r="C98" s="2"/>
      <c r="D98" s="2"/>
      <c r="E98" s="2"/>
      <c r="F98" s="2"/>
      <c r="G98" s="11">
        <f t="shared" si="2"/>
        <v>0</v>
      </c>
    </row>
    <row r="99" spans="1:7" s="12" customFormat="1">
      <c r="A99" s="7">
        <v>93</v>
      </c>
      <c r="B99" s="2"/>
      <c r="C99" s="2"/>
      <c r="D99" s="2"/>
      <c r="E99" s="2"/>
      <c r="F99" s="2"/>
      <c r="G99" s="11">
        <f t="shared" si="2"/>
        <v>0</v>
      </c>
    </row>
    <row r="100" spans="1:7" s="12" customFormat="1">
      <c r="A100" s="7">
        <v>94</v>
      </c>
      <c r="B100" s="2"/>
      <c r="C100" s="2"/>
      <c r="D100" s="2"/>
      <c r="E100" s="2"/>
      <c r="F100" s="2"/>
      <c r="G100" s="11">
        <f t="shared" si="2"/>
        <v>0</v>
      </c>
    </row>
    <row r="101" spans="1:7" s="12" customFormat="1">
      <c r="A101" s="7">
        <v>95</v>
      </c>
      <c r="B101" s="2"/>
      <c r="C101" s="2"/>
      <c r="D101" s="2"/>
      <c r="E101" s="2"/>
      <c r="F101" s="2"/>
      <c r="G101" s="11">
        <f t="shared" si="2"/>
        <v>0</v>
      </c>
    </row>
    <row r="102" spans="1:7" s="12" customFormat="1">
      <c r="A102" s="7">
        <v>96</v>
      </c>
      <c r="B102" s="2"/>
      <c r="C102" s="2"/>
      <c r="D102" s="2"/>
      <c r="E102" s="2"/>
      <c r="F102" s="2"/>
      <c r="G102" s="11">
        <f t="shared" si="2"/>
        <v>0</v>
      </c>
    </row>
    <row r="103" spans="1:7" s="12" customFormat="1">
      <c r="A103" s="7">
        <v>97</v>
      </c>
      <c r="B103" s="2"/>
      <c r="C103" s="2"/>
      <c r="D103" s="2"/>
      <c r="E103" s="2"/>
      <c r="F103" s="2"/>
      <c r="G103" s="11">
        <f t="shared" ref="G103:G106" si="3">+SUM(H103:S103)</f>
        <v>0</v>
      </c>
    </row>
    <row r="104" spans="1:7" s="12" customFormat="1">
      <c r="A104" s="7">
        <v>98</v>
      </c>
      <c r="B104" s="2"/>
      <c r="C104" s="2"/>
      <c r="D104" s="2"/>
      <c r="E104" s="2"/>
      <c r="F104" s="2"/>
      <c r="G104" s="11">
        <f t="shared" si="3"/>
        <v>0</v>
      </c>
    </row>
    <row r="105" spans="1:7" s="12" customFormat="1">
      <c r="A105" s="7">
        <v>99</v>
      </c>
      <c r="B105" s="2"/>
      <c r="C105" s="2"/>
      <c r="D105" s="2"/>
      <c r="E105" s="2"/>
      <c r="F105" s="2"/>
      <c r="G105" s="11">
        <f t="shared" si="3"/>
        <v>0</v>
      </c>
    </row>
    <row r="106" spans="1:7" s="12" customFormat="1">
      <c r="A106" s="7">
        <v>100</v>
      </c>
      <c r="B106" s="2"/>
      <c r="C106" s="2"/>
      <c r="D106" s="2"/>
      <c r="E106" s="2"/>
      <c r="F106" s="2"/>
      <c r="G106" s="11">
        <f t="shared" si="3"/>
        <v>0</v>
      </c>
    </row>
  </sheetData>
  <mergeCells count="5">
    <mergeCell ref="A5:S5"/>
    <mergeCell ref="A1:S1"/>
    <mergeCell ref="A2:S2"/>
    <mergeCell ref="A3:B3"/>
    <mergeCell ref="A4:B4"/>
  </mergeCells>
  <dataValidations count="1">
    <dataValidation type="list" allowBlank="1" showInputMessage="1" showErrorMessage="1" sqref="E7:E106" xr:uid="{C6C1026E-18DE-4739-B1C7-B4B6DF0CDF1D}">
      <formula1>INDIRECT(D7)</formula1>
    </dataValidation>
  </dataValidations>
  <pageMargins left="0.7" right="0.7" top="0.75" bottom="0.75" header="0.3" footer="0.3"/>
  <pageSetup scale="42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12A7A1BB-4334-425A-A80A-05AF9A65C0FF}">
          <x14:formula1>
            <xm:f>INPUT!$B$2:$B$10</xm:f>
          </x14:formula1>
          <xm:sqref>F3</xm:sqref>
        </x14:dataValidation>
        <x14:dataValidation type="list" allowBlank="1" showInputMessage="1" showErrorMessage="1" xr:uid="{96A7DB81-9F52-4FBA-80CE-4BDCB70B44C2}">
          <x14:formula1>
            <xm:f>INPUT!$A$2:$A$9</xm:f>
          </x14:formula1>
          <xm:sqref>F4</xm:sqref>
        </x14:dataValidation>
        <x14:dataValidation type="list" allowBlank="1" showInputMessage="1" showErrorMessage="1" xr:uid="{0B478FD3-D716-4D83-B6B0-FE3C9DC084EF}">
          <x14:formula1>
            <xm:f>INPUT!$C$2:$C$7</xm:f>
          </x14:formula1>
          <xm:sqref>C58:C102 B7:B106</xm:sqref>
        </x14:dataValidation>
        <x14:dataValidation type="list" allowBlank="1" showInputMessage="1" showErrorMessage="1" xr:uid="{BAF7808B-B972-4617-830D-A608E9286CA9}">
          <x14:formula1>
            <xm:f>Categorías!$G$1:$Q$1</xm:f>
          </x14:formula1>
          <xm:sqref>D7:D106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918F4C-AE98-41A0-976E-0A06B463626F}">
  <sheetPr codeName="Hoja4">
    <tabColor theme="3"/>
  </sheetPr>
  <dimension ref="A1:T106"/>
  <sheetViews>
    <sheetView topLeftCell="D1" zoomScale="80" zoomScaleNormal="80" workbookViewId="0">
      <selection activeCell="G7" sqref="G7:G38"/>
    </sheetView>
  </sheetViews>
  <sheetFormatPr defaultColWidth="0" defaultRowHeight="12.95"/>
  <cols>
    <col min="1" max="1" width="4" style="2" bestFit="1" customWidth="1"/>
    <col min="2" max="2" width="13.7109375" style="2" bestFit="1" customWidth="1"/>
    <col min="3" max="3" width="13.7109375" style="2" customWidth="1"/>
    <col min="4" max="4" width="21.42578125" style="2" bestFit="1" customWidth="1"/>
    <col min="5" max="5" width="26" style="2" bestFit="1" customWidth="1"/>
    <col min="6" max="6" width="58" style="2" bestFit="1" customWidth="1"/>
    <col min="7" max="7" width="12.7109375" style="2" bestFit="1" customWidth="1"/>
    <col min="8" max="19" width="11.7109375" style="2" bestFit="1" customWidth="1"/>
    <col min="20" max="20" width="0" style="2" hidden="1" customWidth="1"/>
    <col min="21" max="16384" width="11.5703125" style="2" hidden="1"/>
  </cols>
  <sheetData>
    <row r="1" spans="1:20" ht="23.45">
      <c r="A1" s="97" t="s">
        <v>205</v>
      </c>
      <c r="B1" s="97"/>
      <c r="C1" s="97"/>
      <c r="D1" s="97"/>
      <c r="E1" s="97"/>
      <c r="F1" s="97"/>
      <c r="G1" s="97"/>
      <c r="H1" s="97"/>
      <c r="I1" s="97"/>
      <c r="J1" s="97"/>
      <c r="K1" s="97"/>
      <c r="L1" s="97"/>
      <c r="M1" s="97"/>
      <c r="N1" s="97"/>
      <c r="O1" s="97"/>
      <c r="P1" s="97"/>
      <c r="Q1" s="97"/>
      <c r="R1" s="97"/>
      <c r="S1" s="97"/>
    </row>
    <row r="2" spans="1:20" ht="6" customHeight="1">
      <c r="A2" s="96"/>
      <c r="B2" s="96"/>
      <c r="C2" s="96"/>
      <c r="D2" s="96"/>
      <c r="E2" s="96"/>
      <c r="F2" s="96"/>
      <c r="G2" s="96"/>
      <c r="H2" s="96"/>
      <c r="I2" s="96"/>
      <c r="J2" s="96"/>
      <c r="K2" s="96"/>
      <c r="L2" s="96"/>
      <c r="M2" s="96"/>
      <c r="N2" s="96"/>
      <c r="O2" s="96"/>
      <c r="P2" s="96"/>
      <c r="Q2" s="96"/>
      <c r="R2" s="96"/>
      <c r="S2" s="96"/>
    </row>
    <row r="3" spans="1:20" ht="14.65" customHeight="1">
      <c r="A3" s="98" t="s">
        <v>129</v>
      </c>
      <c r="B3" s="98"/>
      <c r="C3" s="6"/>
      <c r="D3" s="6"/>
      <c r="E3" s="6"/>
      <c r="F3" s="2" t="s">
        <v>132</v>
      </c>
      <c r="G3" s="4" t="s">
        <v>206</v>
      </c>
      <c r="H3" s="5">
        <v>46023</v>
      </c>
      <c r="I3" s="5">
        <v>46054</v>
      </c>
      <c r="J3" s="5">
        <v>46082</v>
      </c>
      <c r="K3" s="5">
        <v>46113</v>
      </c>
      <c r="L3" s="5">
        <v>46143</v>
      </c>
      <c r="M3" s="5">
        <v>46174</v>
      </c>
      <c r="N3" s="5">
        <v>46204</v>
      </c>
      <c r="O3" s="5">
        <v>46235</v>
      </c>
      <c r="P3" s="5">
        <v>46266</v>
      </c>
      <c r="Q3" s="5">
        <v>46296</v>
      </c>
      <c r="R3" s="5">
        <v>46327</v>
      </c>
      <c r="S3" s="5">
        <v>46357</v>
      </c>
    </row>
    <row r="4" spans="1:20" ht="14.65" customHeight="1">
      <c r="A4" s="98" t="s">
        <v>207</v>
      </c>
      <c r="B4" s="98"/>
      <c r="C4" s="6"/>
      <c r="D4" s="6"/>
      <c r="E4" s="6"/>
      <c r="F4" s="2" t="s">
        <v>131</v>
      </c>
      <c r="G4" s="25">
        <f t="shared" ref="G4:S4" si="0">+SUM(G7:G105)</f>
        <v>237687.16</v>
      </c>
      <c r="H4" s="24">
        <f t="shared" si="0"/>
        <v>30325</v>
      </c>
      <c r="I4" s="24">
        <f t="shared" si="0"/>
        <v>9222.81</v>
      </c>
      <c r="J4" s="24">
        <f t="shared" si="0"/>
        <v>43097.599999999999</v>
      </c>
      <c r="K4" s="24">
        <f t="shared" si="0"/>
        <v>9683.67</v>
      </c>
      <c r="L4" s="24">
        <f t="shared" si="0"/>
        <v>17217</v>
      </c>
      <c r="M4" s="24">
        <f t="shared" si="0"/>
        <v>29587</v>
      </c>
      <c r="N4" s="24">
        <f t="shared" si="0"/>
        <v>22125</v>
      </c>
      <c r="O4" s="24">
        <f t="shared" si="0"/>
        <v>10358</v>
      </c>
      <c r="P4" s="24">
        <f t="shared" si="0"/>
        <v>23300.079999999998</v>
      </c>
      <c r="Q4" s="24">
        <f t="shared" si="0"/>
        <v>10355</v>
      </c>
      <c r="R4" s="24">
        <f t="shared" si="0"/>
        <v>16450</v>
      </c>
      <c r="S4" s="24">
        <f t="shared" si="0"/>
        <v>15966</v>
      </c>
    </row>
    <row r="5" spans="1:20" ht="5.65" customHeight="1">
      <c r="A5" s="96"/>
      <c r="B5" s="96"/>
      <c r="C5" s="96"/>
      <c r="D5" s="96"/>
      <c r="E5" s="96"/>
      <c r="F5" s="96"/>
      <c r="G5" s="96"/>
      <c r="H5" s="96"/>
      <c r="I5" s="96"/>
      <c r="J5" s="96"/>
      <c r="K5" s="96"/>
      <c r="L5" s="96"/>
      <c r="M5" s="96"/>
      <c r="N5" s="96"/>
      <c r="O5" s="96"/>
      <c r="P5" s="96"/>
      <c r="Q5" s="96"/>
      <c r="R5" s="96"/>
      <c r="S5" s="96"/>
    </row>
    <row r="6" spans="1:20">
      <c r="A6" s="4" t="s">
        <v>208</v>
      </c>
      <c r="B6" s="4" t="s">
        <v>153</v>
      </c>
      <c r="C6" s="4" t="s">
        <v>209</v>
      </c>
      <c r="D6" s="4" t="s">
        <v>210</v>
      </c>
      <c r="E6" s="4" t="s">
        <v>1</v>
      </c>
      <c r="F6" s="4" t="s">
        <v>211</v>
      </c>
      <c r="G6" s="4" t="s">
        <v>206</v>
      </c>
      <c r="H6" s="5" t="s">
        <v>212</v>
      </c>
      <c r="I6" s="5" t="s">
        <v>213</v>
      </c>
      <c r="J6" s="5" t="s">
        <v>214</v>
      </c>
      <c r="K6" s="5" t="s">
        <v>215</v>
      </c>
      <c r="L6" s="5" t="s">
        <v>216</v>
      </c>
      <c r="M6" s="5" t="s">
        <v>217</v>
      </c>
      <c r="N6" s="5" t="s">
        <v>218</v>
      </c>
      <c r="O6" s="5" t="s">
        <v>219</v>
      </c>
      <c r="P6" s="5" t="s">
        <v>220</v>
      </c>
      <c r="Q6" s="5" t="s">
        <v>221</v>
      </c>
      <c r="R6" s="5" t="s">
        <v>222</v>
      </c>
      <c r="S6" s="5" t="s">
        <v>223</v>
      </c>
      <c r="T6" s="3"/>
    </row>
    <row r="7" spans="1:20">
      <c r="A7" s="7">
        <v>1</v>
      </c>
      <c r="B7" s="23" t="s">
        <v>141</v>
      </c>
      <c r="C7" s="23" t="s">
        <v>132</v>
      </c>
      <c r="D7" s="23" t="s">
        <v>132</v>
      </c>
      <c r="E7" s="23" t="s">
        <v>174</v>
      </c>
      <c r="F7" s="23" t="s">
        <v>272</v>
      </c>
      <c r="G7" s="11">
        <f t="shared" ref="G7:G37" si="1">+SUM(H7:S7)</f>
        <v>26220</v>
      </c>
      <c r="H7" s="24">
        <v>22945</v>
      </c>
      <c r="I7" s="24">
        <v>3275</v>
      </c>
      <c r="J7" s="24">
        <v>0</v>
      </c>
      <c r="K7" s="24">
        <v>0</v>
      </c>
      <c r="L7" s="24">
        <v>0</v>
      </c>
      <c r="M7" s="24">
        <v>0</v>
      </c>
      <c r="N7" s="24">
        <v>0</v>
      </c>
      <c r="O7" s="24">
        <v>0</v>
      </c>
      <c r="P7" s="24">
        <v>0</v>
      </c>
      <c r="Q7" s="24">
        <v>0</v>
      </c>
      <c r="R7" s="24">
        <v>0</v>
      </c>
      <c r="S7" s="24">
        <v>0</v>
      </c>
    </row>
    <row r="8" spans="1:20">
      <c r="A8" s="7">
        <v>2</v>
      </c>
      <c r="B8" s="23" t="s">
        <v>141</v>
      </c>
      <c r="C8" s="23" t="s">
        <v>132</v>
      </c>
      <c r="D8" s="23" t="s">
        <v>132</v>
      </c>
      <c r="E8" s="23" t="s">
        <v>174</v>
      </c>
      <c r="F8" s="23" t="s">
        <v>273</v>
      </c>
      <c r="G8" s="11">
        <f t="shared" si="1"/>
        <v>6669</v>
      </c>
      <c r="H8" s="24">
        <v>3880</v>
      </c>
      <c r="I8" s="24">
        <v>1469</v>
      </c>
      <c r="J8" s="24">
        <v>1320</v>
      </c>
      <c r="K8" s="24">
        <v>0</v>
      </c>
      <c r="L8" s="24">
        <v>0</v>
      </c>
      <c r="M8" s="24">
        <v>0</v>
      </c>
      <c r="N8" s="24">
        <v>0</v>
      </c>
      <c r="O8" s="24">
        <v>0</v>
      </c>
      <c r="P8" s="24">
        <v>0</v>
      </c>
      <c r="Q8" s="24">
        <v>0</v>
      </c>
      <c r="R8" s="24">
        <v>0</v>
      </c>
      <c r="S8" s="24">
        <v>0</v>
      </c>
    </row>
    <row r="9" spans="1:20">
      <c r="A9" s="7">
        <v>3</v>
      </c>
      <c r="B9" s="23" t="s">
        <v>133</v>
      </c>
      <c r="C9" s="23" t="s">
        <v>132</v>
      </c>
      <c r="D9" s="23" t="s">
        <v>132</v>
      </c>
      <c r="E9" s="23" t="s">
        <v>174</v>
      </c>
      <c r="F9" s="23" t="s">
        <v>274</v>
      </c>
      <c r="G9" s="11">
        <f t="shared" si="1"/>
        <v>0</v>
      </c>
      <c r="H9" s="24"/>
      <c r="I9" s="24"/>
      <c r="J9" s="24"/>
      <c r="K9" s="24"/>
      <c r="L9" s="24"/>
      <c r="M9" s="24"/>
      <c r="N9" s="24"/>
      <c r="O9" s="24"/>
      <c r="P9" s="24"/>
      <c r="Q9" s="24"/>
      <c r="R9" s="24"/>
      <c r="S9" s="24"/>
    </row>
    <row r="10" spans="1:20">
      <c r="A10" s="7">
        <v>4</v>
      </c>
      <c r="B10" s="23" t="s">
        <v>141</v>
      </c>
      <c r="C10" s="23" t="s">
        <v>132</v>
      </c>
      <c r="D10" s="23" t="s">
        <v>132</v>
      </c>
      <c r="E10" s="23" t="s">
        <v>174</v>
      </c>
      <c r="F10" s="23" t="s">
        <v>275</v>
      </c>
      <c r="G10" s="11">
        <f t="shared" si="1"/>
        <v>2268.81</v>
      </c>
      <c r="H10" s="12">
        <v>0</v>
      </c>
      <c r="I10" s="12">
        <v>978.81</v>
      </c>
      <c r="J10" s="12">
        <v>510</v>
      </c>
      <c r="K10" s="12">
        <v>220</v>
      </c>
      <c r="L10" s="12">
        <v>560</v>
      </c>
      <c r="M10" s="12">
        <v>0</v>
      </c>
      <c r="N10" s="12">
        <v>0</v>
      </c>
      <c r="O10" s="12">
        <v>0</v>
      </c>
      <c r="P10" s="12">
        <v>0</v>
      </c>
      <c r="Q10" s="12">
        <v>0</v>
      </c>
      <c r="R10" s="12">
        <v>0</v>
      </c>
      <c r="S10" s="12">
        <v>0</v>
      </c>
    </row>
    <row r="11" spans="1:20">
      <c r="A11" s="7">
        <v>5</v>
      </c>
      <c r="B11" s="23" t="s">
        <v>133</v>
      </c>
      <c r="C11" s="23" t="s">
        <v>132</v>
      </c>
      <c r="D11" s="23" t="s">
        <v>132</v>
      </c>
      <c r="E11" s="23" t="s">
        <v>174</v>
      </c>
      <c r="F11" s="23" t="s">
        <v>276</v>
      </c>
      <c r="G11" s="11">
        <f t="shared" si="1"/>
        <v>1120</v>
      </c>
      <c r="H11" s="24">
        <v>0</v>
      </c>
      <c r="I11" s="24">
        <v>0</v>
      </c>
      <c r="J11" s="24">
        <v>0</v>
      </c>
      <c r="K11" s="24">
        <v>800</v>
      </c>
      <c r="L11" s="24">
        <v>320</v>
      </c>
      <c r="M11" s="24">
        <v>0</v>
      </c>
      <c r="N11" s="24">
        <v>0</v>
      </c>
      <c r="O11" s="24">
        <v>0</v>
      </c>
      <c r="P11" s="24">
        <v>0</v>
      </c>
      <c r="Q11" s="24">
        <v>0</v>
      </c>
      <c r="R11" s="24">
        <v>0</v>
      </c>
      <c r="S11" s="24">
        <v>0</v>
      </c>
    </row>
    <row r="12" spans="1:20">
      <c r="A12" s="7">
        <v>6</v>
      </c>
      <c r="B12" s="23" t="s">
        <v>133</v>
      </c>
      <c r="C12" s="23" t="s">
        <v>132</v>
      </c>
      <c r="D12" s="23" t="s">
        <v>132</v>
      </c>
      <c r="E12" s="23" t="s">
        <v>174</v>
      </c>
      <c r="F12" s="23" t="s">
        <v>277</v>
      </c>
      <c r="G12" s="11">
        <f t="shared" si="1"/>
        <v>2312</v>
      </c>
      <c r="H12" s="24">
        <v>0</v>
      </c>
      <c r="I12" s="24">
        <v>0</v>
      </c>
      <c r="J12" s="24">
        <v>0</v>
      </c>
      <c r="K12" s="24">
        <v>1200</v>
      </c>
      <c r="L12" s="24">
        <v>837</v>
      </c>
      <c r="M12" s="24">
        <v>275</v>
      </c>
      <c r="N12" s="24">
        <v>0</v>
      </c>
      <c r="O12" s="24">
        <v>0</v>
      </c>
      <c r="P12" s="24">
        <v>0</v>
      </c>
      <c r="Q12" s="24">
        <v>0</v>
      </c>
      <c r="R12" s="24">
        <v>0</v>
      </c>
      <c r="S12" s="24">
        <v>0</v>
      </c>
    </row>
    <row r="13" spans="1:20">
      <c r="A13" s="7">
        <v>7</v>
      </c>
      <c r="B13" s="23" t="s">
        <v>133</v>
      </c>
      <c r="C13" s="23" t="s">
        <v>132</v>
      </c>
      <c r="D13" s="23" t="s">
        <v>132</v>
      </c>
      <c r="E13" s="23" t="s">
        <v>174</v>
      </c>
      <c r="F13" s="23" t="s">
        <v>278</v>
      </c>
      <c r="G13" s="11">
        <f t="shared" si="1"/>
        <v>24191.599999999999</v>
      </c>
      <c r="H13" s="24">
        <v>0</v>
      </c>
      <c r="I13" s="24">
        <v>0</v>
      </c>
      <c r="J13" s="24">
        <v>15331.6</v>
      </c>
      <c r="K13" s="24">
        <v>0</v>
      </c>
      <c r="L13" s="24">
        <v>7000</v>
      </c>
      <c r="M13" s="24">
        <v>0</v>
      </c>
      <c r="N13" s="24">
        <v>0</v>
      </c>
      <c r="O13" s="24">
        <v>1860</v>
      </c>
      <c r="P13" s="24">
        <v>0</v>
      </c>
      <c r="Q13" s="24">
        <v>0</v>
      </c>
      <c r="R13" s="24">
        <v>0</v>
      </c>
      <c r="S13" s="24">
        <v>0</v>
      </c>
    </row>
    <row r="14" spans="1:20">
      <c r="A14" s="7">
        <v>8</v>
      </c>
      <c r="B14" s="23" t="s">
        <v>138</v>
      </c>
      <c r="C14" s="23" t="s">
        <v>132</v>
      </c>
      <c r="D14" s="23" t="s">
        <v>132</v>
      </c>
      <c r="E14" s="23" t="s">
        <v>174</v>
      </c>
      <c r="F14" s="23" t="s">
        <v>279</v>
      </c>
      <c r="G14" s="11">
        <f t="shared" si="1"/>
        <v>15008.67</v>
      </c>
      <c r="H14" s="24">
        <v>0</v>
      </c>
      <c r="I14" s="24">
        <v>0</v>
      </c>
      <c r="J14" s="24">
        <v>0</v>
      </c>
      <c r="K14" s="24">
        <v>3963.67</v>
      </c>
      <c r="L14" s="24">
        <v>0</v>
      </c>
      <c r="M14" s="24">
        <v>9575</v>
      </c>
      <c r="N14" s="24">
        <v>0</v>
      </c>
      <c r="O14" s="24">
        <v>1470</v>
      </c>
      <c r="P14" s="24">
        <v>0</v>
      </c>
      <c r="Q14" s="24">
        <v>0</v>
      </c>
      <c r="R14" s="24">
        <v>0</v>
      </c>
      <c r="S14" s="24">
        <v>0</v>
      </c>
    </row>
    <row r="15" spans="1:20">
      <c r="A15" s="7">
        <v>9</v>
      </c>
      <c r="B15" s="23" t="s">
        <v>133</v>
      </c>
      <c r="C15" s="23" t="s">
        <v>132</v>
      </c>
      <c r="D15" s="23" t="s">
        <v>132</v>
      </c>
      <c r="E15" s="23" t="s">
        <v>174</v>
      </c>
      <c r="F15" s="23" t="s">
        <v>280</v>
      </c>
      <c r="G15" s="11">
        <f t="shared" si="1"/>
        <v>550</v>
      </c>
      <c r="H15" s="24">
        <v>0</v>
      </c>
      <c r="I15" s="24">
        <v>0</v>
      </c>
      <c r="J15" s="24">
        <v>0</v>
      </c>
      <c r="K15" s="24">
        <v>0</v>
      </c>
      <c r="L15" s="24">
        <v>0</v>
      </c>
      <c r="M15" s="24">
        <v>0</v>
      </c>
      <c r="N15" s="24">
        <v>230</v>
      </c>
      <c r="O15" s="24">
        <v>320</v>
      </c>
      <c r="P15" s="24">
        <v>0</v>
      </c>
      <c r="Q15" s="24">
        <v>0</v>
      </c>
      <c r="R15" s="24">
        <v>0</v>
      </c>
      <c r="S15" s="24">
        <v>0</v>
      </c>
    </row>
    <row r="16" spans="1:20">
      <c r="A16" s="7">
        <v>10</v>
      </c>
      <c r="B16" s="23" t="s">
        <v>135</v>
      </c>
      <c r="C16" s="23" t="s">
        <v>132</v>
      </c>
      <c r="D16" s="23" t="s">
        <v>132</v>
      </c>
      <c r="E16" s="23" t="s">
        <v>174</v>
      </c>
      <c r="F16" s="23" t="s">
        <v>281</v>
      </c>
      <c r="G16" s="11">
        <f t="shared" si="1"/>
        <v>3813</v>
      </c>
      <c r="H16" s="24">
        <v>0</v>
      </c>
      <c r="I16" s="24">
        <v>0</v>
      </c>
      <c r="J16" s="24">
        <v>0</v>
      </c>
      <c r="K16" s="24">
        <v>0</v>
      </c>
      <c r="L16" s="24">
        <v>0</v>
      </c>
      <c r="M16" s="24">
        <v>0</v>
      </c>
      <c r="N16" s="24">
        <v>0</v>
      </c>
      <c r="O16" s="24">
        <v>3208</v>
      </c>
      <c r="P16" s="24">
        <v>0</v>
      </c>
      <c r="Q16" s="24">
        <v>605</v>
      </c>
      <c r="R16" s="24">
        <v>0</v>
      </c>
      <c r="S16" s="24">
        <v>0</v>
      </c>
    </row>
    <row r="17" spans="1:19">
      <c r="A17" s="7">
        <v>11</v>
      </c>
      <c r="B17" s="23" t="s">
        <v>133</v>
      </c>
      <c r="C17" s="23" t="s">
        <v>132</v>
      </c>
      <c r="D17" s="23" t="s">
        <v>132</v>
      </c>
      <c r="E17" s="23" t="s">
        <v>174</v>
      </c>
      <c r="F17" s="23" t="s">
        <v>282</v>
      </c>
      <c r="G17" s="11">
        <f t="shared" si="1"/>
        <v>1999.8000000000002</v>
      </c>
      <c r="H17" s="24">
        <v>0</v>
      </c>
      <c r="I17" s="24">
        <v>0</v>
      </c>
      <c r="J17" s="24">
        <v>0</v>
      </c>
      <c r="K17" s="24">
        <v>0</v>
      </c>
      <c r="L17" s="24">
        <v>0</v>
      </c>
      <c r="M17" s="24">
        <v>0</v>
      </c>
      <c r="N17" s="24">
        <v>0</v>
      </c>
      <c r="O17" s="24">
        <v>0</v>
      </c>
      <c r="P17" s="24">
        <v>1649.8000000000002</v>
      </c>
      <c r="Q17" s="24">
        <v>350</v>
      </c>
      <c r="R17" s="24">
        <v>0</v>
      </c>
      <c r="S17" s="24">
        <v>0</v>
      </c>
    </row>
    <row r="18" spans="1:19">
      <c r="A18" s="7">
        <v>12</v>
      </c>
      <c r="B18" s="23" t="s">
        <v>141</v>
      </c>
      <c r="C18" s="23" t="s">
        <v>132</v>
      </c>
      <c r="D18" s="23" t="s">
        <v>132</v>
      </c>
      <c r="E18" s="23" t="s">
        <v>174</v>
      </c>
      <c r="F18" s="23" t="s">
        <v>283</v>
      </c>
      <c r="G18" s="11">
        <f t="shared" si="1"/>
        <v>19043.2</v>
      </c>
      <c r="H18" s="24">
        <v>0</v>
      </c>
      <c r="I18" s="24">
        <v>0</v>
      </c>
      <c r="J18" s="24">
        <v>0</v>
      </c>
      <c r="K18" s="24">
        <v>0</v>
      </c>
      <c r="L18" s="24">
        <v>2500</v>
      </c>
      <c r="M18" s="24">
        <v>0</v>
      </c>
      <c r="N18" s="24">
        <v>6460</v>
      </c>
      <c r="O18" s="24">
        <v>0</v>
      </c>
      <c r="P18" s="24">
        <v>7803.2</v>
      </c>
      <c r="Q18" s="24">
        <v>0</v>
      </c>
      <c r="R18" s="24">
        <v>2280</v>
      </c>
      <c r="S18" s="24">
        <v>0</v>
      </c>
    </row>
    <row r="19" spans="1:19">
      <c r="A19" s="7">
        <v>13</v>
      </c>
      <c r="B19" s="23" t="s">
        <v>133</v>
      </c>
      <c r="C19" s="23" t="s">
        <v>132</v>
      </c>
      <c r="D19" s="23" t="s">
        <v>132</v>
      </c>
      <c r="E19" s="23" t="s">
        <v>174</v>
      </c>
      <c r="F19" s="23" t="s">
        <v>284</v>
      </c>
      <c r="G19" s="11">
        <f t="shared" si="1"/>
        <v>2408.8000000000002</v>
      </c>
      <c r="H19" s="24">
        <v>0</v>
      </c>
      <c r="I19" s="24">
        <v>0</v>
      </c>
      <c r="J19" s="24">
        <v>0</v>
      </c>
      <c r="K19" s="24">
        <v>0</v>
      </c>
      <c r="L19" s="24">
        <v>0</v>
      </c>
      <c r="M19" s="24">
        <v>0</v>
      </c>
      <c r="N19" s="24">
        <v>0</v>
      </c>
      <c r="O19" s="24">
        <v>0</v>
      </c>
      <c r="P19" s="24">
        <v>1988.8</v>
      </c>
      <c r="Q19" s="24">
        <v>0</v>
      </c>
      <c r="R19" s="24">
        <v>420</v>
      </c>
      <c r="S19" s="24">
        <v>0</v>
      </c>
    </row>
    <row r="20" spans="1:19">
      <c r="A20" s="7">
        <v>14</v>
      </c>
      <c r="B20" s="23" t="s">
        <v>133</v>
      </c>
      <c r="C20" s="23" t="s">
        <v>132</v>
      </c>
      <c r="D20" s="23" t="s">
        <v>132</v>
      </c>
      <c r="E20" s="23" t="s">
        <v>174</v>
      </c>
      <c r="F20" s="23" t="s">
        <v>285</v>
      </c>
      <c r="G20" s="11">
        <f t="shared" si="1"/>
        <v>12263.279999999999</v>
      </c>
      <c r="H20" s="24">
        <v>0</v>
      </c>
      <c r="I20" s="24">
        <v>0</v>
      </c>
      <c r="J20" s="24">
        <v>0</v>
      </c>
      <c r="K20" s="24">
        <v>0</v>
      </c>
      <c r="L20" s="24">
        <v>0</v>
      </c>
      <c r="M20" s="24">
        <v>0</v>
      </c>
      <c r="N20" s="24">
        <v>0</v>
      </c>
      <c r="O20" s="24">
        <v>0</v>
      </c>
      <c r="P20" s="24">
        <v>4813.28</v>
      </c>
      <c r="Q20" s="24">
        <v>5900</v>
      </c>
      <c r="R20" s="24">
        <v>0</v>
      </c>
      <c r="S20" s="24">
        <v>1550</v>
      </c>
    </row>
    <row r="21" spans="1:19">
      <c r="A21" s="7">
        <v>15</v>
      </c>
      <c r="B21" s="23" t="s">
        <v>141</v>
      </c>
      <c r="C21" s="23" t="s">
        <v>132</v>
      </c>
      <c r="D21" s="23" t="s">
        <v>132</v>
      </c>
      <c r="E21" s="23" t="s">
        <v>174</v>
      </c>
      <c r="F21" s="23" t="s">
        <v>286</v>
      </c>
      <c r="G21" s="11">
        <f t="shared" si="1"/>
        <v>3545</v>
      </c>
      <c r="H21" s="24">
        <v>0</v>
      </c>
      <c r="I21" s="24">
        <v>0</v>
      </c>
      <c r="J21" s="24">
        <v>0</v>
      </c>
      <c r="K21" s="24">
        <v>0</v>
      </c>
      <c r="L21" s="24">
        <v>0</v>
      </c>
      <c r="M21" s="24">
        <v>0</v>
      </c>
      <c r="N21" s="24">
        <v>0</v>
      </c>
      <c r="O21" s="24">
        <v>0</v>
      </c>
      <c r="P21" s="24">
        <v>3545</v>
      </c>
      <c r="Q21" s="24">
        <v>0</v>
      </c>
      <c r="R21" s="24">
        <v>0</v>
      </c>
      <c r="S21" s="24">
        <v>0</v>
      </c>
    </row>
    <row r="22" spans="1:19">
      <c r="A22" s="7">
        <v>16</v>
      </c>
      <c r="B22" s="23" t="s">
        <v>133</v>
      </c>
      <c r="C22" s="23" t="s">
        <v>132</v>
      </c>
      <c r="D22" s="23" t="s">
        <v>132</v>
      </c>
      <c r="E22" s="23" t="s">
        <v>174</v>
      </c>
      <c r="F22" s="23" t="s">
        <v>287</v>
      </c>
      <c r="G22" s="11">
        <f t="shared" si="1"/>
        <v>3600</v>
      </c>
      <c r="H22" s="24">
        <v>0</v>
      </c>
      <c r="I22" s="24">
        <v>0</v>
      </c>
      <c r="J22" s="24">
        <v>0</v>
      </c>
      <c r="K22" s="24">
        <v>0</v>
      </c>
      <c r="L22" s="24">
        <v>0</v>
      </c>
      <c r="M22" s="24">
        <v>0</v>
      </c>
      <c r="N22" s="24">
        <v>0</v>
      </c>
      <c r="O22" s="24">
        <v>0</v>
      </c>
      <c r="P22" s="24">
        <v>0</v>
      </c>
      <c r="Q22" s="24">
        <v>0</v>
      </c>
      <c r="R22" s="24">
        <v>0</v>
      </c>
      <c r="S22" s="24">
        <v>3600</v>
      </c>
    </row>
    <row r="23" spans="1:19">
      <c r="A23" s="7">
        <v>17</v>
      </c>
      <c r="B23" s="23" t="s">
        <v>138</v>
      </c>
      <c r="C23" s="23" t="s">
        <v>132</v>
      </c>
      <c r="D23" s="23" t="s">
        <v>132</v>
      </c>
      <c r="E23" s="23" t="s">
        <v>174</v>
      </c>
      <c r="F23" s="23" t="s">
        <v>288</v>
      </c>
      <c r="G23" s="11">
        <f t="shared" si="1"/>
        <v>13967</v>
      </c>
      <c r="H23" s="24">
        <v>0</v>
      </c>
      <c r="I23" s="24">
        <v>0</v>
      </c>
      <c r="J23" s="24">
        <v>0</v>
      </c>
      <c r="K23" s="24">
        <v>0</v>
      </c>
      <c r="L23" s="24">
        <v>0</v>
      </c>
      <c r="M23" s="24">
        <v>13967</v>
      </c>
      <c r="N23" s="24">
        <v>0</v>
      </c>
      <c r="O23" s="24">
        <v>0</v>
      </c>
      <c r="P23" s="24">
        <v>0</v>
      </c>
      <c r="Q23" s="24">
        <v>0</v>
      </c>
      <c r="R23" s="24">
        <v>0</v>
      </c>
      <c r="S23" s="24">
        <v>0</v>
      </c>
    </row>
    <row r="24" spans="1:19">
      <c r="A24" s="7">
        <v>18</v>
      </c>
      <c r="B24" s="23" t="s">
        <v>135</v>
      </c>
      <c r="C24" s="23" t="s">
        <v>132</v>
      </c>
      <c r="D24" s="23" t="s">
        <v>132</v>
      </c>
      <c r="E24" s="23" t="s">
        <v>174</v>
      </c>
      <c r="F24" s="23" t="s">
        <v>289</v>
      </c>
      <c r="G24" s="11">
        <f t="shared" si="1"/>
        <v>7316</v>
      </c>
      <c r="H24" s="24">
        <v>0</v>
      </c>
      <c r="I24" s="24">
        <v>0</v>
      </c>
      <c r="J24" s="24">
        <v>0</v>
      </c>
      <c r="K24" s="24">
        <v>0</v>
      </c>
      <c r="L24" s="24">
        <v>0</v>
      </c>
      <c r="M24" s="24">
        <v>0</v>
      </c>
      <c r="N24" s="24">
        <v>0</v>
      </c>
      <c r="O24" s="24">
        <v>0</v>
      </c>
      <c r="P24" s="24">
        <v>0</v>
      </c>
      <c r="Q24" s="24">
        <v>0</v>
      </c>
      <c r="R24" s="24">
        <v>0</v>
      </c>
      <c r="S24" s="24">
        <v>7316</v>
      </c>
    </row>
    <row r="25" spans="1:19">
      <c r="A25" s="7">
        <v>20</v>
      </c>
      <c r="B25" s="23" t="s">
        <v>133</v>
      </c>
      <c r="C25" s="23" t="s">
        <v>132</v>
      </c>
      <c r="D25" s="23" t="s">
        <v>132</v>
      </c>
      <c r="E25" s="23" t="s">
        <v>67</v>
      </c>
      <c r="F25" s="23" t="s">
        <v>290</v>
      </c>
      <c r="G25" s="11">
        <f t="shared" si="1"/>
        <v>2500</v>
      </c>
      <c r="H25" s="24"/>
      <c r="I25" s="24"/>
      <c r="J25" s="24"/>
      <c r="K25" s="24"/>
      <c r="L25" s="24">
        <v>2500</v>
      </c>
      <c r="M25" s="24"/>
      <c r="N25" s="24"/>
      <c r="O25" s="24"/>
      <c r="P25" s="24"/>
      <c r="Q25" s="24"/>
      <c r="R25" s="24"/>
      <c r="S25" s="24"/>
    </row>
    <row r="26" spans="1:19">
      <c r="A26" s="7">
        <v>21</v>
      </c>
      <c r="B26" s="23" t="s">
        <v>133</v>
      </c>
      <c r="C26" s="23" t="s">
        <v>132</v>
      </c>
      <c r="D26" s="23" t="s">
        <v>132</v>
      </c>
      <c r="E26" s="23" t="s">
        <v>67</v>
      </c>
      <c r="F26" s="23" t="s">
        <v>291</v>
      </c>
      <c r="G26" s="11">
        <f t="shared" si="1"/>
        <v>3233</v>
      </c>
      <c r="H26" s="24"/>
      <c r="I26" s="24"/>
      <c r="J26" s="24">
        <v>3233</v>
      </c>
      <c r="K26" s="24"/>
      <c r="L26" s="24"/>
      <c r="M26" s="24"/>
      <c r="N26" s="24"/>
      <c r="O26" s="24"/>
      <c r="P26" s="24"/>
      <c r="Q26" s="24"/>
      <c r="R26" s="24"/>
      <c r="S26" s="24"/>
    </row>
    <row r="27" spans="1:19">
      <c r="A27" s="7">
        <v>22</v>
      </c>
      <c r="B27" s="23" t="s">
        <v>133</v>
      </c>
      <c r="C27" s="23" t="s">
        <v>132</v>
      </c>
      <c r="D27" s="23" t="s">
        <v>132</v>
      </c>
      <c r="E27" s="23" t="s">
        <v>67</v>
      </c>
      <c r="F27" s="23" t="s">
        <v>292</v>
      </c>
      <c r="G27" s="11">
        <f t="shared" si="1"/>
        <v>1685</v>
      </c>
      <c r="H27" s="24"/>
      <c r="I27" s="24"/>
      <c r="J27" s="24"/>
      <c r="K27" s="24"/>
      <c r="L27" s="24"/>
      <c r="M27" s="24"/>
      <c r="N27" s="24">
        <v>1685</v>
      </c>
      <c r="O27" s="24"/>
      <c r="P27" s="24"/>
      <c r="Q27" s="24"/>
      <c r="R27" s="24"/>
      <c r="S27" s="24"/>
    </row>
    <row r="28" spans="1:19">
      <c r="A28" s="7">
        <v>23</v>
      </c>
      <c r="B28" s="23" t="s">
        <v>133</v>
      </c>
      <c r="C28" s="23" t="s">
        <v>132</v>
      </c>
      <c r="D28" s="23" t="s">
        <v>132</v>
      </c>
      <c r="E28" s="23" t="s">
        <v>67</v>
      </c>
      <c r="F28" s="23" t="s">
        <v>293</v>
      </c>
      <c r="G28" s="11">
        <f t="shared" si="1"/>
        <v>499</v>
      </c>
      <c r="H28" s="24"/>
      <c r="I28" s="24"/>
      <c r="J28" s="24">
        <v>499</v>
      </c>
      <c r="K28" s="24"/>
      <c r="L28" s="24"/>
      <c r="M28" s="24"/>
      <c r="N28" s="24"/>
      <c r="O28" s="24"/>
      <c r="P28" s="24"/>
      <c r="Q28" s="24"/>
      <c r="R28" s="24"/>
      <c r="S28" s="24"/>
    </row>
    <row r="29" spans="1:19">
      <c r="A29" s="7">
        <v>24</v>
      </c>
      <c r="B29" s="23" t="s">
        <v>133</v>
      </c>
      <c r="C29" s="23" t="s">
        <v>132</v>
      </c>
      <c r="D29" s="23" t="s">
        <v>132</v>
      </c>
      <c r="E29" s="23" t="s">
        <v>67</v>
      </c>
      <c r="F29" s="23" t="s">
        <v>294</v>
      </c>
      <c r="G29" s="11">
        <f t="shared" si="1"/>
        <v>1454</v>
      </c>
      <c r="H29" s="24"/>
      <c r="I29" s="24"/>
      <c r="J29" s="24">
        <v>1454</v>
      </c>
      <c r="K29" s="24"/>
      <c r="L29" s="24"/>
      <c r="M29" s="24"/>
      <c r="N29" s="24"/>
      <c r="O29" s="24"/>
      <c r="P29" s="24"/>
      <c r="Q29" s="24"/>
      <c r="R29" s="24"/>
      <c r="S29" s="24"/>
    </row>
    <row r="30" spans="1:19">
      <c r="A30" s="7">
        <v>25</v>
      </c>
      <c r="B30" s="23" t="s">
        <v>133</v>
      </c>
      <c r="C30" s="23" t="s">
        <v>132</v>
      </c>
      <c r="D30" s="23" t="s">
        <v>132</v>
      </c>
      <c r="E30" s="23" t="s">
        <v>67</v>
      </c>
      <c r="F30" s="23" t="s">
        <v>295</v>
      </c>
      <c r="G30" s="11">
        <f t="shared" si="1"/>
        <v>1500</v>
      </c>
      <c r="H30" s="24"/>
      <c r="I30" s="24"/>
      <c r="J30" s="24"/>
      <c r="K30" s="24"/>
      <c r="L30" s="24"/>
      <c r="M30" s="24">
        <v>1500</v>
      </c>
      <c r="N30" s="24"/>
      <c r="O30" s="24"/>
      <c r="P30" s="24"/>
      <c r="Q30" s="24"/>
      <c r="R30" s="24"/>
      <c r="S30" s="24"/>
    </row>
    <row r="31" spans="1:19">
      <c r="A31" s="7">
        <v>26</v>
      </c>
      <c r="B31" s="23" t="s">
        <v>133</v>
      </c>
      <c r="C31" s="23" t="s">
        <v>132</v>
      </c>
      <c r="D31" s="23" t="s">
        <v>132</v>
      </c>
      <c r="E31" s="23" t="s">
        <v>67</v>
      </c>
      <c r="F31" s="23" t="s">
        <v>296</v>
      </c>
      <c r="G31" s="11">
        <f t="shared" si="1"/>
        <v>750</v>
      </c>
      <c r="H31" s="24"/>
      <c r="I31" s="24"/>
      <c r="J31" s="24">
        <v>250</v>
      </c>
      <c r="K31" s="24"/>
      <c r="L31" s="24"/>
      <c r="M31" s="24"/>
      <c r="N31" s="24">
        <v>250</v>
      </c>
      <c r="O31" s="24"/>
      <c r="P31" s="24"/>
      <c r="Q31" s="24"/>
      <c r="R31" s="24">
        <v>250</v>
      </c>
      <c r="S31" s="24"/>
    </row>
    <row r="32" spans="1:19">
      <c r="A32" s="7">
        <v>27</v>
      </c>
      <c r="B32" s="23" t="s">
        <v>133</v>
      </c>
      <c r="C32" s="23" t="s">
        <v>132</v>
      </c>
      <c r="D32" s="23" t="s">
        <v>132</v>
      </c>
      <c r="E32" s="23" t="s">
        <v>67</v>
      </c>
      <c r="F32" s="23" t="s">
        <v>297</v>
      </c>
      <c r="G32" s="11">
        <f t="shared" si="1"/>
        <v>770</v>
      </c>
      <c r="H32" s="23"/>
      <c r="I32" s="23"/>
      <c r="J32" s="23"/>
      <c r="K32" s="23"/>
      <c r="L32" s="23"/>
      <c r="M32" s="23">
        <v>770</v>
      </c>
      <c r="N32" s="23"/>
      <c r="O32" s="23"/>
      <c r="P32" s="23"/>
      <c r="Q32" s="23"/>
      <c r="R32" s="23"/>
      <c r="S32" s="23"/>
    </row>
    <row r="33" spans="1:19">
      <c r="A33" s="7">
        <v>28</v>
      </c>
      <c r="B33" s="23" t="s">
        <v>133</v>
      </c>
      <c r="C33" s="23" t="s">
        <v>132</v>
      </c>
      <c r="D33" s="23" t="s">
        <v>158</v>
      </c>
      <c r="E33" s="23" t="s">
        <v>171</v>
      </c>
      <c r="F33" s="23" t="s">
        <v>298</v>
      </c>
      <c r="G33" s="11">
        <f t="shared" si="1"/>
        <v>24000</v>
      </c>
      <c r="H33" s="12">
        <v>2000</v>
      </c>
      <c r="I33" s="12">
        <v>2000</v>
      </c>
      <c r="J33" s="12">
        <v>2000</v>
      </c>
      <c r="K33" s="12">
        <v>2000</v>
      </c>
      <c r="L33" s="12">
        <v>2000</v>
      </c>
      <c r="M33" s="12">
        <v>2000</v>
      </c>
      <c r="N33" s="12">
        <v>2000</v>
      </c>
      <c r="O33" s="12">
        <v>2000</v>
      </c>
      <c r="P33" s="12">
        <v>2000</v>
      </c>
      <c r="Q33" s="12">
        <v>2000</v>
      </c>
      <c r="R33" s="12">
        <v>2000</v>
      </c>
      <c r="S33" s="12">
        <v>2000</v>
      </c>
    </row>
    <row r="34" spans="1:19">
      <c r="A34" s="7">
        <v>29</v>
      </c>
      <c r="B34" s="23" t="s">
        <v>133</v>
      </c>
      <c r="C34" s="23" t="s">
        <v>132</v>
      </c>
      <c r="D34" s="23" t="s">
        <v>132</v>
      </c>
      <c r="E34" s="23" t="s">
        <v>43</v>
      </c>
      <c r="F34" s="23" t="s">
        <v>299</v>
      </c>
      <c r="G34" s="11">
        <f t="shared" si="1"/>
        <v>12000</v>
      </c>
      <c r="H34" s="12">
        <v>1000</v>
      </c>
      <c r="I34" s="12">
        <v>1000</v>
      </c>
      <c r="J34" s="12">
        <v>1000</v>
      </c>
      <c r="K34" s="12">
        <v>1000</v>
      </c>
      <c r="L34" s="12">
        <v>1000</v>
      </c>
      <c r="M34" s="12">
        <v>1000</v>
      </c>
      <c r="N34" s="12">
        <v>1000</v>
      </c>
      <c r="O34" s="12">
        <v>1000</v>
      </c>
      <c r="P34" s="12">
        <v>1000</v>
      </c>
      <c r="Q34" s="12">
        <v>1000</v>
      </c>
      <c r="R34" s="12">
        <v>1000</v>
      </c>
      <c r="S34" s="12">
        <v>1000</v>
      </c>
    </row>
    <row r="35" spans="1:19">
      <c r="A35" s="7">
        <v>30</v>
      </c>
      <c r="B35" s="23" t="s">
        <v>133</v>
      </c>
      <c r="C35" s="23" t="s">
        <v>132</v>
      </c>
      <c r="D35" s="23" t="s">
        <v>158</v>
      </c>
      <c r="E35" s="23" t="s">
        <v>166</v>
      </c>
      <c r="F35" s="23" t="s">
        <v>300</v>
      </c>
      <c r="G35" s="11">
        <f t="shared" si="1"/>
        <v>6000</v>
      </c>
      <c r="H35" s="12">
        <v>500</v>
      </c>
      <c r="I35" s="12">
        <v>500</v>
      </c>
      <c r="J35" s="12">
        <v>500</v>
      </c>
      <c r="K35" s="12">
        <v>500</v>
      </c>
      <c r="L35" s="12">
        <v>500</v>
      </c>
      <c r="M35" s="12">
        <v>500</v>
      </c>
      <c r="N35" s="12">
        <v>500</v>
      </c>
      <c r="O35" s="12">
        <v>500</v>
      </c>
      <c r="P35" s="12">
        <v>500</v>
      </c>
      <c r="Q35" s="12">
        <v>500</v>
      </c>
      <c r="R35" s="12">
        <v>500</v>
      </c>
      <c r="S35" s="12">
        <v>500</v>
      </c>
    </row>
    <row r="36" spans="1:19">
      <c r="A36" s="7">
        <v>31</v>
      </c>
      <c r="B36" s="23" t="s">
        <v>133</v>
      </c>
      <c r="C36" s="23" t="s">
        <v>132</v>
      </c>
      <c r="D36" s="23" t="s">
        <v>158</v>
      </c>
      <c r="E36" s="23" t="s">
        <v>173</v>
      </c>
      <c r="F36" s="23" t="s">
        <v>301</v>
      </c>
      <c r="G36" s="11">
        <f t="shared" si="1"/>
        <v>7000</v>
      </c>
      <c r="H36" s="12"/>
      <c r="I36" s="12"/>
      <c r="J36" s="12">
        <v>7000</v>
      </c>
      <c r="K36" s="12"/>
      <c r="L36" s="12"/>
      <c r="M36" s="12"/>
      <c r="N36" s="12"/>
      <c r="O36" s="12"/>
      <c r="P36" s="12"/>
      <c r="Q36" s="12"/>
      <c r="R36" s="12"/>
      <c r="S36" s="12"/>
    </row>
    <row r="37" spans="1:19">
      <c r="A37" s="7">
        <v>32</v>
      </c>
      <c r="B37" s="23" t="s">
        <v>133</v>
      </c>
      <c r="C37" s="23" t="s">
        <v>132</v>
      </c>
      <c r="D37" s="23" t="s">
        <v>132</v>
      </c>
      <c r="E37" s="23" t="s">
        <v>173</v>
      </c>
      <c r="F37" s="23" t="s">
        <v>265</v>
      </c>
      <c r="G37" s="11">
        <f t="shared" si="1"/>
        <v>0</v>
      </c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</row>
    <row r="38" spans="1:19">
      <c r="A38" s="7">
        <v>33</v>
      </c>
      <c r="B38" s="23" t="s">
        <v>144</v>
      </c>
      <c r="C38" s="23" t="s">
        <v>132</v>
      </c>
      <c r="D38" s="23" t="s">
        <v>158</v>
      </c>
      <c r="E38" s="23" t="s">
        <v>173</v>
      </c>
      <c r="F38" s="23" t="s">
        <v>302</v>
      </c>
      <c r="G38" s="11">
        <f t="shared" ref="G38:G47" si="2">+SUM(H38:S38)</f>
        <v>30000</v>
      </c>
      <c r="H38" s="12"/>
      <c r="I38" s="12"/>
      <c r="J38" s="12">
        <v>10000</v>
      </c>
      <c r="K38" s="12"/>
      <c r="L38" s="12"/>
      <c r="M38" s="12"/>
      <c r="N38" s="12">
        <v>10000</v>
      </c>
      <c r="O38" s="12"/>
      <c r="P38" s="12"/>
      <c r="Q38" s="12"/>
      <c r="R38" s="12">
        <v>10000</v>
      </c>
      <c r="S38" s="12"/>
    </row>
    <row r="39" spans="1:19">
      <c r="A39" s="7">
        <v>34</v>
      </c>
      <c r="B39" s="23"/>
      <c r="C39" s="23"/>
      <c r="D39" s="23"/>
      <c r="E39" s="23"/>
      <c r="F39" s="23"/>
      <c r="G39" s="11">
        <f t="shared" si="2"/>
        <v>0</v>
      </c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</row>
    <row r="40" spans="1:19">
      <c r="A40" s="7">
        <v>35</v>
      </c>
      <c r="B40" s="23"/>
      <c r="C40" s="23"/>
      <c r="D40" s="23"/>
      <c r="E40" s="23"/>
      <c r="F40" s="23"/>
      <c r="G40" s="11">
        <f t="shared" si="2"/>
        <v>0</v>
      </c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</row>
    <row r="41" spans="1:19">
      <c r="A41" s="7">
        <v>36</v>
      </c>
      <c r="B41" s="23"/>
      <c r="C41" s="23"/>
      <c r="D41" s="23"/>
      <c r="E41" s="23"/>
      <c r="F41" s="23"/>
      <c r="G41" s="11">
        <f t="shared" si="2"/>
        <v>0</v>
      </c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</row>
    <row r="42" spans="1:19">
      <c r="A42" s="7">
        <v>37</v>
      </c>
      <c r="B42" s="23"/>
      <c r="C42" s="23"/>
      <c r="D42" s="23"/>
      <c r="E42" s="23"/>
      <c r="F42" s="23"/>
      <c r="G42" s="11">
        <f t="shared" si="2"/>
        <v>0</v>
      </c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</row>
    <row r="43" spans="1:19">
      <c r="A43" s="7">
        <v>38</v>
      </c>
      <c r="B43" s="23"/>
      <c r="C43" s="23"/>
      <c r="D43" s="23"/>
      <c r="E43" s="23"/>
      <c r="F43" s="23"/>
      <c r="G43" s="11">
        <f t="shared" si="2"/>
        <v>0</v>
      </c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</row>
    <row r="44" spans="1:19">
      <c r="A44" s="7">
        <v>39</v>
      </c>
      <c r="B44" s="23"/>
      <c r="C44" s="23"/>
      <c r="D44" s="23"/>
      <c r="E44" s="23"/>
      <c r="F44" s="23"/>
      <c r="G44" s="11">
        <f t="shared" si="2"/>
        <v>0</v>
      </c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</row>
    <row r="45" spans="1:19">
      <c r="A45" s="7">
        <v>40</v>
      </c>
      <c r="B45" s="23"/>
      <c r="C45" s="23"/>
      <c r="D45" s="23"/>
      <c r="E45" s="23"/>
      <c r="F45" s="23"/>
      <c r="G45" s="11">
        <f t="shared" si="2"/>
        <v>0</v>
      </c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</row>
    <row r="46" spans="1:19">
      <c r="A46" s="7">
        <v>41</v>
      </c>
      <c r="B46" s="23"/>
      <c r="C46" s="23"/>
      <c r="D46" s="23"/>
      <c r="E46" s="23"/>
      <c r="F46" s="23"/>
      <c r="G46" s="11">
        <f t="shared" si="2"/>
        <v>0</v>
      </c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</row>
    <row r="47" spans="1:19">
      <c r="A47" s="7">
        <v>42</v>
      </c>
      <c r="B47" s="23"/>
      <c r="C47" s="23"/>
      <c r="D47" s="23"/>
      <c r="E47" s="23"/>
      <c r="F47" s="23"/>
      <c r="G47" s="11">
        <f t="shared" si="2"/>
        <v>0</v>
      </c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</row>
    <row r="48" spans="1:19">
      <c r="A48" s="7">
        <v>43</v>
      </c>
      <c r="G48" s="11">
        <f t="shared" ref="G48:G71" si="3">+SUM(H48:S48)</f>
        <v>0</v>
      </c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</row>
    <row r="49" spans="1:19">
      <c r="A49" s="7">
        <v>44</v>
      </c>
      <c r="G49" s="11">
        <f>+SUM(H49:S49)</f>
        <v>0</v>
      </c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</row>
    <row r="50" spans="1:19">
      <c r="A50" s="7">
        <v>45</v>
      </c>
      <c r="G50" s="11">
        <f t="shared" si="3"/>
        <v>0</v>
      </c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</row>
    <row r="51" spans="1:19">
      <c r="A51" s="7">
        <v>46</v>
      </c>
      <c r="G51" s="11">
        <f t="shared" si="3"/>
        <v>0</v>
      </c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</row>
    <row r="52" spans="1:19">
      <c r="A52" s="7">
        <v>47</v>
      </c>
      <c r="G52" s="11">
        <f t="shared" si="3"/>
        <v>0</v>
      </c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</row>
    <row r="53" spans="1:19">
      <c r="A53" s="7">
        <v>48</v>
      </c>
      <c r="G53" s="11">
        <f t="shared" si="3"/>
        <v>0</v>
      </c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</row>
    <row r="54" spans="1:19">
      <c r="A54" s="7">
        <v>49</v>
      </c>
      <c r="G54" s="11">
        <f t="shared" si="3"/>
        <v>0</v>
      </c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</row>
    <row r="55" spans="1:19">
      <c r="A55" s="7">
        <v>50</v>
      </c>
      <c r="G55" s="11">
        <f t="shared" si="3"/>
        <v>0</v>
      </c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</row>
    <row r="56" spans="1:19">
      <c r="A56" s="7">
        <v>51</v>
      </c>
      <c r="G56" s="11">
        <f t="shared" si="3"/>
        <v>0</v>
      </c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</row>
    <row r="57" spans="1:19">
      <c r="A57" s="7">
        <v>52</v>
      </c>
      <c r="G57" s="11">
        <f t="shared" si="3"/>
        <v>0</v>
      </c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</row>
    <row r="58" spans="1:19">
      <c r="A58" s="7">
        <v>53</v>
      </c>
      <c r="G58" s="11">
        <f t="shared" si="3"/>
        <v>0</v>
      </c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</row>
    <row r="59" spans="1:19">
      <c r="A59" s="7">
        <v>54</v>
      </c>
      <c r="G59" s="11">
        <f t="shared" si="3"/>
        <v>0</v>
      </c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</row>
    <row r="60" spans="1:19">
      <c r="A60" s="7">
        <v>55</v>
      </c>
      <c r="G60" s="11">
        <f t="shared" si="3"/>
        <v>0</v>
      </c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</row>
    <row r="61" spans="1:19">
      <c r="A61" s="7">
        <v>56</v>
      </c>
      <c r="G61" s="11">
        <f t="shared" si="3"/>
        <v>0</v>
      </c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</row>
    <row r="62" spans="1:19">
      <c r="A62" s="7">
        <v>57</v>
      </c>
      <c r="G62" s="11">
        <f t="shared" si="3"/>
        <v>0</v>
      </c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</row>
    <row r="63" spans="1:19">
      <c r="A63" s="7">
        <v>58</v>
      </c>
      <c r="G63" s="11">
        <f t="shared" si="3"/>
        <v>0</v>
      </c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</row>
    <row r="64" spans="1:19">
      <c r="A64" s="7">
        <v>59</v>
      </c>
      <c r="G64" s="11">
        <f t="shared" si="3"/>
        <v>0</v>
      </c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</row>
    <row r="65" spans="1:19">
      <c r="A65" s="7">
        <v>60</v>
      </c>
      <c r="G65" s="11">
        <f t="shared" si="3"/>
        <v>0</v>
      </c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</row>
    <row r="66" spans="1:19">
      <c r="A66" s="7">
        <v>61</v>
      </c>
      <c r="G66" s="11">
        <f t="shared" si="3"/>
        <v>0</v>
      </c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</row>
    <row r="67" spans="1:19">
      <c r="A67" s="7">
        <v>62</v>
      </c>
      <c r="G67" s="11">
        <f t="shared" si="3"/>
        <v>0</v>
      </c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</row>
    <row r="68" spans="1:19">
      <c r="A68" s="7">
        <v>63</v>
      </c>
      <c r="G68" s="11">
        <f t="shared" si="3"/>
        <v>0</v>
      </c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</row>
    <row r="69" spans="1:19">
      <c r="A69" s="7">
        <v>64</v>
      </c>
      <c r="G69" s="11">
        <f t="shared" si="3"/>
        <v>0</v>
      </c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</row>
    <row r="70" spans="1:19">
      <c r="A70" s="7">
        <v>65</v>
      </c>
      <c r="G70" s="11">
        <f t="shared" si="3"/>
        <v>0</v>
      </c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</row>
    <row r="71" spans="1:19">
      <c r="A71" s="7">
        <v>66</v>
      </c>
      <c r="G71" s="11">
        <f t="shared" si="3"/>
        <v>0</v>
      </c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</row>
    <row r="72" spans="1:19">
      <c r="A72" s="7">
        <v>67</v>
      </c>
      <c r="G72" s="11">
        <f t="shared" ref="G72:G105" si="4">+SUM(H72:S72)</f>
        <v>0</v>
      </c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</row>
    <row r="73" spans="1:19">
      <c r="A73" s="7">
        <v>68</v>
      </c>
      <c r="G73" s="11">
        <f t="shared" si="4"/>
        <v>0</v>
      </c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</row>
    <row r="74" spans="1:19">
      <c r="A74" s="7">
        <v>69</v>
      </c>
      <c r="G74" s="11">
        <f t="shared" si="4"/>
        <v>0</v>
      </c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</row>
    <row r="75" spans="1:19">
      <c r="A75" s="7">
        <v>70</v>
      </c>
      <c r="G75" s="11">
        <f t="shared" si="4"/>
        <v>0</v>
      </c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</row>
    <row r="76" spans="1:19">
      <c r="A76" s="7">
        <v>71</v>
      </c>
      <c r="G76" s="11">
        <f t="shared" si="4"/>
        <v>0</v>
      </c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</row>
    <row r="77" spans="1:19">
      <c r="A77" s="7">
        <v>72</v>
      </c>
      <c r="G77" s="11">
        <f t="shared" si="4"/>
        <v>0</v>
      </c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</row>
    <row r="78" spans="1:19">
      <c r="A78" s="7">
        <v>73</v>
      </c>
      <c r="G78" s="11">
        <f t="shared" si="4"/>
        <v>0</v>
      </c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</row>
    <row r="79" spans="1:19">
      <c r="A79" s="7">
        <v>74</v>
      </c>
      <c r="G79" s="11">
        <f t="shared" si="4"/>
        <v>0</v>
      </c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</row>
    <row r="80" spans="1:19">
      <c r="A80" s="7">
        <v>75</v>
      </c>
      <c r="G80" s="11">
        <f t="shared" si="4"/>
        <v>0</v>
      </c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</row>
    <row r="81" spans="1:19">
      <c r="A81" s="7">
        <v>76</v>
      </c>
      <c r="G81" s="11">
        <f t="shared" si="4"/>
        <v>0</v>
      </c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</row>
    <row r="82" spans="1:19">
      <c r="A82" s="7">
        <v>77</v>
      </c>
      <c r="G82" s="11">
        <f t="shared" si="4"/>
        <v>0</v>
      </c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</row>
    <row r="83" spans="1:19">
      <c r="A83" s="7">
        <v>78</v>
      </c>
      <c r="G83" s="11">
        <f t="shared" si="4"/>
        <v>0</v>
      </c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</row>
    <row r="84" spans="1:19">
      <c r="A84" s="7">
        <v>79</v>
      </c>
      <c r="G84" s="11">
        <f t="shared" si="4"/>
        <v>0</v>
      </c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</row>
    <row r="85" spans="1:19">
      <c r="A85" s="7">
        <v>80</v>
      </c>
      <c r="G85" s="11">
        <f t="shared" si="4"/>
        <v>0</v>
      </c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</row>
    <row r="86" spans="1:19">
      <c r="A86" s="7">
        <v>81</v>
      </c>
      <c r="G86" s="11">
        <f t="shared" si="4"/>
        <v>0</v>
      </c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</row>
    <row r="87" spans="1:19">
      <c r="A87" s="7">
        <v>82</v>
      </c>
      <c r="G87" s="11">
        <f t="shared" si="4"/>
        <v>0</v>
      </c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</row>
    <row r="88" spans="1:19">
      <c r="A88" s="7">
        <v>83</v>
      </c>
      <c r="G88" s="11">
        <f t="shared" si="4"/>
        <v>0</v>
      </c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</row>
    <row r="89" spans="1:19">
      <c r="A89" s="7">
        <v>84</v>
      </c>
      <c r="G89" s="11">
        <f t="shared" si="4"/>
        <v>0</v>
      </c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</row>
    <row r="90" spans="1:19">
      <c r="A90" s="7">
        <v>85</v>
      </c>
      <c r="G90" s="11">
        <f t="shared" si="4"/>
        <v>0</v>
      </c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</row>
    <row r="91" spans="1:19">
      <c r="A91" s="7">
        <v>86</v>
      </c>
      <c r="G91" s="11">
        <f t="shared" si="4"/>
        <v>0</v>
      </c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</row>
    <row r="92" spans="1:19">
      <c r="A92" s="7">
        <v>87</v>
      </c>
      <c r="G92" s="11">
        <f t="shared" si="4"/>
        <v>0</v>
      </c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</row>
    <row r="93" spans="1:19">
      <c r="A93" s="7">
        <v>88</v>
      </c>
      <c r="G93" s="11">
        <f t="shared" si="4"/>
        <v>0</v>
      </c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</row>
    <row r="94" spans="1:19">
      <c r="A94" s="7">
        <v>89</v>
      </c>
      <c r="G94" s="11">
        <f t="shared" si="4"/>
        <v>0</v>
      </c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</row>
    <row r="95" spans="1:19">
      <c r="A95" s="7">
        <v>90</v>
      </c>
      <c r="G95" s="11">
        <f t="shared" si="4"/>
        <v>0</v>
      </c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</row>
    <row r="96" spans="1:19">
      <c r="A96" s="7">
        <v>91</v>
      </c>
      <c r="G96" s="11">
        <f t="shared" si="4"/>
        <v>0</v>
      </c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</row>
    <row r="97" spans="1:19">
      <c r="A97" s="7">
        <v>92</v>
      </c>
      <c r="G97" s="11">
        <f t="shared" si="4"/>
        <v>0</v>
      </c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</row>
    <row r="98" spans="1:19">
      <c r="A98" s="7">
        <v>93</v>
      </c>
      <c r="G98" s="11">
        <f t="shared" si="4"/>
        <v>0</v>
      </c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</row>
    <row r="99" spans="1:19">
      <c r="A99" s="7">
        <v>94</v>
      </c>
      <c r="G99" s="11">
        <f t="shared" si="4"/>
        <v>0</v>
      </c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</row>
    <row r="100" spans="1:19">
      <c r="A100" s="7">
        <v>95</v>
      </c>
      <c r="G100" s="11">
        <f t="shared" si="4"/>
        <v>0</v>
      </c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</row>
    <row r="101" spans="1:19">
      <c r="A101" s="7">
        <v>96</v>
      </c>
      <c r="G101" s="11">
        <f t="shared" si="4"/>
        <v>0</v>
      </c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</row>
    <row r="102" spans="1:19">
      <c r="A102" s="7">
        <v>97</v>
      </c>
      <c r="G102" s="11">
        <f t="shared" si="4"/>
        <v>0</v>
      </c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</row>
    <row r="103" spans="1:19">
      <c r="A103" s="7">
        <v>98</v>
      </c>
      <c r="G103" s="11">
        <f t="shared" si="4"/>
        <v>0</v>
      </c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</row>
    <row r="104" spans="1:19">
      <c r="A104" s="7">
        <v>99</v>
      </c>
      <c r="G104" s="11">
        <f t="shared" si="4"/>
        <v>0</v>
      </c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</row>
    <row r="105" spans="1:19">
      <c r="A105" s="7">
        <v>100</v>
      </c>
      <c r="G105" s="11">
        <f t="shared" si="4"/>
        <v>0</v>
      </c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</row>
    <row r="106" spans="1:19">
      <c r="G106" s="12"/>
    </row>
  </sheetData>
  <mergeCells count="5">
    <mergeCell ref="A5:S5"/>
    <mergeCell ref="A1:S1"/>
    <mergeCell ref="A2:S2"/>
    <mergeCell ref="A3:B3"/>
    <mergeCell ref="A4:B4"/>
  </mergeCells>
  <dataValidations count="1">
    <dataValidation type="list" allowBlank="1" showInputMessage="1" showErrorMessage="1" sqref="E7:E105" xr:uid="{343407E4-0DE6-4FBD-87F9-07E497E63267}">
      <formula1>INDIRECT(D7)</formula1>
    </dataValidation>
  </dataValidations>
  <pageMargins left="0.7" right="0.7" top="0.75" bottom="0.75" header="0.3" footer="0.3"/>
  <pageSetup scale="42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2F0D6B69-C355-4C34-BE80-5BAB3D1C454A}">
          <x14:formula1>
            <xm:f>INPUT!$A$2:$A$9</xm:f>
          </x14:formula1>
          <xm:sqref>F4</xm:sqref>
        </x14:dataValidation>
        <x14:dataValidation type="list" allowBlank="1" showInputMessage="1" showErrorMessage="1" xr:uid="{0A3755C5-7244-451D-8767-38FA9D6B0260}">
          <x14:formula1>
            <xm:f>INPUT!$B$2:$B$10</xm:f>
          </x14:formula1>
          <xm:sqref>F3</xm:sqref>
        </x14:dataValidation>
        <x14:dataValidation type="list" allowBlank="1" showInputMessage="1" showErrorMessage="1" xr:uid="{C8FBB50E-2110-45D4-9358-4CAC1CF6019B}">
          <x14:formula1>
            <xm:f>INPUT!$C$2:$C$7</xm:f>
          </x14:formula1>
          <xm:sqref>B39:C56 B38</xm:sqref>
        </x14:dataValidation>
        <x14:dataValidation type="list" allowBlank="1" showInputMessage="1" showErrorMessage="1" xr:uid="{0F85A529-8205-4CFE-A7C4-E44493C84E66}">
          <x14:formula1>
            <xm:f>Categorías!$G$1:$Q$1</xm:f>
          </x14:formula1>
          <xm:sqref>D49:D105 D38</xm:sqref>
        </x14:dataValidation>
        <x14:dataValidation type="list" allowBlank="1" showInputMessage="1" showErrorMessage="1" xr:uid="{9BB2B28A-5802-40B1-9978-7D4EE7C8E069}">
          <x14:formula1>
            <xm:f>Categorías!$G$1:$R$1</xm:f>
          </x14:formula1>
          <xm:sqref>D39:D48 D7:D37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0ECB68-6FD9-4D86-AA4C-0FF5F36ADE10}">
  <sheetPr codeName="Hoja6">
    <tabColor theme="3"/>
  </sheetPr>
  <dimension ref="A1:T106"/>
  <sheetViews>
    <sheetView zoomScale="80" zoomScaleNormal="80" workbookViewId="0">
      <selection activeCell="G7" sqref="G7:G24"/>
    </sheetView>
  </sheetViews>
  <sheetFormatPr defaultColWidth="0" defaultRowHeight="12.95"/>
  <cols>
    <col min="1" max="1" width="4" style="2" bestFit="1" customWidth="1"/>
    <col min="2" max="2" width="12.42578125" style="2" bestFit="1" customWidth="1"/>
    <col min="3" max="3" width="13.7109375" style="2" bestFit="1" customWidth="1"/>
    <col min="4" max="4" width="21.42578125" style="2" bestFit="1" customWidth="1"/>
    <col min="5" max="5" width="25.5703125" style="2" bestFit="1" customWidth="1"/>
    <col min="6" max="6" width="47.5703125" style="2" customWidth="1"/>
    <col min="7" max="7" width="12.5703125" style="2" customWidth="1"/>
    <col min="8" max="19" width="11.5703125" style="2" bestFit="1" customWidth="1"/>
    <col min="20" max="20" width="0" style="2" hidden="1" customWidth="1"/>
    <col min="21" max="16384" width="11.5703125" style="2" hidden="1"/>
  </cols>
  <sheetData>
    <row r="1" spans="1:20" ht="23.45">
      <c r="A1" s="97" t="s">
        <v>205</v>
      </c>
      <c r="B1" s="97"/>
      <c r="C1" s="97"/>
      <c r="D1" s="97"/>
      <c r="E1" s="97"/>
      <c r="F1" s="97"/>
      <c r="G1" s="97"/>
      <c r="H1" s="97"/>
      <c r="I1" s="97"/>
      <c r="J1" s="97"/>
      <c r="K1" s="97"/>
      <c r="L1" s="97"/>
      <c r="M1" s="97"/>
      <c r="N1" s="97"/>
      <c r="O1" s="97"/>
      <c r="P1" s="97"/>
      <c r="Q1" s="97"/>
      <c r="R1" s="97"/>
      <c r="S1" s="97"/>
    </row>
    <row r="2" spans="1:20" ht="6" customHeight="1">
      <c r="A2" s="96"/>
      <c r="B2" s="96"/>
      <c r="C2" s="96"/>
      <c r="D2" s="96"/>
      <c r="E2" s="96"/>
      <c r="F2" s="96"/>
      <c r="G2" s="96"/>
      <c r="H2" s="96"/>
      <c r="I2" s="96"/>
      <c r="J2" s="96"/>
      <c r="K2" s="96"/>
      <c r="L2" s="96"/>
      <c r="M2" s="96"/>
      <c r="N2" s="96"/>
      <c r="O2" s="96"/>
      <c r="P2" s="96"/>
      <c r="Q2" s="96"/>
      <c r="R2" s="96"/>
      <c r="S2" s="96"/>
    </row>
    <row r="3" spans="1:20" ht="14.65" customHeight="1">
      <c r="A3" s="98" t="s">
        <v>129</v>
      </c>
      <c r="B3" s="98"/>
      <c r="C3" s="6"/>
      <c r="D3" s="6"/>
      <c r="E3" s="6"/>
      <c r="F3" s="2" t="s">
        <v>137</v>
      </c>
      <c r="G3" s="4" t="s">
        <v>206</v>
      </c>
      <c r="H3" s="5">
        <v>46023</v>
      </c>
      <c r="I3" s="5">
        <v>46054</v>
      </c>
      <c r="J3" s="5">
        <v>46082</v>
      </c>
      <c r="K3" s="5">
        <v>46113</v>
      </c>
      <c r="L3" s="5">
        <v>46143</v>
      </c>
      <c r="M3" s="5">
        <v>46174</v>
      </c>
      <c r="N3" s="5">
        <v>46204</v>
      </c>
      <c r="O3" s="5">
        <v>46235</v>
      </c>
      <c r="P3" s="5">
        <v>46266</v>
      </c>
      <c r="Q3" s="5">
        <v>46296</v>
      </c>
      <c r="R3" s="5">
        <v>46327</v>
      </c>
      <c r="S3" s="5">
        <v>46357</v>
      </c>
    </row>
    <row r="4" spans="1:20" ht="14.65" customHeight="1">
      <c r="A4" s="98" t="s">
        <v>207</v>
      </c>
      <c r="B4" s="98"/>
      <c r="C4" s="6"/>
      <c r="D4" s="6"/>
      <c r="E4" s="6"/>
      <c r="F4" s="2" t="s">
        <v>136</v>
      </c>
      <c r="G4" s="20">
        <f t="shared" ref="G4:S4" si="0">+SUM(G7:G101)</f>
        <v>104690</v>
      </c>
      <c r="H4" s="12">
        <f t="shared" si="0"/>
        <v>7647</v>
      </c>
      <c r="I4" s="12">
        <f t="shared" si="0"/>
        <v>3447</v>
      </c>
      <c r="J4" s="12">
        <f t="shared" si="0"/>
        <v>2847</v>
      </c>
      <c r="K4" s="12">
        <f t="shared" si="0"/>
        <v>8247</v>
      </c>
      <c r="L4" s="12">
        <f t="shared" si="0"/>
        <v>2847</v>
      </c>
      <c r="M4" s="12">
        <f t="shared" si="0"/>
        <v>5267</v>
      </c>
      <c r="N4" s="12">
        <f t="shared" si="0"/>
        <v>7647</v>
      </c>
      <c r="O4" s="12">
        <f t="shared" si="0"/>
        <v>3447</v>
      </c>
      <c r="P4" s="12">
        <f t="shared" si="0"/>
        <v>2847</v>
      </c>
      <c r="Q4" s="12">
        <f t="shared" si="0"/>
        <v>8247</v>
      </c>
      <c r="R4" s="12">
        <f t="shared" si="0"/>
        <v>34847</v>
      </c>
      <c r="S4" s="12">
        <f t="shared" si="0"/>
        <v>17353</v>
      </c>
    </row>
    <row r="5" spans="1:20" ht="5.65" customHeight="1">
      <c r="A5" s="96"/>
      <c r="B5" s="96"/>
      <c r="C5" s="96"/>
      <c r="D5" s="96"/>
      <c r="E5" s="96"/>
      <c r="F5" s="96"/>
      <c r="G5" s="96"/>
      <c r="H5" s="96"/>
      <c r="I5" s="96"/>
      <c r="J5" s="96"/>
      <c r="K5" s="96"/>
      <c r="L5" s="96"/>
      <c r="M5" s="96"/>
      <c r="N5" s="96"/>
      <c r="O5" s="96"/>
      <c r="P5" s="96"/>
      <c r="Q5" s="96"/>
      <c r="R5" s="96"/>
      <c r="S5" s="96"/>
    </row>
    <row r="6" spans="1:20">
      <c r="A6" s="4" t="s">
        <v>208</v>
      </c>
      <c r="B6" s="4" t="s">
        <v>153</v>
      </c>
      <c r="C6" s="4" t="s">
        <v>209</v>
      </c>
      <c r="D6" s="4" t="s">
        <v>210</v>
      </c>
      <c r="E6" s="4" t="s">
        <v>1</v>
      </c>
      <c r="F6" s="4" t="s">
        <v>211</v>
      </c>
      <c r="G6" s="4" t="s">
        <v>206</v>
      </c>
      <c r="H6" s="5" t="s">
        <v>212</v>
      </c>
      <c r="I6" s="5" t="s">
        <v>213</v>
      </c>
      <c r="J6" s="5" t="s">
        <v>214</v>
      </c>
      <c r="K6" s="5" t="s">
        <v>215</v>
      </c>
      <c r="L6" s="5" t="s">
        <v>216</v>
      </c>
      <c r="M6" s="5" t="s">
        <v>217</v>
      </c>
      <c r="N6" s="5" t="s">
        <v>218</v>
      </c>
      <c r="O6" s="5" t="s">
        <v>219</v>
      </c>
      <c r="P6" s="5" t="s">
        <v>220</v>
      </c>
      <c r="Q6" s="5" t="s">
        <v>221</v>
      </c>
      <c r="R6" s="5" t="s">
        <v>222</v>
      </c>
      <c r="S6" s="5" t="s">
        <v>223</v>
      </c>
      <c r="T6" s="3"/>
    </row>
    <row r="7" spans="1:20" ht="14.45">
      <c r="A7" s="7">
        <v>1</v>
      </c>
      <c r="B7" s="2" t="s">
        <v>133</v>
      </c>
      <c r="C7" s="2" t="s">
        <v>10</v>
      </c>
      <c r="D7" t="s">
        <v>160</v>
      </c>
      <c r="E7" s="2" t="s">
        <v>47</v>
      </c>
      <c r="F7" s="2" t="s">
        <v>47</v>
      </c>
      <c r="G7" s="11">
        <f>+SUM(H7:S7)</f>
        <v>30000</v>
      </c>
      <c r="H7" s="12">
        <v>2500</v>
      </c>
      <c r="I7" s="12">
        <v>2500</v>
      </c>
      <c r="J7" s="12">
        <v>2500</v>
      </c>
      <c r="K7" s="12">
        <v>2500</v>
      </c>
      <c r="L7" s="12">
        <v>2500</v>
      </c>
      <c r="M7" s="12">
        <v>2500</v>
      </c>
      <c r="N7" s="12">
        <v>2500</v>
      </c>
      <c r="O7" s="12">
        <v>2500</v>
      </c>
      <c r="P7" s="12">
        <v>2500</v>
      </c>
      <c r="Q7" s="12">
        <v>2500</v>
      </c>
      <c r="R7" s="12">
        <v>2500</v>
      </c>
      <c r="S7" s="12">
        <v>2500</v>
      </c>
    </row>
    <row r="8" spans="1:20" ht="14.45">
      <c r="A8" s="7">
        <v>2</v>
      </c>
      <c r="B8" s="2" t="s">
        <v>133</v>
      </c>
      <c r="C8" s="2" t="s">
        <v>10</v>
      </c>
      <c r="D8" t="s">
        <v>132</v>
      </c>
      <c r="E8" s="2" t="s">
        <v>67</v>
      </c>
      <c r="F8" s="2" t="s">
        <v>303</v>
      </c>
      <c r="G8" s="11">
        <f t="shared" ref="G8:G67" si="1">+SUM(H8:S8)</f>
        <v>1524</v>
      </c>
      <c r="H8" s="12">
        <v>127</v>
      </c>
      <c r="I8" s="12">
        <v>127</v>
      </c>
      <c r="J8" s="12">
        <v>127</v>
      </c>
      <c r="K8" s="12">
        <v>127</v>
      </c>
      <c r="L8" s="12">
        <v>127</v>
      </c>
      <c r="M8" s="12">
        <v>127</v>
      </c>
      <c r="N8" s="12">
        <v>127</v>
      </c>
      <c r="O8" s="12">
        <v>127</v>
      </c>
      <c r="P8" s="12">
        <v>127</v>
      </c>
      <c r="Q8" s="12">
        <v>127</v>
      </c>
      <c r="R8" s="12">
        <v>127</v>
      </c>
      <c r="S8" s="12">
        <v>127</v>
      </c>
    </row>
    <row r="9" spans="1:20" ht="14.45">
      <c r="A9" s="7">
        <v>3</v>
      </c>
      <c r="B9" s="2" t="s">
        <v>133</v>
      </c>
      <c r="C9" s="2" t="s">
        <v>10</v>
      </c>
      <c r="D9" t="s">
        <v>132</v>
      </c>
      <c r="E9" s="2" t="s">
        <v>67</v>
      </c>
      <c r="F9" s="2" t="s">
        <v>304</v>
      </c>
      <c r="G9" s="11">
        <f t="shared" si="1"/>
        <v>4020</v>
      </c>
      <c r="H9" s="12"/>
      <c r="I9" s="12"/>
      <c r="J9" s="12"/>
      <c r="K9" s="12"/>
      <c r="L9" s="12"/>
      <c r="M9" s="12">
        <v>1820</v>
      </c>
      <c r="N9" s="12"/>
      <c r="O9" s="12"/>
      <c r="P9" s="12"/>
      <c r="Q9" s="12"/>
      <c r="R9" s="12"/>
      <c r="S9" s="12">
        <v>2200</v>
      </c>
    </row>
    <row r="10" spans="1:20" ht="14.45">
      <c r="A10" s="7">
        <v>4</v>
      </c>
      <c r="B10" s="2" t="s">
        <v>133</v>
      </c>
      <c r="C10" s="2" t="s">
        <v>10</v>
      </c>
      <c r="D10" t="s">
        <v>132</v>
      </c>
      <c r="E10" s="2" t="s">
        <v>67</v>
      </c>
      <c r="F10" s="2" t="s">
        <v>305</v>
      </c>
      <c r="G10" s="11">
        <f t="shared" si="1"/>
        <v>1200</v>
      </c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>
        <f>757+443</f>
        <v>1200</v>
      </c>
    </row>
    <row r="11" spans="1:20" ht="14.45">
      <c r="A11" s="7">
        <v>5</v>
      </c>
      <c r="B11" s="2" t="s">
        <v>133</v>
      </c>
      <c r="C11" s="2" t="s">
        <v>10</v>
      </c>
      <c r="D11" t="s">
        <v>132</v>
      </c>
      <c r="E11" s="2" t="s">
        <v>67</v>
      </c>
      <c r="F11" s="2" t="s">
        <v>306</v>
      </c>
      <c r="G11" s="11">
        <f t="shared" si="1"/>
        <v>2409</v>
      </c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>
        <v>2409</v>
      </c>
    </row>
    <row r="12" spans="1:20" ht="14.45">
      <c r="A12" s="7">
        <v>6</v>
      </c>
      <c r="B12" s="2" t="s">
        <v>133</v>
      </c>
      <c r="C12" s="2" t="s">
        <v>10</v>
      </c>
      <c r="D12" t="s">
        <v>132</v>
      </c>
      <c r="E12" s="2" t="s">
        <v>67</v>
      </c>
      <c r="F12" s="2" t="s">
        <v>307</v>
      </c>
      <c r="G12" s="11">
        <f t="shared" si="1"/>
        <v>1498</v>
      </c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>
        <v>1498</v>
      </c>
    </row>
    <row r="13" spans="1:20" ht="14.45">
      <c r="A13" s="7">
        <v>7</v>
      </c>
      <c r="B13" s="2" t="s">
        <v>133</v>
      </c>
      <c r="C13" s="2" t="s">
        <v>179</v>
      </c>
      <c r="D13" t="s">
        <v>14</v>
      </c>
      <c r="E13" s="2" t="s">
        <v>183</v>
      </c>
      <c r="F13" s="2" t="s">
        <v>308</v>
      </c>
      <c r="G13" s="11">
        <f t="shared" si="1"/>
        <v>30000</v>
      </c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>
        <v>30000</v>
      </c>
      <c r="S13" s="12"/>
    </row>
    <row r="14" spans="1:20" ht="14.45">
      <c r="A14" s="7">
        <v>8</v>
      </c>
      <c r="B14" s="2" t="s">
        <v>135</v>
      </c>
      <c r="C14" s="2" t="s">
        <v>179</v>
      </c>
      <c r="D14" t="s">
        <v>14</v>
      </c>
      <c r="E14" s="2" t="s">
        <v>183</v>
      </c>
      <c r="F14" s="2" t="s">
        <v>308</v>
      </c>
      <c r="G14" s="11">
        <f t="shared" si="1"/>
        <v>2000</v>
      </c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>
        <v>2000</v>
      </c>
      <c r="S14" s="12"/>
    </row>
    <row r="15" spans="1:20" ht="14.45">
      <c r="A15" s="7">
        <v>9</v>
      </c>
      <c r="B15" s="2" t="s">
        <v>135</v>
      </c>
      <c r="C15" s="2" t="s">
        <v>179</v>
      </c>
      <c r="D15" t="s">
        <v>14</v>
      </c>
      <c r="E15" s="2" t="s">
        <v>183</v>
      </c>
      <c r="F15" s="2" t="s">
        <v>309</v>
      </c>
      <c r="G15" s="11">
        <f t="shared" si="1"/>
        <v>2599</v>
      </c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>
        <v>2599</v>
      </c>
    </row>
    <row r="16" spans="1:20" ht="14.45">
      <c r="A16" s="7">
        <v>10</v>
      </c>
      <c r="B16" s="2" t="s">
        <v>133</v>
      </c>
      <c r="C16" s="2" t="s">
        <v>179</v>
      </c>
      <c r="D16" t="s">
        <v>14</v>
      </c>
      <c r="E16" s="2" t="s">
        <v>28</v>
      </c>
      <c r="F16" s="2" t="s">
        <v>310</v>
      </c>
      <c r="G16" s="11">
        <f t="shared" si="1"/>
        <v>4000</v>
      </c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>
        <v>4000</v>
      </c>
    </row>
    <row r="17" spans="1:19" ht="14.45">
      <c r="A17" s="7">
        <v>11</v>
      </c>
      <c r="B17" s="2" t="s">
        <v>133</v>
      </c>
      <c r="C17" s="2" t="s">
        <v>179</v>
      </c>
      <c r="D17" t="s">
        <v>14</v>
      </c>
      <c r="E17" s="2" t="s">
        <v>183</v>
      </c>
      <c r="F17" s="2" t="s">
        <v>311</v>
      </c>
      <c r="G17" s="11">
        <f t="shared" si="1"/>
        <v>1440</v>
      </c>
      <c r="H17" s="12">
        <v>120</v>
      </c>
      <c r="I17" s="12">
        <v>120</v>
      </c>
      <c r="J17" s="12">
        <v>120</v>
      </c>
      <c r="K17" s="12">
        <v>120</v>
      </c>
      <c r="L17" s="12">
        <v>120</v>
      </c>
      <c r="M17" s="12">
        <v>120</v>
      </c>
      <c r="N17" s="12">
        <v>120</v>
      </c>
      <c r="O17" s="12">
        <v>120</v>
      </c>
      <c r="P17" s="12">
        <v>120</v>
      </c>
      <c r="Q17" s="12">
        <v>120</v>
      </c>
      <c r="R17" s="12">
        <v>120</v>
      </c>
      <c r="S17" s="12">
        <v>120</v>
      </c>
    </row>
    <row r="18" spans="1:19" ht="14.45">
      <c r="A18" s="7">
        <v>12</v>
      </c>
      <c r="B18" s="2" t="s">
        <v>135</v>
      </c>
      <c r="C18" s="2" t="s">
        <v>179</v>
      </c>
      <c r="D18" t="s">
        <v>14</v>
      </c>
      <c r="E18" s="2" t="s">
        <v>183</v>
      </c>
      <c r="F18" s="2" t="s">
        <v>311</v>
      </c>
      <c r="G18" s="11">
        <f t="shared" si="1"/>
        <v>1200</v>
      </c>
      <c r="H18" s="12">
        <v>100</v>
      </c>
      <c r="I18" s="12">
        <v>100</v>
      </c>
      <c r="J18" s="12">
        <v>100</v>
      </c>
      <c r="K18" s="12">
        <v>100</v>
      </c>
      <c r="L18" s="12">
        <v>100</v>
      </c>
      <c r="M18" s="12">
        <v>100</v>
      </c>
      <c r="N18" s="12">
        <v>100</v>
      </c>
      <c r="O18" s="12">
        <v>100</v>
      </c>
      <c r="P18" s="12">
        <v>100</v>
      </c>
      <c r="Q18" s="12">
        <v>100</v>
      </c>
      <c r="R18" s="12">
        <v>100</v>
      </c>
      <c r="S18" s="12">
        <v>100</v>
      </c>
    </row>
    <row r="19" spans="1:19" ht="14.45">
      <c r="A19" s="7">
        <v>13</v>
      </c>
      <c r="B19" s="2" t="s">
        <v>133</v>
      </c>
      <c r="C19" s="2" t="s">
        <v>10</v>
      </c>
      <c r="D19" t="s">
        <v>10</v>
      </c>
      <c r="E19" s="2" t="s">
        <v>189</v>
      </c>
      <c r="F19" s="2" t="s">
        <v>312</v>
      </c>
      <c r="G19" s="11">
        <f t="shared" si="1"/>
        <v>0</v>
      </c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</row>
    <row r="20" spans="1:19" ht="14.45">
      <c r="A20" s="7">
        <v>14</v>
      </c>
      <c r="B20" s="2" t="s">
        <v>133</v>
      </c>
      <c r="C20" s="2" t="s">
        <v>10</v>
      </c>
      <c r="D20" t="s">
        <v>160</v>
      </c>
      <c r="E20" s="2" t="s">
        <v>191</v>
      </c>
      <c r="F20" s="2" t="s">
        <v>313</v>
      </c>
      <c r="G20" s="11">
        <f>+SUM(H20:S20)</f>
        <v>1800</v>
      </c>
      <c r="H20" s="12"/>
      <c r="I20" s="12">
        <f>50*6</f>
        <v>300</v>
      </c>
      <c r="J20" s="12"/>
      <c r="K20" s="12">
        <f>50*6</f>
        <v>300</v>
      </c>
      <c r="L20" s="12"/>
      <c r="M20" s="12">
        <f>50*6</f>
        <v>300</v>
      </c>
      <c r="N20" s="12"/>
      <c r="O20" s="12">
        <f>50*6</f>
        <v>300</v>
      </c>
      <c r="P20" s="12"/>
      <c r="Q20" s="12">
        <f>50*6</f>
        <v>300</v>
      </c>
      <c r="R20" s="12"/>
      <c r="S20" s="12">
        <f>50*6</f>
        <v>300</v>
      </c>
    </row>
    <row r="21" spans="1:19" ht="14.45">
      <c r="A21" s="7">
        <v>15</v>
      </c>
      <c r="B21" s="2" t="s">
        <v>135</v>
      </c>
      <c r="C21" s="2" t="s">
        <v>10</v>
      </c>
      <c r="D21" t="s">
        <v>160</v>
      </c>
      <c r="E21" s="2" t="s">
        <v>191</v>
      </c>
      <c r="F21" s="2" t="s">
        <v>313</v>
      </c>
      <c r="G21" s="11">
        <f>+SUM(H21:S21)</f>
        <v>1800</v>
      </c>
      <c r="H21" s="12"/>
      <c r="I21" s="12">
        <f>50*6</f>
        <v>300</v>
      </c>
      <c r="J21" s="12"/>
      <c r="K21" s="12">
        <f>50*6</f>
        <v>300</v>
      </c>
      <c r="L21" s="12"/>
      <c r="M21" s="12">
        <f>50*6</f>
        <v>300</v>
      </c>
      <c r="N21" s="12"/>
      <c r="O21" s="12">
        <f>50*6</f>
        <v>300</v>
      </c>
      <c r="P21" s="12"/>
      <c r="Q21" s="12">
        <f>50*6</f>
        <v>300</v>
      </c>
      <c r="R21" s="12"/>
      <c r="S21" s="12">
        <f>50*6</f>
        <v>300</v>
      </c>
    </row>
    <row r="22" spans="1:19" ht="14.45">
      <c r="A22" s="7">
        <v>16</v>
      </c>
      <c r="B22" s="2" t="s">
        <v>133</v>
      </c>
      <c r="C22" s="2" t="s">
        <v>10</v>
      </c>
      <c r="D22" t="s">
        <v>160</v>
      </c>
      <c r="E22" s="2" t="s">
        <v>186</v>
      </c>
      <c r="F22" s="2" t="s">
        <v>314</v>
      </c>
      <c r="G22" s="11">
        <f t="shared" si="1"/>
        <v>0</v>
      </c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</row>
    <row r="23" spans="1:19" ht="14.45">
      <c r="A23" s="7">
        <v>17</v>
      </c>
      <c r="B23" s="2" t="s">
        <v>133</v>
      </c>
      <c r="C23" s="2" t="s">
        <v>10</v>
      </c>
      <c r="D23" t="s">
        <v>160</v>
      </c>
      <c r="E23" s="2" t="s">
        <v>186</v>
      </c>
      <c r="F23" s="2" t="s">
        <v>315</v>
      </c>
      <c r="G23" s="11">
        <f>+SUM(H23:S23)</f>
        <v>9600</v>
      </c>
      <c r="H23" s="12">
        <f>600*4</f>
        <v>2400</v>
      </c>
      <c r="I23" s="12"/>
      <c r="J23" s="12"/>
      <c r="K23" s="12">
        <v>2400</v>
      </c>
      <c r="L23" s="12"/>
      <c r="M23" s="12"/>
      <c r="N23" s="12">
        <f>600*4</f>
        <v>2400</v>
      </c>
      <c r="O23" s="12"/>
      <c r="P23" s="12"/>
      <c r="Q23" s="12">
        <v>2400</v>
      </c>
      <c r="R23" s="12"/>
      <c r="S23" s="12"/>
    </row>
    <row r="24" spans="1:19" ht="14.45">
      <c r="A24" s="7">
        <v>18</v>
      </c>
      <c r="B24" s="2" t="s">
        <v>135</v>
      </c>
      <c r="C24" s="2" t="s">
        <v>10</v>
      </c>
      <c r="D24" t="s">
        <v>160</v>
      </c>
      <c r="E24" s="2" t="s">
        <v>186</v>
      </c>
      <c r="F24" s="2" t="s">
        <v>315</v>
      </c>
      <c r="G24" s="11">
        <f>+SUM(H24:S24)</f>
        <v>9600</v>
      </c>
      <c r="H24" s="12">
        <f>600*4</f>
        <v>2400</v>
      </c>
      <c r="I24" s="12"/>
      <c r="J24" s="12"/>
      <c r="K24" s="12">
        <v>2400</v>
      </c>
      <c r="L24" s="12"/>
      <c r="M24" s="12"/>
      <c r="N24" s="12">
        <f>600*4</f>
        <v>2400</v>
      </c>
      <c r="O24" s="12"/>
      <c r="P24" s="12"/>
      <c r="Q24" s="12">
        <v>2400</v>
      </c>
      <c r="R24" s="12"/>
      <c r="S24" s="12"/>
    </row>
    <row r="25" spans="1:19">
      <c r="A25" s="7">
        <v>19</v>
      </c>
      <c r="G25" s="11">
        <f t="shared" si="1"/>
        <v>0</v>
      </c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</row>
    <row r="26" spans="1:19">
      <c r="A26" s="7">
        <v>20</v>
      </c>
      <c r="G26" s="11">
        <f t="shared" si="1"/>
        <v>0</v>
      </c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</row>
    <row r="27" spans="1:19">
      <c r="A27" s="7">
        <v>21</v>
      </c>
      <c r="G27" s="11">
        <f t="shared" si="1"/>
        <v>0</v>
      </c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</row>
    <row r="28" spans="1:19">
      <c r="A28" s="7">
        <v>22</v>
      </c>
      <c r="G28" s="11">
        <f t="shared" si="1"/>
        <v>0</v>
      </c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</row>
    <row r="29" spans="1:19">
      <c r="A29" s="7">
        <v>23</v>
      </c>
      <c r="G29" s="11">
        <f t="shared" si="1"/>
        <v>0</v>
      </c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</row>
    <row r="30" spans="1:19">
      <c r="A30" s="7">
        <v>24</v>
      </c>
      <c r="G30" s="11">
        <f t="shared" si="1"/>
        <v>0</v>
      </c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</row>
    <row r="31" spans="1:19">
      <c r="A31" s="7">
        <v>25</v>
      </c>
      <c r="G31" s="11">
        <f t="shared" si="1"/>
        <v>0</v>
      </c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</row>
    <row r="32" spans="1:19">
      <c r="A32" s="7">
        <v>26</v>
      </c>
      <c r="G32" s="11">
        <f t="shared" si="1"/>
        <v>0</v>
      </c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</row>
    <row r="33" spans="1:19">
      <c r="A33" s="7">
        <v>27</v>
      </c>
      <c r="G33" s="11">
        <f t="shared" si="1"/>
        <v>0</v>
      </c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</row>
    <row r="34" spans="1:19">
      <c r="A34" s="7">
        <v>28</v>
      </c>
      <c r="G34" s="11">
        <f t="shared" si="1"/>
        <v>0</v>
      </c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</row>
    <row r="35" spans="1:19">
      <c r="A35" s="7">
        <v>29</v>
      </c>
      <c r="G35" s="11">
        <f t="shared" si="1"/>
        <v>0</v>
      </c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</row>
    <row r="36" spans="1:19">
      <c r="A36" s="7">
        <v>30</v>
      </c>
      <c r="G36" s="11">
        <f t="shared" si="1"/>
        <v>0</v>
      </c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</row>
    <row r="37" spans="1:19">
      <c r="A37" s="7">
        <v>31</v>
      </c>
      <c r="G37" s="11">
        <f t="shared" si="1"/>
        <v>0</v>
      </c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</row>
    <row r="38" spans="1:19">
      <c r="A38" s="7">
        <v>32</v>
      </c>
      <c r="G38" s="11">
        <f t="shared" si="1"/>
        <v>0</v>
      </c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</row>
    <row r="39" spans="1:19">
      <c r="A39" s="7">
        <v>33</v>
      </c>
      <c r="G39" s="11">
        <f t="shared" si="1"/>
        <v>0</v>
      </c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</row>
    <row r="40" spans="1:19">
      <c r="A40" s="7">
        <v>34</v>
      </c>
      <c r="G40" s="11">
        <f t="shared" si="1"/>
        <v>0</v>
      </c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</row>
    <row r="41" spans="1:19">
      <c r="A41" s="7">
        <v>35</v>
      </c>
      <c r="G41" s="11">
        <f t="shared" si="1"/>
        <v>0</v>
      </c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</row>
    <row r="42" spans="1:19">
      <c r="A42" s="7">
        <v>36</v>
      </c>
      <c r="G42" s="11">
        <f t="shared" si="1"/>
        <v>0</v>
      </c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</row>
    <row r="43" spans="1:19">
      <c r="A43" s="7">
        <v>37</v>
      </c>
      <c r="G43" s="11">
        <f t="shared" si="1"/>
        <v>0</v>
      </c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</row>
    <row r="44" spans="1:19">
      <c r="A44" s="7">
        <v>38</v>
      </c>
      <c r="G44" s="11">
        <f t="shared" si="1"/>
        <v>0</v>
      </c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</row>
    <row r="45" spans="1:19">
      <c r="A45" s="7">
        <v>39</v>
      </c>
      <c r="G45" s="11">
        <f t="shared" si="1"/>
        <v>0</v>
      </c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</row>
    <row r="46" spans="1:19">
      <c r="A46" s="7">
        <v>40</v>
      </c>
      <c r="G46" s="11">
        <f t="shared" si="1"/>
        <v>0</v>
      </c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</row>
    <row r="47" spans="1:19">
      <c r="A47" s="7">
        <v>41</v>
      </c>
      <c r="G47" s="11">
        <f t="shared" si="1"/>
        <v>0</v>
      </c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</row>
    <row r="48" spans="1:19">
      <c r="A48" s="7">
        <v>42</v>
      </c>
      <c r="G48" s="11">
        <f t="shared" si="1"/>
        <v>0</v>
      </c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</row>
    <row r="49" spans="1:19">
      <c r="A49" s="7">
        <v>43</v>
      </c>
      <c r="G49" s="11">
        <f t="shared" si="1"/>
        <v>0</v>
      </c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</row>
    <row r="50" spans="1:19">
      <c r="A50" s="7">
        <v>44</v>
      </c>
      <c r="G50" s="11">
        <f t="shared" si="1"/>
        <v>0</v>
      </c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</row>
    <row r="51" spans="1:19">
      <c r="A51" s="7">
        <v>45</v>
      </c>
      <c r="G51" s="11">
        <f t="shared" si="1"/>
        <v>0</v>
      </c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</row>
    <row r="52" spans="1:19">
      <c r="A52" s="7">
        <v>46</v>
      </c>
      <c r="G52" s="11">
        <f t="shared" si="1"/>
        <v>0</v>
      </c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</row>
    <row r="53" spans="1:19">
      <c r="A53" s="7">
        <v>47</v>
      </c>
      <c r="G53" s="11">
        <f t="shared" si="1"/>
        <v>0</v>
      </c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</row>
    <row r="54" spans="1:19">
      <c r="A54" s="7">
        <v>48</v>
      </c>
      <c r="G54" s="11">
        <f t="shared" si="1"/>
        <v>0</v>
      </c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</row>
    <row r="55" spans="1:19">
      <c r="A55" s="7">
        <v>49</v>
      </c>
      <c r="G55" s="11">
        <f t="shared" si="1"/>
        <v>0</v>
      </c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</row>
    <row r="56" spans="1:19">
      <c r="A56" s="7">
        <v>50</v>
      </c>
      <c r="G56" s="11">
        <f t="shared" si="1"/>
        <v>0</v>
      </c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</row>
    <row r="57" spans="1:19">
      <c r="A57" s="7">
        <v>51</v>
      </c>
      <c r="G57" s="11">
        <f t="shared" si="1"/>
        <v>0</v>
      </c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</row>
    <row r="58" spans="1:19">
      <c r="A58" s="7">
        <v>52</v>
      </c>
      <c r="G58" s="11">
        <f t="shared" si="1"/>
        <v>0</v>
      </c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</row>
    <row r="59" spans="1:19">
      <c r="A59" s="7">
        <v>53</v>
      </c>
      <c r="G59" s="11">
        <f t="shared" si="1"/>
        <v>0</v>
      </c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</row>
    <row r="60" spans="1:19">
      <c r="A60" s="7">
        <v>54</v>
      </c>
      <c r="G60" s="11">
        <f t="shared" si="1"/>
        <v>0</v>
      </c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</row>
    <row r="61" spans="1:19">
      <c r="A61" s="7">
        <v>55</v>
      </c>
      <c r="G61" s="11">
        <f t="shared" si="1"/>
        <v>0</v>
      </c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</row>
    <row r="62" spans="1:19">
      <c r="A62" s="7">
        <v>56</v>
      </c>
      <c r="G62" s="11">
        <f t="shared" si="1"/>
        <v>0</v>
      </c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</row>
    <row r="63" spans="1:19">
      <c r="A63" s="7">
        <v>57</v>
      </c>
      <c r="G63" s="11">
        <f t="shared" si="1"/>
        <v>0</v>
      </c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</row>
    <row r="64" spans="1:19">
      <c r="A64" s="7">
        <v>58</v>
      </c>
      <c r="G64" s="11">
        <f t="shared" si="1"/>
        <v>0</v>
      </c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</row>
    <row r="65" spans="1:19">
      <c r="A65" s="7">
        <v>59</v>
      </c>
      <c r="G65" s="11">
        <f t="shared" si="1"/>
        <v>0</v>
      </c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</row>
    <row r="66" spans="1:19">
      <c r="A66" s="7">
        <v>60</v>
      </c>
      <c r="G66" s="11">
        <f t="shared" si="1"/>
        <v>0</v>
      </c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</row>
    <row r="67" spans="1:19">
      <c r="A67" s="7">
        <v>61</v>
      </c>
      <c r="G67" s="11">
        <f t="shared" si="1"/>
        <v>0</v>
      </c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</row>
    <row r="68" spans="1:19">
      <c r="A68" s="7">
        <v>62</v>
      </c>
      <c r="G68" s="11">
        <f t="shared" ref="G68:G101" si="2">+SUM(H68:S68)</f>
        <v>0</v>
      </c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</row>
    <row r="69" spans="1:19">
      <c r="A69" s="7">
        <v>63</v>
      </c>
      <c r="G69" s="11">
        <f t="shared" si="2"/>
        <v>0</v>
      </c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</row>
    <row r="70" spans="1:19">
      <c r="A70" s="7">
        <v>64</v>
      </c>
      <c r="G70" s="11">
        <f t="shared" si="2"/>
        <v>0</v>
      </c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</row>
    <row r="71" spans="1:19">
      <c r="A71" s="7">
        <v>65</v>
      </c>
      <c r="G71" s="11">
        <f t="shared" si="2"/>
        <v>0</v>
      </c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</row>
    <row r="72" spans="1:19">
      <c r="A72" s="7">
        <v>66</v>
      </c>
      <c r="G72" s="11">
        <f t="shared" si="2"/>
        <v>0</v>
      </c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</row>
    <row r="73" spans="1:19">
      <c r="A73" s="7">
        <v>67</v>
      </c>
      <c r="G73" s="11">
        <f t="shared" si="2"/>
        <v>0</v>
      </c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</row>
    <row r="74" spans="1:19">
      <c r="A74" s="7">
        <v>68</v>
      </c>
      <c r="G74" s="11">
        <f t="shared" si="2"/>
        <v>0</v>
      </c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</row>
    <row r="75" spans="1:19">
      <c r="A75" s="7">
        <v>69</v>
      </c>
      <c r="G75" s="11">
        <f t="shared" si="2"/>
        <v>0</v>
      </c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</row>
    <row r="76" spans="1:19">
      <c r="A76" s="7">
        <v>70</v>
      </c>
      <c r="G76" s="11">
        <f t="shared" si="2"/>
        <v>0</v>
      </c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</row>
    <row r="77" spans="1:19">
      <c r="A77" s="7">
        <v>71</v>
      </c>
      <c r="G77" s="11">
        <f t="shared" si="2"/>
        <v>0</v>
      </c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</row>
    <row r="78" spans="1:19">
      <c r="A78" s="7">
        <v>72</v>
      </c>
      <c r="G78" s="11">
        <f t="shared" si="2"/>
        <v>0</v>
      </c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</row>
    <row r="79" spans="1:19">
      <c r="A79" s="7">
        <v>73</v>
      </c>
      <c r="G79" s="11">
        <f t="shared" si="2"/>
        <v>0</v>
      </c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</row>
    <row r="80" spans="1:19">
      <c r="A80" s="7">
        <v>74</v>
      </c>
      <c r="G80" s="11">
        <f t="shared" si="2"/>
        <v>0</v>
      </c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</row>
    <row r="81" spans="1:19">
      <c r="A81" s="7">
        <v>75</v>
      </c>
      <c r="G81" s="11">
        <f t="shared" si="2"/>
        <v>0</v>
      </c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</row>
    <row r="82" spans="1:19">
      <c r="A82" s="7">
        <v>76</v>
      </c>
      <c r="G82" s="11">
        <f t="shared" si="2"/>
        <v>0</v>
      </c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</row>
    <row r="83" spans="1:19">
      <c r="A83" s="7">
        <v>77</v>
      </c>
      <c r="G83" s="11">
        <f t="shared" si="2"/>
        <v>0</v>
      </c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</row>
    <row r="84" spans="1:19">
      <c r="A84" s="7">
        <v>78</v>
      </c>
      <c r="G84" s="11">
        <f t="shared" si="2"/>
        <v>0</v>
      </c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</row>
    <row r="85" spans="1:19">
      <c r="A85" s="7">
        <v>79</v>
      </c>
      <c r="G85" s="11">
        <f t="shared" si="2"/>
        <v>0</v>
      </c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</row>
    <row r="86" spans="1:19">
      <c r="A86" s="7">
        <v>80</v>
      </c>
      <c r="G86" s="11">
        <f t="shared" si="2"/>
        <v>0</v>
      </c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</row>
    <row r="87" spans="1:19">
      <c r="A87" s="7">
        <v>81</v>
      </c>
      <c r="G87" s="11">
        <f t="shared" si="2"/>
        <v>0</v>
      </c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</row>
    <row r="88" spans="1:19">
      <c r="A88" s="7">
        <v>82</v>
      </c>
      <c r="G88" s="11">
        <f t="shared" si="2"/>
        <v>0</v>
      </c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</row>
    <row r="89" spans="1:19">
      <c r="A89" s="7">
        <v>83</v>
      </c>
      <c r="G89" s="11">
        <f t="shared" si="2"/>
        <v>0</v>
      </c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</row>
    <row r="90" spans="1:19">
      <c r="A90" s="7">
        <v>84</v>
      </c>
      <c r="G90" s="11">
        <f t="shared" si="2"/>
        <v>0</v>
      </c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</row>
    <row r="91" spans="1:19">
      <c r="A91" s="7">
        <v>85</v>
      </c>
      <c r="G91" s="11">
        <f t="shared" si="2"/>
        <v>0</v>
      </c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</row>
    <row r="92" spans="1:19">
      <c r="A92" s="7">
        <v>86</v>
      </c>
      <c r="G92" s="11">
        <f t="shared" si="2"/>
        <v>0</v>
      </c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</row>
    <row r="93" spans="1:19">
      <c r="A93" s="7">
        <v>87</v>
      </c>
      <c r="G93" s="11">
        <f t="shared" si="2"/>
        <v>0</v>
      </c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</row>
    <row r="94" spans="1:19">
      <c r="A94" s="7">
        <v>88</v>
      </c>
      <c r="G94" s="11">
        <f t="shared" si="2"/>
        <v>0</v>
      </c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</row>
    <row r="95" spans="1:19">
      <c r="A95" s="7">
        <v>89</v>
      </c>
      <c r="G95" s="11">
        <f t="shared" si="2"/>
        <v>0</v>
      </c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</row>
    <row r="96" spans="1:19">
      <c r="A96" s="7">
        <v>90</v>
      </c>
      <c r="G96" s="11">
        <f t="shared" si="2"/>
        <v>0</v>
      </c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</row>
    <row r="97" spans="1:19">
      <c r="A97" s="7">
        <v>91</v>
      </c>
      <c r="G97" s="11">
        <f t="shared" si="2"/>
        <v>0</v>
      </c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</row>
    <row r="98" spans="1:19">
      <c r="A98" s="7">
        <v>92</v>
      </c>
      <c r="G98" s="11">
        <f t="shared" si="2"/>
        <v>0</v>
      </c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</row>
    <row r="99" spans="1:19">
      <c r="A99" s="7">
        <v>93</v>
      </c>
      <c r="G99" s="11">
        <f t="shared" si="2"/>
        <v>0</v>
      </c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</row>
    <row r="100" spans="1:19">
      <c r="A100" s="7">
        <v>94</v>
      </c>
      <c r="G100" s="11">
        <f t="shared" si="2"/>
        <v>0</v>
      </c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</row>
    <row r="101" spans="1:19">
      <c r="A101" s="7">
        <v>95</v>
      </c>
      <c r="G101" s="11">
        <f t="shared" si="2"/>
        <v>0</v>
      </c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</row>
    <row r="102" spans="1:19">
      <c r="A102" s="7">
        <v>96</v>
      </c>
      <c r="G102" s="11">
        <f>+SUM(H102:S102)</f>
        <v>0</v>
      </c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</row>
    <row r="103" spans="1:19">
      <c r="A103" s="7">
        <v>97</v>
      </c>
      <c r="G103" s="11">
        <f>+SUM(H103:S103)</f>
        <v>0</v>
      </c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</row>
    <row r="104" spans="1:19">
      <c r="A104" s="7">
        <v>98</v>
      </c>
      <c r="G104" s="11">
        <f>+SUM(H104:S104)</f>
        <v>0</v>
      </c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</row>
    <row r="105" spans="1:19">
      <c r="A105" s="7">
        <v>99</v>
      </c>
      <c r="G105" s="11">
        <f>+SUM(H105:S105)</f>
        <v>0</v>
      </c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</row>
    <row r="106" spans="1:19">
      <c r="A106" s="7">
        <v>100</v>
      </c>
      <c r="G106" s="11">
        <f>+SUM(H106:S106)</f>
        <v>0</v>
      </c>
      <c r="H106" s="12"/>
      <c r="I106" s="12"/>
      <c r="J106" s="12"/>
      <c r="K106" s="12"/>
      <c r="L106" s="12"/>
      <c r="M106" s="12"/>
      <c r="N106" s="12"/>
      <c r="O106" s="12"/>
      <c r="P106" s="12"/>
      <c r="Q106" s="12"/>
      <c r="R106" s="12"/>
      <c r="S106" s="12"/>
    </row>
  </sheetData>
  <mergeCells count="5">
    <mergeCell ref="A5:S5"/>
    <mergeCell ref="A1:S1"/>
    <mergeCell ref="A2:S2"/>
    <mergeCell ref="A3:B3"/>
    <mergeCell ref="A4:B4"/>
  </mergeCells>
  <dataValidations disablePrompts="1" count="1">
    <dataValidation type="list" allowBlank="1" showInputMessage="1" showErrorMessage="1" sqref="E7:E106" xr:uid="{34A6F6FE-23D9-4B62-BB18-3B0ED30813C2}">
      <formula1>INDIRECT(D7)</formula1>
    </dataValidation>
  </dataValidations>
  <pageMargins left="0.7" right="0.7" top="0.75" bottom="0.75" header="0.3" footer="0.3"/>
  <pageSetup scale="42" orientation="portrait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disablePrompts="1" count="5">
        <x14:dataValidation type="list" allowBlank="1" showInputMessage="1" showErrorMessage="1" xr:uid="{339B4DAE-D41D-481D-B55A-FEF73A10A264}">
          <x14:formula1>
            <xm:f>Categorías!$G$1:$Q$1</xm:f>
          </x14:formula1>
          <xm:sqref>D25:D101</xm:sqref>
        </x14:dataValidation>
        <x14:dataValidation type="list" allowBlank="1" showInputMessage="1" showErrorMessage="1" xr:uid="{329EA03D-4951-4DF5-9B15-9E8496A334B7}">
          <x14:formula1>
            <xm:f>INPUT!$A$2:$A$9</xm:f>
          </x14:formula1>
          <xm:sqref>F4</xm:sqref>
        </x14:dataValidation>
        <x14:dataValidation type="list" allowBlank="1" showInputMessage="1" showErrorMessage="1" xr:uid="{988059E1-FCA4-4342-894E-DAB3F7018A81}">
          <x14:formula1>
            <xm:f>INPUT!$C$2:$C$7</xm:f>
          </x14:formula1>
          <xm:sqref>C25:C52 B7:B52</xm:sqref>
        </x14:dataValidation>
        <x14:dataValidation type="list" allowBlank="1" showInputMessage="1" showErrorMessage="1" xr:uid="{54163DC4-F113-4F2F-8D03-7AFC6845ED23}">
          <x14:formula1>
            <xm:f>INPUT!$B$2:$B$10</xm:f>
          </x14:formula1>
          <xm:sqref>F3</xm:sqref>
        </x14:dataValidation>
        <x14:dataValidation type="list" allowBlank="1" showInputMessage="1" showErrorMessage="1" xr:uid="{34262870-9CFC-417A-A5B3-E566B15675E8}">
          <x14:formula1>
            <xm:f>Categorías!$G$1:$R$1</xm:f>
          </x14:formula1>
          <xm:sqref>D7:D24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A16197-F3E7-4AC6-B885-DBCF094477E8}">
  <sheetPr codeName="Hoja7">
    <tabColor theme="3"/>
  </sheetPr>
  <dimension ref="A1:T106"/>
  <sheetViews>
    <sheetView zoomScale="80" zoomScaleNormal="80" workbookViewId="0">
      <selection activeCell="G18" sqref="G18"/>
    </sheetView>
  </sheetViews>
  <sheetFormatPr defaultColWidth="0" defaultRowHeight="12.95"/>
  <cols>
    <col min="1" max="1" width="4" style="2" bestFit="1" customWidth="1"/>
    <col min="2" max="2" width="12.42578125" style="2" bestFit="1" customWidth="1"/>
    <col min="3" max="3" width="13.7109375" style="2" bestFit="1" customWidth="1"/>
    <col min="4" max="4" width="21.42578125" style="2" bestFit="1" customWidth="1"/>
    <col min="5" max="5" width="24.5703125" style="2" bestFit="1" customWidth="1"/>
    <col min="6" max="6" width="47.5703125" style="2" customWidth="1"/>
    <col min="7" max="7" width="12.5703125" style="2" customWidth="1"/>
    <col min="8" max="19" width="11.5703125" style="2" bestFit="1" customWidth="1"/>
    <col min="20" max="20" width="0" style="2" hidden="1" customWidth="1"/>
    <col min="21" max="16384" width="11.5703125" style="2" hidden="1"/>
  </cols>
  <sheetData>
    <row r="1" spans="1:20" ht="23.45">
      <c r="A1" s="97" t="s">
        <v>205</v>
      </c>
      <c r="B1" s="97"/>
      <c r="C1" s="97"/>
      <c r="D1" s="97"/>
      <c r="E1" s="97"/>
      <c r="F1" s="97"/>
      <c r="G1" s="97"/>
      <c r="H1" s="97"/>
      <c r="I1" s="97"/>
      <c r="J1" s="97"/>
      <c r="K1" s="97"/>
      <c r="L1" s="97"/>
      <c r="M1" s="97"/>
      <c r="N1" s="97"/>
      <c r="O1" s="97"/>
      <c r="P1" s="97"/>
      <c r="Q1" s="97"/>
      <c r="R1" s="97"/>
      <c r="S1" s="97"/>
    </row>
    <row r="2" spans="1:20" ht="6" customHeight="1">
      <c r="A2" s="96"/>
      <c r="B2" s="96"/>
      <c r="C2" s="96"/>
      <c r="D2" s="96"/>
      <c r="E2" s="96"/>
      <c r="F2" s="96"/>
      <c r="G2" s="96"/>
      <c r="H2" s="96"/>
      <c r="I2" s="96"/>
      <c r="J2" s="96"/>
      <c r="K2" s="96"/>
      <c r="L2" s="96"/>
      <c r="M2" s="96"/>
      <c r="N2" s="96"/>
      <c r="O2" s="96"/>
      <c r="P2" s="96"/>
      <c r="Q2" s="96"/>
      <c r="R2" s="96"/>
      <c r="S2" s="96"/>
    </row>
    <row r="3" spans="1:20" ht="14.65" customHeight="1">
      <c r="A3" s="98" t="s">
        <v>129</v>
      </c>
      <c r="B3" s="98"/>
      <c r="C3" s="6"/>
      <c r="D3" s="6"/>
      <c r="E3" s="6"/>
      <c r="F3" s="2" t="s">
        <v>140</v>
      </c>
      <c r="G3" s="4" t="s">
        <v>206</v>
      </c>
      <c r="H3" s="5">
        <v>46023</v>
      </c>
      <c r="I3" s="5">
        <v>46054</v>
      </c>
      <c r="J3" s="5">
        <v>46082</v>
      </c>
      <c r="K3" s="5">
        <v>46113</v>
      </c>
      <c r="L3" s="5">
        <v>46143</v>
      </c>
      <c r="M3" s="5">
        <v>46174</v>
      </c>
      <c r="N3" s="5">
        <v>46204</v>
      </c>
      <c r="O3" s="5">
        <v>46235</v>
      </c>
      <c r="P3" s="5">
        <v>46266</v>
      </c>
      <c r="Q3" s="5">
        <v>46296</v>
      </c>
      <c r="R3" s="5">
        <v>46327</v>
      </c>
      <c r="S3" s="5">
        <v>46357</v>
      </c>
    </row>
    <row r="4" spans="1:20" ht="14.65" customHeight="1">
      <c r="A4" s="98" t="s">
        <v>207</v>
      </c>
      <c r="B4" s="98"/>
      <c r="C4" s="6"/>
      <c r="D4" s="6"/>
      <c r="E4" s="6"/>
      <c r="F4" s="2" t="s">
        <v>139</v>
      </c>
      <c r="G4" s="16">
        <f t="shared" ref="G4:S4" si="0">+SUM(G7:G106)</f>
        <v>601077.91999999993</v>
      </c>
      <c r="H4" s="16">
        <f t="shared" si="0"/>
        <v>45240.66</v>
      </c>
      <c r="I4" s="16">
        <f t="shared" si="0"/>
        <v>209240.66</v>
      </c>
      <c r="J4" s="16">
        <f t="shared" si="0"/>
        <v>52480.66</v>
      </c>
      <c r="K4" s="16">
        <f t="shared" si="0"/>
        <v>31340.66</v>
      </c>
      <c r="L4" s="16">
        <f t="shared" si="0"/>
        <v>36090.660000000003</v>
      </c>
      <c r="M4" s="16">
        <f t="shared" si="0"/>
        <v>30740.66</v>
      </c>
      <c r="N4" s="16">
        <f t="shared" si="0"/>
        <v>28740.66</v>
      </c>
      <c r="O4" s="16">
        <f t="shared" si="0"/>
        <v>40240.660000000003</v>
      </c>
      <c r="P4" s="16">
        <f t="shared" si="0"/>
        <v>27240.66</v>
      </c>
      <c r="Q4" s="16">
        <f t="shared" si="0"/>
        <v>30740.66</v>
      </c>
      <c r="R4" s="16">
        <f t="shared" si="0"/>
        <v>37240.660000000003</v>
      </c>
      <c r="S4" s="16">
        <f t="shared" si="0"/>
        <v>31740.66</v>
      </c>
    </row>
    <row r="5" spans="1:20" ht="5.65" customHeight="1">
      <c r="A5" s="96"/>
      <c r="B5" s="96"/>
      <c r="C5" s="96"/>
      <c r="D5" s="96"/>
      <c r="E5" s="96"/>
      <c r="F5" s="96"/>
      <c r="G5" s="96"/>
      <c r="H5" s="96"/>
      <c r="I5" s="96"/>
      <c r="J5" s="96"/>
      <c r="K5" s="96"/>
      <c r="L5" s="96"/>
      <c r="M5" s="96"/>
      <c r="N5" s="96"/>
      <c r="O5" s="96"/>
      <c r="P5" s="96"/>
      <c r="Q5" s="96"/>
      <c r="R5" s="96"/>
      <c r="S5" s="96"/>
    </row>
    <row r="6" spans="1:20">
      <c r="A6" s="4" t="s">
        <v>208</v>
      </c>
      <c r="B6" s="4" t="s">
        <v>153</v>
      </c>
      <c r="C6" s="4" t="s">
        <v>209</v>
      </c>
      <c r="D6" s="4" t="s">
        <v>210</v>
      </c>
      <c r="E6" s="4" t="s">
        <v>1</v>
      </c>
      <c r="F6" s="4" t="s">
        <v>211</v>
      </c>
      <c r="G6" s="4" t="s">
        <v>206</v>
      </c>
      <c r="H6" s="5" t="s">
        <v>212</v>
      </c>
      <c r="I6" s="5" t="s">
        <v>213</v>
      </c>
      <c r="J6" s="5" t="s">
        <v>214</v>
      </c>
      <c r="K6" s="5" t="s">
        <v>215</v>
      </c>
      <c r="L6" s="5" t="s">
        <v>216</v>
      </c>
      <c r="M6" s="5" t="s">
        <v>217</v>
      </c>
      <c r="N6" s="5" t="s">
        <v>218</v>
      </c>
      <c r="O6" s="5" t="s">
        <v>219</v>
      </c>
      <c r="P6" s="5" t="s">
        <v>220</v>
      </c>
      <c r="Q6" s="5" t="s">
        <v>221</v>
      </c>
      <c r="R6" s="5" t="s">
        <v>222</v>
      </c>
      <c r="S6" s="5" t="s">
        <v>223</v>
      </c>
      <c r="T6" s="3"/>
    </row>
    <row r="7" spans="1:20">
      <c r="A7" s="7">
        <v>1</v>
      </c>
      <c r="B7" s="2" t="s">
        <v>133</v>
      </c>
      <c r="C7" s="2" t="s">
        <v>316</v>
      </c>
      <c r="D7" s="2" t="s">
        <v>161</v>
      </c>
      <c r="E7" s="2" t="s">
        <v>172</v>
      </c>
      <c r="F7" s="2" t="s">
        <v>317</v>
      </c>
      <c r="G7" s="11">
        <f t="shared" ref="G7:G38" si="1">+SUM(H7:S7)</f>
        <v>10350</v>
      </c>
      <c r="H7" s="12">
        <v>1150</v>
      </c>
      <c r="I7" s="12">
        <v>1150</v>
      </c>
      <c r="J7" s="12"/>
      <c r="K7" s="12"/>
      <c r="L7" s="12"/>
      <c r="M7" s="12">
        <v>1150</v>
      </c>
      <c r="N7" s="12">
        <v>1150</v>
      </c>
      <c r="O7" s="12">
        <v>1150</v>
      </c>
      <c r="P7" s="12">
        <v>1150</v>
      </c>
      <c r="Q7" s="12">
        <v>1150</v>
      </c>
      <c r="R7" s="12">
        <v>1150</v>
      </c>
      <c r="S7" s="12">
        <v>1150</v>
      </c>
    </row>
    <row r="8" spans="1:20">
      <c r="A8" s="7">
        <v>2</v>
      </c>
      <c r="B8" s="2" t="s">
        <v>133</v>
      </c>
      <c r="C8" s="2" t="s">
        <v>316</v>
      </c>
      <c r="D8" s="2" t="s">
        <v>161</v>
      </c>
      <c r="E8" s="2" t="s">
        <v>172</v>
      </c>
      <c r="F8" s="2" t="s">
        <v>318</v>
      </c>
      <c r="G8" s="11">
        <f t="shared" si="1"/>
        <v>1087.9199999999998</v>
      </c>
      <c r="H8" s="12">
        <f>15.11*6</f>
        <v>90.66</v>
      </c>
      <c r="I8" s="12">
        <f t="shared" ref="I8:S8" si="2">15.11*6</f>
        <v>90.66</v>
      </c>
      <c r="J8" s="12">
        <f t="shared" si="2"/>
        <v>90.66</v>
      </c>
      <c r="K8" s="12">
        <f t="shared" si="2"/>
        <v>90.66</v>
      </c>
      <c r="L8" s="12">
        <f t="shared" si="2"/>
        <v>90.66</v>
      </c>
      <c r="M8" s="12">
        <f t="shared" si="2"/>
        <v>90.66</v>
      </c>
      <c r="N8" s="12">
        <f t="shared" si="2"/>
        <v>90.66</v>
      </c>
      <c r="O8" s="12">
        <f t="shared" si="2"/>
        <v>90.66</v>
      </c>
      <c r="P8" s="12">
        <f t="shared" si="2"/>
        <v>90.66</v>
      </c>
      <c r="Q8" s="12">
        <f t="shared" si="2"/>
        <v>90.66</v>
      </c>
      <c r="R8" s="12">
        <f t="shared" si="2"/>
        <v>90.66</v>
      </c>
      <c r="S8" s="12">
        <f t="shared" si="2"/>
        <v>90.66</v>
      </c>
    </row>
    <row r="9" spans="1:20">
      <c r="A9" s="7">
        <v>3</v>
      </c>
      <c r="B9" s="2" t="s">
        <v>133</v>
      </c>
      <c r="C9" s="2" t="s">
        <v>316</v>
      </c>
      <c r="D9" s="2" t="s">
        <v>161</v>
      </c>
      <c r="E9" s="2" t="s">
        <v>172</v>
      </c>
      <c r="F9" s="2" t="s">
        <v>319</v>
      </c>
      <c r="G9" s="11">
        <f t="shared" si="1"/>
        <v>3390</v>
      </c>
      <c r="H9" s="12"/>
      <c r="I9" s="12"/>
      <c r="J9" s="12">
        <f>1130*3</f>
        <v>3390</v>
      </c>
      <c r="K9" s="12"/>
      <c r="L9" s="12"/>
      <c r="M9" s="12"/>
      <c r="N9" s="12"/>
      <c r="O9" s="12"/>
      <c r="P9" s="12"/>
      <c r="Q9" s="12"/>
      <c r="R9" s="12"/>
      <c r="S9" s="12"/>
    </row>
    <row r="10" spans="1:20">
      <c r="A10" s="7">
        <v>4</v>
      </c>
      <c r="B10" s="2" t="s">
        <v>133</v>
      </c>
      <c r="C10" s="2" t="s">
        <v>242</v>
      </c>
      <c r="D10" s="2" t="s">
        <v>11</v>
      </c>
      <c r="E10" s="2" t="s">
        <v>68</v>
      </c>
      <c r="F10" s="2" t="s">
        <v>320</v>
      </c>
      <c r="G10" s="11">
        <f t="shared" si="1"/>
        <v>40000</v>
      </c>
      <c r="H10" s="12">
        <v>0</v>
      </c>
      <c r="I10" s="12">
        <v>10000</v>
      </c>
      <c r="J10" s="12">
        <v>0</v>
      </c>
      <c r="K10" s="12">
        <v>0</v>
      </c>
      <c r="L10" s="12">
        <v>10000</v>
      </c>
      <c r="M10" s="12">
        <v>0</v>
      </c>
      <c r="N10" s="12">
        <v>0</v>
      </c>
      <c r="O10" s="12">
        <v>10000</v>
      </c>
      <c r="P10" s="12">
        <v>0</v>
      </c>
      <c r="Q10" s="12">
        <v>0</v>
      </c>
      <c r="R10" s="12">
        <v>10000</v>
      </c>
      <c r="S10" s="12">
        <v>0</v>
      </c>
    </row>
    <row r="11" spans="1:20">
      <c r="A11" s="7">
        <v>5</v>
      </c>
      <c r="B11" s="2" t="s">
        <v>133</v>
      </c>
      <c r="C11" s="2" t="s">
        <v>242</v>
      </c>
      <c r="D11" s="2" t="s">
        <v>11</v>
      </c>
      <c r="E11" s="2" t="s">
        <v>68</v>
      </c>
      <c r="F11" s="2" t="s">
        <v>321</v>
      </c>
      <c r="G11" s="11">
        <f t="shared" si="1"/>
        <v>70000</v>
      </c>
      <c r="H11" s="12">
        <v>10000</v>
      </c>
      <c r="I11" s="12">
        <v>10000</v>
      </c>
      <c r="J11" s="12">
        <v>5000</v>
      </c>
      <c r="K11" s="12">
        <v>5000</v>
      </c>
      <c r="L11" s="12">
        <v>5000</v>
      </c>
      <c r="M11" s="12">
        <v>5000</v>
      </c>
      <c r="N11" s="12">
        <v>5000</v>
      </c>
      <c r="O11" s="12">
        <v>5000</v>
      </c>
      <c r="P11" s="12">
        <v>5000</v>
      </c>
      <c r="Q11" s="12">
        <v>5000</v>
      </c>
      <c r="R11" s="12">
        <v>5000</v>
      </c>
      <c r="S11" s="12">
        <v>5000</v>
      </c>
    </row>
    <row r="12" spans="1:20">
      <c r="A12" s="7">
        <v>6</v>
      </c>
      <c r="B12" s="2" t="s">
        <v>133</v>
      </c>
      <c r="C12" s="2" t="s">
        <v>242</v>
      </c>
      <c r="D12" s="2" t="s">
        <v>11</v>
      </c>
      <c r="E12" s="2" t="s">
        <v>68</v>
      </c>
      <c r="F12" s="2" t="s">
        <v>322</v>
      </c>
      <c r="G12" s="11">
        <f t="shared" si="1"/>
        <v>75000</v>
      </c>
      <c r="H12" s="12">
        <v>0</v>
      </c>
      <c r="I12" s="12">
        <v>17500</v>
      </c>
      <c r="J12" s="12">
        <v>17500</v>
      </c>
      <c r="K12" s="12">
        <v>0</v>
      </c>
      <c r="L12" s="12">
        <v>10000</v>
      </c>
      <c r="M12" s="12">
        <v>0</v>
      </c>
      <c r="N12" s="12">
        <v>10000</v>
      </c>
      <c r="O12" s="12">
        <v>0</v>
      </c>
      <c r="P12" s="12">
        <v>10000</v>
      </c>
      <c r="Q12" s="12">
        <v>0</v>
      </c>
      <c r="R12" s="12">
        <v>10000</v>
      </c>
      <c r="S12" s="12">
        <v>0</v>
      </c>
    </row>
    <row r="13" spans="1:20">
      <c r="A13" s="7">
        <v>7</v>
      </c>
      <c r="B13" s="2" t="s">
        <v>133</v>
      </c>
      <c r="C13" s="2" t="s">
        <v>242</v>
      </c>
      <c r="D13" s="2" t="s">
        <v>11</v>
      </c>
      <c r="E13" s="2" t="s">
        <v>68</v>
      </c>
      <c r="F13" s="2" t="s">
        <v>323</v>
      </c>
      <c r="G13" s="11">
        <f t="shared" si="1"/>
        <v>24000</v>
      </c>
      <c r="H13" s="12">
        <v>2000</v>
      </c>
      <c r="I13" s="12">
        <v>2000</v>
      </c>
      <c r="J13" s="12">
        <v>2000</v>
      </c>
      <c r="K13" s="12">
        <v>2000</v>
      </c>
      <c r="L13" s="12">
        <v>2000</v>
      </c>
      <c r="M13" s="12">
        <v>2000</v>
      </c>
      <c r="N13" s="12">
        <v>2000</v>
      </c>
      <c r="O13" s="12">
        <v>2000</v>
      </c>
      <c r="P13" s="12">
        <v>2000</v>
      </c>
      <c r="Q13" s="12">
        <v>2000</v>
      </c>
      <c r="R13" s="12">
        <v>2000</v>
      </c>
      <c r="S13" s="12">
        <v>2000</v>
      </c>
    </row>
    <row r="14" spans="1:20">
      <c r="A14" s="7">
        <v>8</v>
      </c>
      <c r="B14" s="2" t="s">
        <v>144</v>
      </c>
      <c r="C14" s="2" t="s">
        <v>242</v>
      </c>
      <c r="D14" s="2" t="s">
        <v>11</v>
      </c>
      <c r="E14" s="2" t="s">
        <v>68</v>
      </c>
      <c r="F14" s="2" t="s">
        <v>324</v>
      </c>
      <c r="G14" s="11">
        <f t="shared" si="1"/>
        <v>14250</v>
      </c>
      <c r="H14" s="12">
        <v>2500</v>
      </c>
      <c r="I14" s="12">
        <v>2500</v>
      </c>
      <c r="J14" s="12">
        <v>1000</v>
      </c>
      <c r="K14" s="12">
        <v>1250</v>
      </c>
      <c r="L14" s="12">
        <v>1000</v>
      </c>
      <c r="M14" s="12">
        <v>1000</v>
      </c>
      <c r="N14" s="12">
        <v>500</v>
      </c>
      <c r="O14" s="12">
        <v>500</v>
      </c>
      <c r="P14" s="12">
        <v>1000</v>
      </c>
      <c r="Q14" s="12">
        <v>1000</v>
      </c>
      <c r="R14" s="12">
        <v>1000</v>
      </c>
      <c r="S14" s="12">
        <v>1000</v>
      </c>
    </row>
    <row r="15" spans="1:20">
      <c r="A15" s="7">
        <v>9</v>
      </c>
      <c r="B15" s="2" t="s">
        <v>133</v>
      </c>
      <c r="C15" s="2" t="s">
        <v>242</v>
      </c>
      <c r="D15" s="2" t="s">
        <v>11</v>
      </c>
      <c r="E15" s="2" t="s">
        <v>68</v>
      </c>
      <c r="F15" s="2" t="s">
        <v>325</v>
      </c>
      <c r="G15" s="11">
        <f t="shared" si="1"/>
        <v>18000</v>
      </c>
      <c r="H15" s="12">
        <v>1500</v>
      </c>
      <c r="I15" s="12">
        <v>1500</v>
      </c>
      <c r="J15" s="12">
        <v>1500</v>
      </c>
      <c r="K15" s="12">
        <v>1500</v>
      </c>
      <c r="L15" s="12">
        <v>1500</v>
      </c>
      <c r="M15" s="12">
        <v>1500</v>
      </c>
      <c r="N15" s="12">
        <v>1500</v>
      </c>
      <c r="O15" s="12">
        <v>1500</v>
      </c>
      <c r="P15" s="12">
        <v>1500</v>
      </c>
      <c r="Q15" s="12">
        <v>1500</v>
      </c>
      <c r="R15" s="12">
        <v>1500</v>
      </c>
      <c r="S15" s="12">
        <v>1500</v>
      </c>
    </row>
    <row r="16" spans="1:20">
      <c r="A16" s="7">
        <v>10</v>
      </c>
      <c r="B16" s="2" t="s">
        <v>133</v>
      </c>
      <c r="C16" s="2" t="s">
        <v>180</v>
      </c>
      <c r="D16" s="2" t="s">
        <v>11</v>
      </c>
      <c r="E16" s="2" t="s">
        <v>68</v>
      </c>
      <c r="F16" s="2" t="s">
        <v>326</v>
      </c>
      <c r="G16" s="11">
        <f t="shared" si="1"/>
        <v>65000</v>
      </c>
      <c r="H16" s="12">
        <v>10000</v>
      </c>
      <c r="I16" s="12">
        <v>5000</v>
      </c>
      <c r="J16" s="12">
        <v>5000</v>
      </c>
      <c r="K16" s="12">
        <v>5000</v>
      </c>
      <c r="L16" s="12">
        <v>5000</v>
      </c>
      <c r="M16" s="12">
        <v>5000</v>
      </c>
      <c r="N16" s="12">
        <v>5000</v>
      </c>
      <c r="O16" s="12">
        <v>5000</v>
      </c>
      <c r="P16" s="12">
        <v>5000</v>
      </c>
      <c r="Q16" s="12">
        <v>5000</v>
      </c>
      <c r="R16" s="12">
        <v>5000</v>
      </c>
      <c r="S16" s="12">
        <v>5000</v>
      </c>
    </row>
    <row r="17" spans="1:19">
      <c r="A17" s="7">
        <v>11</v>
      </c>
      <c r="B17" s="2" t="s">
        <v>133</v>
      </c>
      <c r="C17" s="2" t="s">
        <v>180</v>
      </c>
      <c r="D17" s="2" t="s">
        <v>11</v>
      </c>
      <c r="E17" s="2" t="s">
        <v>68</v>
      </c>
      <c r="F17" s="2" t="s">
        <v>327</v>
      </c>
      <c r="G17" s="11">
        <f t="shared" si="1"/>
        <v>120000</v>
      </c>
      <c r="H17" s="12">
        <v>15000</v>
      </c>
      <c r="I17" s="12">
        <v>15000</v>
      </c>
      <c r="J17" s="12">
        <v>15000</v>
      </c>
      <c r="K17" s="12">
        <v>15000</v>
      </c>
      <c r="L17" s="12">
        <v>0</v>
      </c>
      <c r="M17" s="12">
        <v>15000</v>
      </c>
      <c r="N17" s="12">
        <v>0</v>
      </c>
      <c r="O17" s="12">
        <v>15000</v>
      </c>
      <c r="P17" s="12">
        <v>0</v>
      </c>
      <c r="Q17" s="12">
        <v>15000</v>
      </c>
      <c r="R17" s="12">
        <v>0</v>
      </c>
      <c r="S17" s="12">
        <v>15000</v>
      </c>
    </row>
    <row r="18" spans="1:19">
      <c r="A18" s="7">
        <v>12</v>
      </c>
      <c r="B18" s="2" t="s">
        <v>133</v>
      </c>
      <c r="C18" s="2" t="s">
        <v>242</v>
      </c>
      <c r="D18" s="2" t="s">
        <v>11</v>
      </c>
      <c r="E18" s="2" t="s">
        <v>68</v>
      </c>
      <c r="F18" s="2" t="s">
        <v>328</v>
      </c>
      <c r="G18" s="11">
        <f t="shared" si="1"/>
        <v>10000</v>
      </c>
      <c r="H18" s="12"/>
      <c r="I18" s="12">
        <v>1500</v>
      </c>
      <c r="J18" s="12"/>
      <c r="K18" s="12">
        <v>1500</v>
      </c>
      <c r="L18" s="12">
        <v>1500</v>
      </c>
      <c r="M18" s="12"/>
      <c r="N18" s="12">
        <v>1500</v>
      </c>
      <c r="O18" s="12"/>
      <c r="P18" s="12">
        <v>1500</v>
      </c>
      <c r="Q18" s="12"/>
      <c r="R18" s="12">
        <v>1500</v>
      </c>
      <c r="S18" s="12">
        <v>1000</v>
      </c>
    </row>
    <row r="19" spans="1:19">
      <c r="A19" s="7">
        <v>13</v>
      </c>
      <c r="B19" s="2" t="s">
        <v>144</v>
      </c>
      <c r="C19" s="2" t="s">
        <v>242</v>
      </c>
      <c r="D19" s="2" t="s">
        <v>11</v>
      </c>
      <c r="E19" s="2" t="s">
        <v>68</v>
      </c>
      <c r="F19" s="2" t="s">
        <v>329</v>
      </c>
      <c r="G19" s="11">
        <f t="shared" si="1"/>
        <v>140000</v>
      </c>
      <c r="H19" s="12"/>
      <c r="I19" s="12">
        <v>140000</v>
      </c>
      <c r="J19" s="12"/>
      <c r="K19" s="12"/>
      <c r="L19" s="12"/>
      <c r="M19" s="12"/>
      <c r="N19" s="12"/>
      <c r="O19" s="12"/>
      <c r="P19" s="12"/>
      <c r="Q19" s="12"/>
      <c r="R19" s="12"/>
      <c r="S19" s="12"/>
    </row>
    <row r="20" spans="1:19">
      <c r="A20" s="7">
        <v>14</v>
      </c>
      <c r="B20" s="2" t="s">
        <v>144</v>
      </c>
      <c r="C20" s="2" t="s">
        <v>242</v>
      </c>
      <c r="D20" s="2" t="s">
        <v>11</v>
      </c>
      <c r="E20" s="2" t="s">
        <v>68</v>
      </c>
      <c r="F20" s="2" t="s">
        <v>330</v>
      </c>
      <c r="G20" s="11">
        <f t="shared" si="1"/>
        <v>10000</v>
      </c>
      <c r="H20" s="12">
        <v>3000</v>
      </c>
      <c r="I20" s="12">
        <v>3000</v>
      </c>
      <c r="J20" s="12">
        <v>2000</v>
      </c>
      <c r="K20" s="12"/>
      <c r="L20" s="12"/>
      <c r="M20" s="12"/>
      <c r="N20" s="12">
        <v>2000</v>
      </c>
      <c r="O20" s="12"/>
      <c r="P20" s="12"/>
      <c r="Q20" s="12"/>
      <c r="R20" s="12"/>
      <c r="S20" s="12"/>
    </row>
    <row r="21" spans="1:19">
      <c r="A21" s="7">
        <v>15</v>
      </c>
      <c r="G21" s="11">
        <f t="shared" si="1"/>
        <v>0</v>
      </c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</row>
    <row r="22" spans="1:19">
      <c r="A22" s="7">
        <v>16</v>
      </c>
      <c r="G22" s="11">
        <f t="shared" si="1"/>
        <v>0</v>
      </c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</row>
    <row r="23" spans="1:19">
      <c r="A23" s="7">
        <v>17</v>
      </c>
      <c r="G23" s="11">
        <f t="shared" si="1"/>
        <v>0</v>
      </c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</row>
    <row r="24" spans="1:19">
      <c r="A24" s="7">
        <v>18</v>
      </c>
      <c r="G24" s="11">
        <f t="shared" si="1"/>
        <v>0</v>
      </c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</row>
    <row r="25" spans="1:19">
      <c r="A25" s="7">
        <v>19</v>
      </c>
      <c r="G25" s="11">
        <f t="shared" si="1"/>
        <v>0</v>
      </c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</row>
    <row r="26" spans="1:19">
      <c r="A26" s="7">
        <v>20</v>
      </c>
      <c r="G26" s="11">
        <f t="shared" si="1"/>
        <v>0</v>
      </c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</row>
    <row r="27" spans="1:19">
      <c r="A27" s="7">
        <v>21</v>
      </c>
      <c r="G27" s="11">
        <f t="shared" si="1"/>
        <v>0</v>
      </c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</row>
    <row r="28" spans="1:19">
      <c r="A28" s="7">
        <v>22</v>
      </c>
      <c r="G28" s="11">
        <f t="shared" si="1"/>
        <v>0</v>
      </c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</row>
    <row r="29" spans="1:19">
      <c r="A29" s="7">
        <v>23</v>
      </c>
      <c r="G29" s="11">
        <f t="shared" si="1"/>
        <v>0</v>
      </c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</row>
    <row r="30" spans="1:19">
      <c r="A30" s="7">
        <v>24</v>
      </c>
      <c r="G30" s="11">
        <f t="shared" si="1"/>
        <v>0</v>
      </c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</row>
    <row r="31" spans="1:19">
      <c r="A31" s="7">
        <v>25</v>
      </c>
      <c r="G31" s="11">
        <f t="shared" si="1"/>
        <v>0</v>
      </c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</row>
    <row r="32" spans="1:19">
      <c r="A32" s="7">
        <v>26</v>
      </c>
      <c r="G32" s="11">
        <f t="shared" si="1"/>
        <v>0</v>
      </c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</row>
    <row r="33" spans="1:19">
      <c r="A33" s="7">
        <v>27</v>
      </c>
      <c r="G33" s="11">
        <f t="shared" si="1"/>
        <v>0</v>
      </c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</row>
    <row r="34" spans="1:19">
      <c r="A34" s="7">
        <v>28</v>
      </c>
      <c r="G34" s="11">
        <f t="shared" si="1"/>
        <v>0</v>
      </c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</row>
    <row r="35" spans="1:19">
      <c r="A35" s="7">
        <v>29</v>
      </c>
      <c r="G35" s="11">
        <f t="shared" si="1"/>
        <v>0</v>
      </c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</row>
    <row r="36" spans="1:19">
      <c r="A36" s="7">
        <v>30</v>
      </c>
      <c r="G36" s="11">
        <f t="shared" si="1"/>
        <v>0</v>
      </c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</row>
    <row r="37" spans="1:19">
      <c r="A37" s="7">
        <v>31</v>
      </c>
      <c r="G37" s="11">
        <f t="shared" si="1"/>
        <v>0</v>
      </c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</row>
    <row r="38" spans="1:19">
      <c r="A38" s="7">
        <v>32</v>
      </c>
      <c r="G38" s="11">
        <f t="shared" si="1"/>
        <v>0</v>
      </c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</row>
    <row r="39" spans="1:19">
      <c r="A39" s="7">
        <v>33</v>
      </c>
      <c r="G39" s="11">
        <f t="shared" ref="G39:G70" si="3">+SUM(H39:S39)</f>
        <v>0</v>
      </c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</row>
    <row r="40" spans="1:19">
      <c r="A40" s="7">
        <v>34</v>
      </c>
      <c r="G40" s="11">
        <f t="shared" si="3"/>
        <v>0</v>
      </c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</row>
    <row r="41" spans="1:19">
      <c r="A41" s="7">
        <v>35</v>
      </c>
      <c r="G41" s="11">
        <f t="shared" si="3"/>
        <v>0</v>
      </c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</row>
    <row r="42" spans="1:19">
      <c r="A42" s="7">
        <v>36</v>
      </c>
      <c r="G42" s="11">
        <f t="shared" si="3"/>
        <v>0</v>
      </c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</row>
    <row r="43" spans="1:19">
      <c r="A43" s="7">
        <v>37</v>
      </c>
      <c r="G43" s="11">
        <f t="shared" si="3"/>
        <v>0</v>
      </c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</row>
    <row r="44" spans="1:19">
      <c r="A44" s="7">
        <v>38</v>
      </c>
      <c r="G44" s="11">
        <f t="shared" si="3"/>
        <v>0</v>
      </c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</row>
    <row r="45" spans="1:19">
      <c r="A45" s="7">
        <v>39</v>
      </c>
      <c r="G45" s="11">
        <f t="shared" si="3"/>
        <v>0</v>
      </c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</row>
    <row r="46" spans="1:19">
      <c r="A46" s="7">
        <v>40</v>
      </c>
      <c r="G46" s="11">
        <f t="shared" si="3"/>
        <v>0</v>
      </c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</row>
    <row r="47" spans="1:19">
      <c r="A47" s="7">
        <v>41</v>
      </c>
      <c r="G47" s="11">
        <f t="shared" si="3"/>
        <v>0</v>
      </c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</row>
    <row r="48" spans="1:19">
      <c r="A48" s="7">
        <v>42</v>
      </c>
      <c r="G48" s="11">
        <f t="shared" si="3"/>
        <v>0</v>
      </c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</row>
    <row r="49" spans="1:19">
      <c r="A49" s="7">
        <v>43</v>
      </c>
      <c r="G49" s="11">
        <f t="shared" si="3"/>
        <v>0</v>
      </c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</row>
    <row r="50" spans="1:19">
      <c r="A50" s="7">
        <v>44</v>
      </c>
      <c r="G50" s="11">
        <f t="shared" si="3"/>
        <v>0</v>
      </c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</row>
    <row r="51" spans="1:19">
      <c r="A51" s="7">
        <v>45</v>
      </c>
      <c r="G51" s="11">
        <f t="shared" si="3"/>
        <v>0</v>
      </c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</row>
    <row r="52" spans="1:19">
      <c r="A52" s="7">
        <v>46</v>
      </c>
      <c r="G52" s="11">
        <f t="shared" si="3"/>
        <v>0</v>
      </c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</row>
    <row r="53" spans="1:19">
      <c r="A53" s="7">
        <v>47</v>
      </c>
      <c r="G53" s="11">
        <f t="shared" si="3"/>
        <v>0</v>
      </c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</row>
    <row r="54" spans="1:19">
      <c r="A54" s="7">
        <v>48</v>
      </c>
      <c r="G54" s="11">
        <f t="shared" si="3"/>
        <v>0</v>
      </c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</row>
    <row r="55" spans="1:19">
      <c r="A55" s="7">
        <v>49</v>
      </c>
      <c r="G55" s="11">
        <f t="shared" si="3"/>
        <v>0</v>
      </c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</row>
    <row r="56" spans="1:19">
      <c r="A56" s="7">
        <v>50</v>
      </c>
      <c r="G56" s="11">
        <f t="shared" si="3"/>
        <v>0</v>
      </c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</row>
    <row r="57" spans="1:19">
      <c r="A57" s="7">
        <v>51</v>
      </c>
      <c r="G57" s="11">
        <f t="shared" si="3"/>
        <v>0</v>
      </c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</row>
    <row r="58" spans="1:19">
      <c r="A58" s="7">
        <v>52</v>
      </c>
      <c r="G58" s="11">
        <f t="shared" si="3"/>
        <v>0</v>
      </c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</row>
    <row r="59" spans="1:19">
      <c r="A59" s="7">
        <v>53</v>
      </c>
      <c r="G59" s="11">
        <f t="shared" si="3"/>
        <v>0</v>
      </c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</row>
    <row r="60" spans="1:19">
      <c r="A60" s="7">
        <v>54</v>
      </c>
      <c r="G60" s="11">
        <f t="shared" si="3"/>
        <v>0</v>
      </c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</row>
    <row r="61" spans="1:19">
      <c r="A61" s="7">
        <v>55</v>
      </c>
      <c r="G61" s="11">
        <f t="shared" si="3"/>
        <v>0</v>
      </c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</row>
    <row r="62" spans="1:19">
      <c r="A62" s="7">
        <v>56</v>
      </c>
      <c r="G62" s="11">
        <f t="shared" si="3"/>
        <v>0</v>
      </c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</row>
    <row r="63" spans="1:19">
      <c r="A63" s="7">
        <v>57</v>
      </c>
      <c r="G63" s="11">
        <f t="shared" si="3"/>
        <v>0</v>
      </c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</row>
    <row r="64" spans="1:19">
      <c r="A64" s="7">
        <v>58</v>
      </c>
      <c r="G64" s="11">
        <f t="shared" si="3"/>
        <v>0</v>
      </c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</row>
    <row r="65" spans="1:19">
      <c r="A65" s="7">
        <v>59</v>
      </c>
      <c r="G65" s="11">
        <f t="shared" si="3"/>
        <v>0</v>
      </c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</row>
    <row r="66" spans="1:19">
      <c r="A66" s="7">
        <v>60</v>
      </c>
      <c r="G66" s="11">
        <f t="shared" si="3"/>
        <v>0</v>
      </c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</row>
    <row r="67" spans="1:19">
      <c r="A67" s="7">
        <v>61</v>
      </c>
      <c r="G67" s="11">
        <f t="shared" si="3"/>
        <v>0</v>
      </c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</row>
    <row r="68" spans="1:19">
      <c r="A68" s="7">
        <v>62</v>
      </c>
      <c r="G68" s="11">
        <f t="shared" si="3"/>
        <v>0</v>
      </c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</row>
    <row r="69" spans="1:19">
      <c r="A69" s="7">
        <v>63</v>
      </c>
      <c r="G69" s="11">
        <f t="shared" si="3"/>
        <v>0</v>
      </c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</row>
    <row r="70" spans="1:19">
      <c r="A70" s="7">
        <v>64</v>
      </c>
      <c r="G70" s="11">
        <f t="shared" si="3"/>
        <v>0</v>
      </c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</row>
    <row r="71" spans="1:19">
      <c r="A71" s="7">
        <v>65</v>
      </c>
      <c r="G71" s="11">
        <f t="shared" ref="G71:G102" si="4">+SUM(H71:S71)</f>
        <v>0</v>
      </c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</row>
    <row r="72" spans="1:19">
      <c r="A72" s="7">
        <v>66</v>
      </c>
      <c r="G72" s="11">
        <f t="shared" si="4"/>
        <v>0</v>
      </c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</row>
    <row r="73" spans="1:19">
      <c r="A73" s="7">
        <v>67</v>
      </c>
      <c r="G73" s="11">
        <f t="shared" si="4"/>
        <v>0</v>
      </c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</row>
    <row r="74" spans="1:19">
      <c r="A74" s="7">
        <v>68</v>
      </c>
      <c r="G74" s="11">
        <f t="shared" si="4"/>
        <v>0</v>
      </c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</row>
    <row r="75" spans="1:19">
      <c r="A75" s="7">
        <v>69</v>
      </c>
      <c r="G75" s="11">
        <f t="shared" si="4"/>
        <v>0</v>
      </c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</row>
    <row r="76" spans="1:19">
      <c r="A76" s="7">
        <v>70</v>
      </c>
      <c r="G76" s="11">
        <f t="shared" si="4"/>
        <v>0</v>
      </c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</row>
    <row r="77" spans="1:19">
      <c r="A77" s="7">
        <v>71</v>
      </c>
      <c r="G77" s="11">
        <f t="shared" si="4"/>
        <v>0</v>
      </c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</row>
    <row r="78" spans="1:19">
      <c r="A78" s="7">
        <v>72</v>
      </c>
      <c r="G78" s="11">
        <f t="shared" si="4"/>
        <v>0</v>
      </c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</row>
    <row r="79" spans="1:19">
      <c r="A79" s="7">
        <v>73</v>
      </c>
      <c r="G79" s="11">
        <f t="shared" si="4"/>
        <v>0</v>
      </c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</row>
    <row r="80" spans="1:19">
      <c r="A80" s="7">
        <v>74</v>
      </c>
      <c r="G80" s="11">
        <f t="shared" si="4"/>
        <v>0</v>
      </c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</row>
    <row r="81" spans="1:19">
      <c r="A81" s="7">
        <v>75</v>
      </c>
      <c r="G81" s="11">
        <f t="shared" si="4"/>
        <v>0</v>
      </c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</row>
    <row r="82" spans="1:19">
      <c r="A82" s="7">
        <v>76</v>
      </c>
      <c r="G82" s="11">
        <f t="shared" si="4"/>
        <v>0</v>
      </c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</row>
    <row r="83" spans="1:19">
      <c r="A83" s="7">
        <v>77</v>
      </c>
      <c r="G83" s="11">
        <f t="shared" si="4"/>
        <v>0</v>
      </c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</row>
    <row r="84" spans="1:19">
      <c r="A84" s="7">
        <v>78</v>
      </c>
      <c r="G84" s="11">
        <f t="shared" si="4"/>
        <v>0</v>
      </c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</row>
    <row r="85" spans="1:19">
      <c r="A85" s="7">
        <v>79</v>
      </c>
      <c r="G85" s="11">
        <f t="shared" si="4"/>
        <v>0</v>
      </c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</row>
    <row r="86" spans="1:19">
      <c r="A86" s="7">
        <v>80</v>
      </c>
      <c r="G86" s="11">
        <f t="shared" si="4"/>
        <v>0</v>
      </c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</row>
    <row r="87" spans="1:19">
      <c r="A87" s="7">
        <v>81</v>
      </c>
      <c r="G87" s="11">
        <f t="shared" si="4"/>
        <v>0</v>
      </c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</row>
    <row r="88" spans="1:19">
      <c r="A88" s="7">
        <v>82</v>
      </c>
      <c r="G88" s="11">
        <f t="shared" si="4"/>
        <v>0</v>
      </c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</row>
    <row r="89" spans="1:19">
      <c r="A89" s="7">
        <v>83</v>
      </c>
      <c r="G89" s="11">
        <f t="shared" si="4"/>
        <v>0</v>
      </c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</row>
    <row r="90" spans="1:19">
      <c r="A90" s="7">
        <v>84</v>
      </c>
      <c r="G90" s="11">
        <f t="shared" si="4"/>
        <v>0</v>
      </c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</row>
    <row r="91" spans="1:19">
      <c r="A91" s="7">
        <v>85</v>
      </c>
      <c r="G91" s="11">
        <f t="shared" si="4"/>
        <v>0</v>
      </c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</row>
    <row r="92" spans="1:19">
      <c r="A92" s="7">
        <v>86</v>
      </c>
      <c r="G92" s="11">
        <f t="shared" si="4"/>
        <v>0</v>
      </c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</row>
    <row r="93" spans="1:19">
      <c r="A93" s="7">
        <v>87</v>
      </c>
      <c r="G93" s="11">
        <f t="shared" si="4"/>
        <v>0</v>
      </c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</row>
    <row r="94" spans="1:19">
      <c r="A94" s="7">
        <v>88</v>
      </c>
      <c r="G94" s="11">
        <f t="shared" si="4"/>
        <v>0</v>
      </c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</row>
    <row r="95" spans="1:19">
      <c r="A95" s="7">
        <v>89</v>
      </c>
      <c r="G95" s="11">
        <f t="shared" si="4"/>
        <v>0</v>
      </c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</row>
    <row r="96" spans="1:19">
      <c r="A96" s="7">
        <v>90</v>
      </c>
      <c r="G96" s="11">
        <f t="shared" si="4"/>
        <v>0</v>
      </c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</row>
    <row r="97" spans="1:19">
      <c r="A97" s="7">
        <v>91</v>
      </c>
      <c r="G97" s="11">
        <f t="shared" si="4"/>
        <v>0</v>
      </c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</row>
    <row r="98" spans="1:19">
      <c r="A98" s="7">
        <v>92</v>
      </c>
      <c r="G98" s="11">
        <f t="shared" si="4"/>
        <v>0</v>
      </c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</row>
    <row r="99" spans="1:19">
      <c r="A99" s="7">
        <v>93</v>
      </c>
      <c r="G99" s="11">
        <f t="shared" si="4"/>
        <v>0</v>
      </c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</row>
    <row r="100" spans="1:19">
      <c r="A100" s="7">
        <v>94</v>
      </c>
      <c r="G100" s="11">
        <f t="shared" si="4"/>
        <v>0</v>
      </c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</row>
    <row r="101" spans="1:19">
      <c r="A101" s="7">
        <v>95</v>
      </c>
      <c r="G101" s="11">
        <f t="shared" si="4"/>
        <v>0</v>
      </c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</row>
    <row r="102" spans="1:19">
      <c r="A102" s="7">
        <v>96</v>
      </c>
      <c r="G102" s="11">
        <f t="shared" si="4"/>
        <v>0</v>
      </c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</row>
    <row r="103" spans="1:19">
      <c r="A103" s="7">
        <v>97</v>
      </c>
      <c r="G103" s="11">
        <f t="shared" ref="G103:G106" si="5">+SUM(H103:S103)</f>
        <v>0</v>
      </c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</row>
    <row r="104" spans="1:19">
      <c r="A104" s="7">
        <v>98</v>
      </c>
      <c r="G104" s="11">
        <f t="shared" si="5"/>
        <v>0</v>
      </c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</row>
    <row r="105" spans="1:19">
      <c r="A105" s="7">
        <v>99</v>
      </c>
      <c r="G105" s="11">
        <f t="shared" si="5"/>
        <v>0</v>
      </c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</row>
    <row r="106" spans="1:19">
      <c r="A106" s="7">
        <v>100</v>
      </c>
      <c r="G106" s="11">
        <f t="shared" si="5"/>
        <v>0</v>
      </c>
      <c r="H106" s="12"/>
      <c r="I106" s="12"/>
      <c r="J106" s="12"/>
      <c r="K106" s="12"/>
      <c r="L106" s="12"/>
      <c r="M106" s="12"/>
      <c r="N106" s="12"/>
      <c r="O106" s="12"/>
      <c r="P106" s="12"/>
      <c r="Q106" s="12"/>
      <c r="R106" s="12"/>
      <c r="S106" s="12"/>
    </row>
  </sheetData>
  <mergeCells count="5">
    <mergeCell ref="A5:S5"/>
    <mergeCell ref="A1:S1"/>
    <mergeCell ref="A2:S2"/>
    <mergeCell ref="A3:B3"/>
    <mergeCell ref="A4:B4"/>
  </mergeCells>
  <dataValidations count="1">
    <dataValidation type="list" allowBlank="1" showInputMessage="1" showErrorMessage="1" sqref="E7:E106" xr:uid="{3F0619EA-C81D-40B3-B2AC-2911D12BF380}">
      <formula1>INDIRECT(D7)</formula1>
    </dataValidation>
  </dataValidations>
  <pageMargins left="0.7" right="0.7" top="0.75" bottom="0.75" header="0.3" footer="0.3"/>
  <pageSetup scale="42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8DCF7D36-5455-435A-8AE2-5936E6032369}">
          <x14:formula1>
            <xm:f>INPUT!$B$2:$B$10</xm:f>
          </x14:formula1>
          <xm:sqref>F3</xm:sqref>
        </x14:dataValidation>
        <x14:dataValidation type="list" allowBlank="1" showInputMessage="1" showErrorMessage="1" xr:uid="{C90AA03A-BE30-43E1-B098-6B3337A0AAE9}">
          <x14:formula1>
            <xm:f>INPUT!$C$2:$C$7</xm:f>
          </x14:formula1>
          <xm:sqref>C14:C55 B7:B55</xm:sqref>
        </x14:dataValidation>
        <x14:dataValidation type="list" allowBlank="1" showInputMessage="1" showErrorMessage="1" xr:uid="{E1809355-EADB-4FC3-AF52-391B96C18E63}">
          <x14:formula1>
            <xm:f>INPUT!$A$2:$A$9</xm:f>
          </x14:formula1>
          <xm:sqref>F4</xm:sqref>
        </x14:dataValidation>
        <x14:dataValidation type="list" allowBlank="1" showInputMessage="1" showErrorMessage="1" xr:uid="{FBC1AAC8-0A8D-4D8A-80EA-B473A8595AE0}">
          <x14:formula1>
            <xm:f>Categorías!$G$1:$Q$1</xm:f>
          </x14:formula1>
          <xm:sqref>D7:D106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E92B6A-CCD8-4A91-9C40-4F2EED7D6877}">
  <sheetPr codeName="Hoja8">
    <tabColor theme="3"/>
  </sheetPr>
  <dimension ref="A1:T107"/>
  <sheetViews>
    <sheetView zoomScale="80" zoomScaleNormal="80" workbookViewId="0">
      <selection activeCell="B7" sqref="B7"/>
    </sheetView>
  </sheetViews>
  <sheetFormatPr defaultColWidth="0" defaultRowHeight="12.95"/>
  <cols>
    <col min="1" max="1" width="4" style="2" bestFit="1" customWidth="1"/>
    <col min="2" max="2" width="12.42578125" style="2" bestFit="1" customWidth="1"/>
    <col min="3" max="3" width="12.42578125" style="2" customWidth="1"/>
    <col min="4" max="4" width="21.42578125" style="2" bestFit="1" customWidth="1"/>
    <col min="5" max="5" width="23" style="2" bestFit="1" customWidth="1"/>
    <col min="6" max="6" width="47.5703125" style="2" customWidth="1"/>
    <col min="7" max="19" width="11.5703125" style="2" bestFit="1" customWidth="1"/>
    <col min="20" max="20" width="0" style="2" hidden="1" customWidth="1"/>
    <col min="21" max="16384" width="11.5703125" style="2" hidden="1"/>
  </cols>
  <sheetData>
    <row r="1" spans="1:20" ht="23.45">
      <c r="A1" s="97" t="s">
        <v>205</v>
      </c>
      <c r="B1" s="97"/>
      <c r="C1" s="97"/>
      <c r="D1" s="97"/>
      <c r="E1" s="97"/>
      <c r="F1" s="97"/>
      <c r="G1" s="97"/>
      <c r="H1" s="97"/>
      <c r="I1" s="97"/>
      <c r="J1" s="97"/>
      <c r="K1" s="97"/>
      <c r="L1" s="97"/>
      <c r="M1" s="97"/>
      <c r="N1" s="97"/>
      <c r="O1" s="97"/>
      <c r="P1" s="97"/>
      <c r="Q1" s="97"/>
      <c r="R1" s="97"/>
      <c r="S1" s="97"/>
    </row>
    <row r="2" spans="1:20" ht="6" customHeight="1">
      <c r="A2" s="96"/>
      <c r="B2" s="96"/>
      <c r="C2" s="96"/>
      <c r="D2" s="96"/>
      <c r="E2" s="96"/>
      <c r="F2" s="96"/>
      <c r="G2" s="96"/>
      <c r="H2" s="96"/>
      <c r="I2" s="96"/>
      <c r="J2" s="96"/>
      <c r="K2" s="96"/>
      <c r="L2" s="96"/>
      <c r="M2" s="96"/>
      <c r="N2" s="96"/>
      <c r="O2" s="96"/>
      <c r="P2" s="96"/>
      <c r="Q2" s="96"/>
      <c r="R2" s="96"/>
      <c r="S2" s="96"/>
    </row>
    <row r="3" spans="1:20" ht="14.65" customHeight="1">
      <c r="A3" s="98" t="s">
        <v>129</v>
      </c>
      <c r="B3" s="98"/>
      <c r="C3" s="6"/>
      <c r="D3" s="6"/>
      <c r="E3" s="6"/>
      <c r="F3" s="2" t="s">
        <v>143</v>
      </c>
      <c r="G3" s="4" t="s">
        <v>206</v>
      </c>
      <c r="H3" s="5">
        <v>46023</v>
      </c>
      <c r="I3" s="5">
        <v>46054</v>
      </c>
      <c r="J3" s="5">
        <v>46082</v>
      </c>
      <c r="K3" s="5">
        <v>46113</v>
      </c>
      <c r="L3" s="5">
        <v>46143</v>
      </c>
      <c r="M3" s="5">
        <v>46174</v>
      </c>
      <c r="N3" s="5">
        <v>46204</v>
      </c>
      <c r="O3" s="5">
        <v>46235</v>
      </c>
      <c r="P3" s="5">
        <v>46266</v>
      </c>
      <c r="Q3" s="5">
        <v>46296</v>
      </c>
      <c r="R3" s="5">
        <v>46327</v>
      </c>
      <c r="S3" s="5">
        <v>46357</v>
      </c>
    </row>
    <row r="4" spans="1:20" ht="14.65" customHeight="1">
      <c r="A4" s="98" t="s">
        <v>207</v>
      </c>
      <c r="B4" s="98"/>
      <c r="C4" s="6"/>
      <c r="D4" s="6"/>
      <c r="E4" s="6"/>
      <c r="F4" s="2" t="s">
        <v>142</v>
      </c>
      <c r="G4" s="20">
        <f>+SUM(G7:G106)</f>
        <v>0</v>
      </c>
      <c r="H4" s="12">
        <f t="shared" ref="H4:S4" si="0">+SUM(H7:H106)</f>
        <v>0</v>
      </c>
      <c r="I4" s="12">
        <f t="shared" si="0"/>
        <v>0</v>
      </c>
      <c r="J4" s="12">
        <f t="shared" si="0"/>
        <v>0</v>
      </c>
      <c r="K4" s="12">
        <f t="shared" si="0"/>
        <v>0</v>
      </c>
      <c r="L4" s="12">
        <f t="shared" si="0"/>
        <v>0</v>
      </c>
      <c r="M4" s="12">
        <f t="shared" si="0"/>
        <v>0</v>
      </c>
      <c r="N4" s="12">
        <f t="shared" si="0"/>
        <v>0</v>
      </c>
      <c r="O4" s="12">
        <f t="shared" si="0"/>
        <v>0</v>
      </c>
      <c r="P4" s="12">
        <f t="shared" si="0"/>
        <v>0</v>
      </c>
      <c r="Q4" s="12">
        <f t="shared" si="0"/>
        <v>0</v>
      </c>
      <c r="R4" s="12">
        <f t="shared" si="0"/>
        <v>0</v>
      </c>
      <c r="S4" s="12">
        <f t="shared" si="0"/>
        <v>0</v>
      </c>
    </row>
    <row r="5" spans="1:20" ht="5.65" customHeight="1">
      <c r="A5" s="96"/>
      <c r="B5" s="96"/>
      <c r="C5" s="96"/>
      <c r="D5" s="96"/>
      <c r="E5" s="96"/>
      <c r="F5" s="96"/>
      <c r="G5" s="96"/>
      <c r="H5" s="96"/>
      <c r="I5" s="96"/>
      <c r="J5" s="96"/>
      <c r="K5" s="96"/>
      <c r="L5" s="96"/>
      <c r="M5" s="96"/>
      <c r="N5" s="96"/>
      <c r="O5" s="96"/>
      <c r="P5" s="96"/>
      <c r="Q5" s="96"/>
      <c r="R5" s="96"/>
      <c r="S5" s="96"/>
    </row>
    <row r="6" spans="1:20">
      <c r="A6" s="4" t="s">
        <v>208</v>
      </c>
      <c r="B6" s="4" t="s">
        <v>153</v>
      </c>
      <c r="C6" s="4" t="s">
        <v>209</v>
      </c>
      <c r="D6" s="4" t="s">
        <v>210</v>
      </c>
      <c r="E6" s="4" t="s">
        <v>1</v>
      </c>
      <c r="F6" s="4" t="s">
        <v>211</v>
      </c>
      <c r="G6" s="4" t="s">
        <v>206</v>
      </c>
      <c r="H6" s="5">
        <v>46023</v>
      </c>
      <c r="I6" s="5">
        <v>46054</v>
      </c>
      <c r="J6" s="5">
        <v>46082</v>
      </c>
      <c r="K6" s="5">
        <v>46113</v>
      </c>
      <c r="L6" s="5">
        <v>46143</v>
      </c>
      <c r="M6" s="5">
        <v>46174</v>
      </c>
      <c r="N6" s="5">
        <v>46204</v>
      </c>
      <c r="O6" s="5">
        <v>46235</v>
      </c>
      <c r="P6" s="5">
        <v>46266</v>
      </c>
      <c r="Q6" s="5">
        <v>46296</v>
      </c>
      <c r="R6" s="5">
        <v>46327</v>
      </c>
      <c r="S6" s="5">
        <v>46357</v>
      </c>
      <c r="T6" s="3"/>
    </row>
    <row r="7" spans="1:20">
      <c r="A7" s="7">
        <v>1</v>
      </c>
      <c r="G7" s="11">
        <f>+SUM(H7:S7)</f>
        <v>0</v>
      </c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</row>
    <row r="8" spans="1:20">
      <c r="A8" s="7">
        <v>2</v>
      </c>
      <c r="G8" s="11">
        <f t="shared" ref="G8:G71" si="1">+SUM(H8:S8)</f>
        <v>0</v>
      </c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</row>
    <row r="9" spans="1:20">
      <c r="A9" s="7">
        <v>3</v>
      </c>
      <c r="G9" s="11">
        <f t="shared" si="1"/>
        <v>0</v>
      </c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</row>
    <row r="10" spans="1:20">
      <c r="A10" s="7">
        <v>4</v>
      </c>
      <c r="G10" s="11">
        <f t="shared" si="1"/>
        <v>0</v>
      </c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</row>
    <row r="11" spans="1:20">
      <c r="A11" s="7">
        <v>5</v>
      </c>
      <c r="G11" s="11">
        <f t="shared" si="1"/>
        <v>0</v>
      </c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</row>
    <row r="12" spans="1:20">
      <c r="A12" s="7">
        <v>6</v>
      </c>
      <c r="G12" s="11">
        <f t="shared" si="1"/>
        <v>0</v>
      </c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</row>
    <row r="13" spans="1:20">
      <c r="A13" s="7">
        <v>7</v>
      </c>
      <c r="G13" s="11">
        <f t="shared" si="1"/>
        <v>0</v>
      </c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</row>
    <row r="14" spans="1:20">
      <c r="A14" s="7">
        <v>8</v>
      </c>
      <c r="G14" s="11">
        <f t="shared" si="1"/>
        <v>0</v>
      </c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</row>
    <row r="15" spans="1:20">
      <c r="A15" s="7">
        <v>9</v>
      </c>
      <c r="G15" s="11">
        <f t="shared" si="1"/>
        <v>0</v>
      </c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</row>
    <row r="16" spans="1:20">
      <c r="A16" s="7">
        <v>10</v>
      </c>
      <c r="G16" s="11">
        <f t="shared" si="1"/>
        <v>0</v>
      </c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</row>
    <row r="17" spans="1:19">
      <c r="A17" s="7">
        <v>11</v>
      </c>
      <c r="G17" s="11">
        <f t="shared" si="1"/>
        <v>0</v>
      </c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</row>
    <row r="18" spans="1:19">
      <c r="A18" s="7">
        <v>12</v>
      </c>
      <c r="G18" s="11">
        <f t="shared" si="1"/>
        <v>0</v>
      </c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</row>
    <row r="19" spans="1:19">
      <c r="A19" s="7">
        <v>13</v>
      </c>
      <c r="G19" s="11">
        <f t="shared" si="1"/>
        <v>0</v>
      </c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</row>
    <row r="20" spans="1:19">
      <c r="A20" s="7">
        <v>14</v>
      </c>
      <c r="G20" s="11">
        <f t="shared" si="1"/>
        <v>0</v>
      </c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</row>
    <row r="21" spans="1:19">
      <c r="A21" s="7">
        <v>15</v>
      </c>
      <c r="G21" s="11">
        <f t="shared" si="1"/>
        <v>0</v>
      </c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</row>
    <row r="22" spans="1:19">
      <c r="A22" s="7">
        <v>16</v>
      </c>
      <c r="G22" s="11">
        <f t="shared" si="1"/>
        <v>0</v>
      </c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</row>
    <row r="23" spans="1:19">
      <c r="A23" s="7">
        <v>17</v>
      </c>
      <c r="G23" s="11">
        <f t="shared" si="1"/>
        <v>0</v>
      </c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</row>
    <row r="24" spans="1:19">
      <c r="A24" s="7">
        <v>18</v>
      </c>
      <c r="G24" s="11">
        <f t="shared" si="1"/>
        <v>0</v>
      </c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</row>
    <row r="25" spans="1:19">
      <c r="A25" s="7">
        <v>19</v>
      </c>
      <c r="G25" s="11">
        <f t="shared" si="1"/>
        <v>0</v>
      </c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</row>
    <row r="26" spans="1:19">
      <c r="A26" s="7">
        <v>20</v>
      </c>
      <c r="G26" s="11">
        <f t="shared" si="1"/>
        <v>0</v>
      </c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</row>
    <row r="27" spans="1:19">
      <c r="A27" s="7">
        <v>21</v>
      </c>
      <c r="G27" s="11">
        <f t="shared" si="1"/>
        <v>0</v>
      </c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</row>
    <row r="28" spans="1:19">
      <c r="A28" s="7">
        <v>22</v>
      </c>
      <c r="G28" s="11">
        <f t="shared" si="1"/>
        <v>0</v>
      </c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</row>
    <row r="29" spans="1:19">
      <c r="A29" s="7">
        <v>23</v>
      </c>
      <c r="G29" s="11">
        <f t="shared" si="1"/>
        <v>0</v>
      </c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</row>
    <row r="30" spans="1:19">
      <c r="A30" s="7">
        <v>24</v>
      </c>
      <c r="G30" s="11">
        <f t="shared" si="1"/>
        <v>0</v>
      </c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</row>
    <row r="31" spans="1:19">
      <c r="A31" s="7">
        <v>25</v>
      </c>
      <c r="G31" s="11">
        <f t="shared" si="1"/>
        <v>0</v>
      </c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</row>
    <row r="32" spans="1:19">
      <c r="A32" s="7">
        <v>26</v>
      </c>
      <c r="G32" s="11">
        <f t="shared" si="1"/>
        <v>0</v>
      </c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</row>
    <row r="33" spans="1:19">
      <c r="A33" s="7">
        <v>27</v>
      </c>
      <c r="G33" s="11">
        <f t="shared" si="1"/>
        <v>0</v>
      </c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</row>
    <row r="34" spans="1:19">
      <c r="A34" s="7">
        <v>28</v>
      </c>
      <c r="G34" s="11">
        <f t="shared" si="1"/>
        <v>0</v>
      </c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</row>
    <row r="35" spans="1:19">
      <c r="A35" s="7">
        <v>29</v>
      </c>
      <c r="G35" s="11">
        <f t="shared" si="1"/>
        <v>0</v>
      </c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</row>
    <row r="36" spans="1:19">
      <c r="A36" s="7">
        <v>30</v>
      </c>
      <c r="G36" s="11">
        <f t="shared" si="1"/>
        <v>0</v>
      </c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</row>
    <row r="37" spans="1:19">
      <c r="A37" s="7">
        <v>31</v>
      </c>
      <c r="G37" s="11">
        <f t="shared" si="1"/>
        <v>0</v>
      </c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</row>
    <row r="38" spans="1:19">
      <c r="A38" s="7">
        <v>32</v>
      </c>
      <c r="G38" s="11">
        <f t="shared" si="1"/>
        <v>0</v>
      </c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</row>
    <row r="39" spans="1:19">
      <c r="A39" s="7">
        <v>33</v>
      </c>
      <c r="G39" s="11">
        <f t="shared" si="1"/>
        <v>0</v>
      </c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</row>
    <row r="40" spans="1:19">
      <c r="A40" s="7">
        <v>34</v>
      </c>
      <c r="G40" s="11">
        <f t="shared" si="1"/>
        <v>0</v>
      </c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</row>
    <row r="41" spans="1:19">
      <c r="A41" s="7">
        <v>35</v>
      </c>
      <c r="G41" s="11">
        <f t="shared" si="1"/>
        <v>0</v>
      </c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</row>
    <row r="42" spans="1:19">
      <c r="A42" s="7">
        <v>36</v>
      </c>
      <c r="G42" s="11">
        <f t="shared" si="1"/>
        <v>0</v>
      </c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</row>
    <row r="43" spans="1:19">
      <c r="A43" s="7">
        <v>37</v>
      </c>
      <c r="G43" s="11">
        <f t="shared" si="1"/>
        <v>0</v>
      </c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</row>
    <row r="44" spans="1:19">
      <c r="A44" s="7">
        <v>38</v>
      </c>
      <c r="G44" s="11">
        <f t="shared" si="1"/>
        <v>0</v>
      </c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</row>
    <row r="45" spans="1:19">
      <c r="A45" s="7">
        <v>39</v>
      </c>
      <c r="G45" s="11">
        <f t="shared" si="1"/>
        <v>0</v>
      </c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</row>
    <row r="46" spans="1:19">
      <c r="A46" s="7">
        <v>40</v>
      </c>
      <c r="G46" s="11">
        <f t="shared" si="1"/>
        <v>0</v>
      </c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</row>
    <row r="47" spans="1:19">
      <c r="A47" s="7">
        <v>41</v>
      </c>
      <c r="G47" s="11">
        <f t="shared" si="1"/>
        <v>0</v>
      </c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</row>
    <row r="48" spans="1:19">
      <c r="A48" s="7">
        <v>42</v>
      </c>
      <c r="G48" s="11">
        <f t="shared" si="1"/>
        <v>0</v>
      </c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</row>
    <row r="49" spans="1:19">
      <c r="A49" s="7">
        <v>43</v>
      </c>
      <c r="G49" s="11">
        <f t="shared" si="1"/>
        <v>0</v>
      </c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</row>
    <row r="50" spans="1:19">
      <c r="A50" s="7">
        <v>44</v>
      </c>
      <c r="G50" s="11">
        <f t="shared" si="1"/>
        <v>0</v>
      </c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</row>
    <row r="51" spans="1:19">
      <c r="A51" s="7">
        <v>45</v>
      </c>
      <c r="G51" s="11">
        <f t="shared" si="1"/>
        <v>0</v>
      </c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</row>
    <row r="52" spans="1:19">
      <c r="A52" s="7">
        <v>46</v>
      </c>
      <c r="G52" s="11">
        <f t="shared" si="1"/>
        <v>0</v>
      </c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</row>
    <row r="53" spans="1:19">
      <c r="A53" s="7">
        <v>47</v>
      </c>
      <c r="G53" s="11">
        <f t="shared" si="1"/>
        <v>0</v>
      </c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</row>
    <row r="54" spans="1:19">
      <c r="A54" s="7">
        <v>48</v>
      </c>
      <c r="G54" s="11">
        <f t="shared" si="1"/>
        <v>0</v>
      </c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</row>
    <row r="55" spans="1:19">
      <c r="A55" s="7">
        <v>49</v>
      </c>
      <c r="G55" s="11">
        <f t="shared" si="1"/>
        <v>0</v>
      </c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</row>
    <row r="56" spans="1:19">
      <c r="A56" s="7">
        <v>50</v>
      </c>
      <c r="G56" s="11">
        <f t="shared" si="1"/>
        <v>0</v>
      </c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</row>
    <row r="57" spans="1:19">
      <c r="A57" s="7">
        <v>51</v>
      </c>
      <c r="G57" s="11">
        <f t="shared" si="1"/>
        <v>0</v>
      </c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</row>
    <row r="58" spans="1:19">
      <c r="A58" s="7">
        <v>52</v>
      </c>
      <c r="G58" s="11">
        <f t="shared" si="1"/>
        <v>0</v>
      </c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</row>
    <row r="59" spans="1:19">
      <c r="A59" s="7">
        <v>53</v>
      </c>
      <c r="G59" s="11">
        <f t="shared" si="1"/>
        <v>0</v>
      </c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</row>
    <row r="60" spans="1:19">
      <c r="A60" s="7">
        <v>54</v>
      </c>
      <c r="G60" s="11">
        <f t="shared" si="1"/>
        <v>0</v>
      </c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</row>
    <row r="61" spans="1:19">
      <c r="A61" s="7">
        <v>55</v>
      </c>
      <c r="G61" s="11">
        <f t="shared" si="1"/>
        <v>0</v>
      </c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</row>
    <row r="62" spans="1:19">
      <c r="A62" s="7">
        <v>56</v>
      </c>
      <c r="G62" s="11">
        <f t="shared" si="1"/>
        <v>0</v>
      </c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</row>
    <row r="63" spans="1:19">
      <c r="A63" s="7">
        <v>57</v>
      </c>
      <c r="G63" s="11">
        <f t="shared" si="1"/>
        <v>0</v>
      </c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</row>
    <row r="64" spans="1:19">
      <c r="A64" s="7">
        <v>58</v>
      </c>
      <c r="G64" s="11">
        <f t="shared" si="1"/>
        <v>0</v>
      </c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</row>
    <row r="65" spans="1:19">
      <c r="A65" s="7">
        <v>59</v>
      </c>
      <c r="G65" s="11">
        <f t="shared" si="1"/>
        <v>0</v>
      </c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</row>
    <row r="66" spans="1:19">
      <c r="A66" s="7">
        <v>60</v>
      </c>
      <c r="G66" s="11">
        <f t="shared" si="1"/>
        <v>0</v>
      </c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</row>
    <row r="67" spans="1:19">
      <c r="A67" s="7">
        <v>61</v>
      </c>
      <c r="G67" s="11">
        <f t="shared" si="1"/>
        <v>0</v>
      </c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</row>
    <row r="68" spans="1:19">
      <c r="A68" s="7">
        <v>62</v>
      </c>
      <c r="G68" s="11">
        <f t="shared" si="1"/>
        <v>0</v>
      </c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</row>
    <row r="69" spans="1:19">
      <c r="A69" s="7">
        <v>63</v>
      </c>
      <c r="G69" s="11">
        <f t="shared" si="1"/>
        <v>0</v>
      </c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</row>
    <row r="70" spans="1:19">
      <c r="A70" s="7">
        <v>64</v>
      </c>
      <c r="G70" s="11">
        <f t="shared" si="1"/>
        <v>0</v>
      </c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</row>
    <row r="71" spans="1:19">
      <c r="A71" s="7">
        <v>65</v>
      </c>
      <c r="G71" s="11">
        <f t="shared" si="1"/>
        <v>0</v>
      </c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</row>
    <row r="72" spans="1:19">
      <c r="A72" s="7">
        <v>66</v>
      </c>
      <c r="G72" s="11">
        <f t="shared" ref="G72:G106" si="2">+SUM(H72:S72)</f>
        <v>0</v>
      </c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</row>
    <row r="73" spans="1:19">
      <c r="A73" s="7">
        <v>67</v>
      </c>
      <c r="G73" s="11">
        <f t="shared" si="2"/>
        <v>0</v>
      </c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</row>
    <row r="74" spans="1:19">
      <c r="A74" s="7">
        <v>68</v>
      </c>
      <c r="G74" s="11">
        <f t="shared" si="2"/>
        <v>0</v>
      </c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</row>
    <row r="75" spans="1:19">
      <c r="A75" s="7">
        <v>69</v>
      </c>
      <c r="G75" s="11">
        <f t="shared" si="2"/>
        <v>0</v>
      </c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</row>
    <row r="76" spans="1:19">
      <c r="A76" s="7">
        <v>70</v>
      </c>
      <c r="G76" s="11">
        <f t="shared" si="2"/>
        <v>0</v>
      </c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</row>
    <row r="77" spans="1:19">
      <c r="A77" s="7">
        <v>71</v>
      </c>
      <c r="G77" s="11">
        <f t="shared" si="2"/>
        <v>0</v>
      </c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</row>
    <row r="78" spans="1:19">
      <c r="A78" s="7">
        <v>72</v>
      </c>
      <c r="G78" s="11">
        <f t="shared" si="2"/>
        <v>0</v>
      </c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</row>
    <row r="79" spans="1:19">
      <c r="A79" s="7">
        <v>73</v>
      </c>
      <c r="G79" s="11">
        <f t="shared" si="2"/>
        <v>0</v>
      </c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</row>
    <row r="80" spans="1:19">
      <c r="A80" s="7">
        <v>74</v>
      </c>
      <c r="G80" s="11">
        <f t="shared" si="2"/>
        <v>0</v>
      </c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</row>
    <row r="81" spans="1:19">
      <c r="A81" s="7">
        <v>75</v>
      </c>
      <c r="G81" s="11">
        <f t="shared" si="2"/>
        <v>0</v>
      </c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</row>
    <row r="82" spans="1:19">
      <c r="A82" s="7">
        <v>76</v>
      </c>
      <c r="G82" s="11">
        <f t="shared" si="2"/>
        <v>0</v>
      </c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</row>
    <row r="83" spans="1:19">
      <c r="A83" s="7">
        <v>77</v>
      </c>
      <c r="G83" s="11">
        <f t="shared" si="2"/>
        <v>0</v>
      </c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</row>
    <row r="84" spans="1:19">
      <c r="A84" s="7">
        <v>78</v>
      </c>
      <c r="G84" s="11">
        <f t="shared" si="2"/>
        <v>0</v>
      </c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</row>
    <row r="85" spans="1:19">
      <c r="A85" s="7">
        <v>79</v>
      </c>
      <c r="G85" s="11">
        <f t="shared" si="2"/>
        <v>0</v>
      </c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</row>
    <row r="86" spans="1:19">
      <c r="A86" s="7">
        <v>80</v>
      </c>
      <c r="G86" s="11">
        <f t="shared" si="2"/>
        <v>0</v>
      </c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</row>
    <row r="87" spans="1:19">
      <c r="A87" s="7">
        <v>81</v>
      </c>
      <c r="G87" s="11">
        <f t="shared" si="2"/>
        <v>0</v>
      </c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</row>
    <row r="88" spans="1:19">
      <c r="A88" s="7">
        <v>82</v>
      </c>
      <c r="G88" s="11">
        <f t="shared" si="2"/>
        <v>0</v>
      </c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</row>
    <row r="89" spans="1:19">
      <c r="A89" s="7">
        <v>83</v>
      </c>
      <c r="G89" s="11">
        <f t="shared" si="2"/>
        <v>0</v>
      </c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</row>
    <row r="90" spans="1:19">
      <c r="A90" s="7">
        <v>84</v>
      </c>
      <c r="G90" s="11">
        <f t="shared" si="2"/>
        <v>0</v>
      </c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</row>
    <row r="91" spans="1:19">
      <c r="A91" s="7">
        <v>85</v>
      </c>
      <c r="G91" s="11">
        <f t="shared" si="2"/>
        <v>0</v>
      </c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</row>
    <row r="92" spans="1:19">
      <c r="A92" s="7">
        <v>86</v>
      </c>
      <c r="G92" s="11">
        <f t="shared" si="2"/>
        <v>0</v>
      </c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</row>
    <row r="93" spans="1:19">
      <c r="A93" s="7">
        <v>87</v>
      </c>
      <c r="G93" s="11">
        <f t="shared" si="2"/>
        <v>0</v>
      </c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</row>
    <row r="94" spans="1:19">
      <c r="A94" s="7">
        <v>88</v>
      </c>
      <c r="G94" s="11">
        <f t="shared" si="2"/>
        <v>0</v>
      </c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</row>
    <row r="95" spans="1:19">
      <c r="A95" s="7">
        <v>89</v>
      </c>
      <c r="G95" s="11">
        <f t="shared" si="2"/>
        <v>0</v>
      </c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</row>
    <row r="96" spans="1:19">
      <c r="A96" s="7">
        <v>90</v>
      </c>
      <c r="G96" s="11">
        <f t="shared" si="2"/>
        <v>0</v>
      </c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</row>
    <row r="97" spans="1:19">
      <c r="A97" s="7">
        <v>91</v>
      </c>
      <c r="G97" s="11">
        <f t="shared" si="2"/>
        <v>0</v>
      </c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</row>
    <row r="98" spans="1:19">
      <c r="A98" s="7">
        <v>92</v>
      </c>
      <c r="G98" s="11">
        <f t="shared" si="2"/>
        <v>0</v>
      </c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</row>
    <row r="99" spans="1:19">
      <c r="A99" s="7">
        <v>93</v>
      </c>
      <c r="G99" s="11">
        <f t="shared" si="2"/>
        <v>0</v>
      </c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</row>
    <row r="100" spans="1:19">
      <c r="A100" s="7">
        <v>94</v>
      </c>
      <c r="G100" s="11">
        <f t="shared" si="2"/>
        <v>0</v>
      </c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</row>
    <row r="101" spans="1:19">
      <c r="A101" s="7">
        <v>95</v>
      </c>
      <c r="G101" s="11">
        <f t="shared" si="2"/>
        <v>0</v>
      </c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</row>
    <row r="102" spans="1:19">
      <c r="A102" s="7">
        <v>96</v>
      </c>
      <c r="G102" s="11">
        <f t="shared" si="2"/>
        <v>0</v>
      </c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</row>
    <row r="103" spans="1:19">
      <c r="A103" s="7">
        <v>97</v>
      </c>
      <c r="G103" s="11">
        <f t="shared" si="2"/>
        <v>0</v>
      </c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</row>
    <row r="104" spans="1:19">
      <c r="A104" s="7">
        <v>98</v>
      </c>
      <c r="G104" s="11">
        <f t="shared" si="2"/>
        <v>0</v>
      </c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</row>
    <row r="105" spans="1:19">
      <c r="A105" s="7">
        <v>99</v>
      </c>
      <c r="G105" s="11">
        <f t="shared" si="2"/>
        <v>0</v>
      </c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</row>
    <row r="106" spans="1:19">
      <c r="A106" s="7">
        <v>100</v>
      </c>
      <c r="G106" s="11">
        <f t="shared" si="2"/>
        <v>0</v>
      </c>
      <c r="H106" s="12"/>
      <c r="I106" s="12"/>
      <c r="J106" s="12"/>
      <c r="K106" s="12"/>
      <c r="L106" s="12"/>
      <c r="M106" s="12"/>
      <c r="N106" s="12"/>
      <c r="O106" s="12"/>
      <c r="P106" s="12"/>
      <c r="Q106" s="12"/>
      <c r="R106" s="12"/>
      <c r="S106" s="12"/>
    </row>
    <row r="107" spans="1:19">
      <c r="G107" s="12"/>
    </row>
  </sheetData>
  <mergeCells count="5">
    <mergeCell ref="A5:S5"/>
    <mergeCell ref="A1:S1"/>
    <mergeCell ref="A2:S2"/>
    <mergeCell ref="A3:B3"/>
    <mergeCell ref="A4:B4"/>
  </mergeCells>
  <dataValidations count="1">
    <dataValidation type="list" allowBlank="1" showInputMessage="1" showErrorMessage="1" sqref="E7:E106" xr:uid="{8973580B-9031-41FA-A65C-E15CD2D5FDF8}">
      <formula1>INDIRECT(D7)</formula1>
    </dataValidation>
  </dataValidations>
  <pageMargins left="0.7" right="0.7" top="0.75" bottom="0.75" header="0.3" footer="0.3"/>
  <pageSetup scale="42"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FD47DE09-6436-478E-A87D-F6DD9218F758}">
          <x14:formula1>
            <xm:f>Categorías!$G$1:$Q$1</xm:f>
          </x14:formula1>
          <xm:sqref>D7:D106</xm:sqref>
        </x14:dataValidation>
        <x14:dataValidation type="list" allowBlank="1" showInputMessage="1" showErrorMessage="1" xr:uid="{FEA2813F-A5B7-44E8-88F1-D7B1811CF995}">
          <x14:formula1>
            <xm:f>INPUT!$A$2:$A$9</xm:f>
          </x14:formula1>
          <xm:sqref>F4</xm:sqref>
        </x14:dataValidation>
        <x14:dataValidation type="list" allowBlank="1" showInputMessage="1" showErrorMessage="1" xr:uid="{B028640E-80F4-4CCF-9B07-E09777479968}">
          <x14:formula1>
            <xm:f>INPUT!$C$2:$C$7</xm:f>
          </x14:formula1>
          <xm:sqref>B7:B56 C8:C56</xm:sqref>
        </x14:dataValidation>
        <x14:dataValidation type="list" allowBlank="1" showInputMessage="1" showErrorMessage="1" xr:uid="{3C2220DF-26EE-45A0-AC7C-02E8CE11ACA3}">
          <x14:formula1>
            <xm:f>INPUT!$B$2:$B$10</xm:f>
          </x14:formula1>
          <xm:sqref>F3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6C9149-5DDB-4449-9658-F94147286B7A}">
  <sheetPr codeName="Hoja9">
    <tabColor theme="3"/>
  </sheetPr>
  <dimension ref="A1:T107"/>
  <sheetViews>
    <sheetView zoomScale="80" zoomScaleNormal="80" workbookViewId="0">
      <selection activeCell="D10" sqref="D10"/>
    </sheetView>
  </sheetViews>
  <sheetFormatPr defaultColWidth="0" defaultRowHeight="12.95"/>
  <cols>
    <col min="1" max="1" width="4" style="2" bestFit="1" customWidth="1"/>
    <col min="2" max="2" width="12.42578125" style="2" bestFit="1" customWidth="1"/>
    <col min="3" max="3" width="12.42578125" style="2" customWidth="1"/>
    <col min="4" max="4" width="21.42578125" style="2" bestFit="1" customWidth="1"/>
    <col min="5" max="5" width="23" style="2" bestFit="1" customWidth="1"/>
    <col min="6" max="6" width="47.5703125" style="2" customWidth="1"/>
    <col min="7" max="19" width="11.5703125" style="2" bestFit="1" customWidth="1"/>
    <col min="20" max="20" width="0" style="2" hidden="1" customWidth="1"/>
    <col min="21" max="16384" width="11.5703125" style="2" hidden="1"/>
  </cols>
  <sheetData>
    <row r="1" spans="1:20" ht="23.45">
      <c r="A1" s="97" t="s">
        <v>205</v>
      </c>
      <c r="B1" s="97"/>
      <c r="C1" s="97"/>
      <c r="D1" s="97"/>
      <c r="E1" s="97"/>
      <c r="F1" s="97"/>
      <c r="G1" s="97"/>
      <c r="H1" s="97"/>
      <c r="I1" s="97"/>
      <c r="J1" s="97"/>
      <c r="K1" s="97"/>
      <c r="L1" s="97"/>
      <c r="M1" s="97"/>
      <c r="N1" s="97"/>
      <c r="O1" s="97"/>
      <c r="P1" s="97"/>
      <c r="Q1" s="97"/>
      <c r="R1" s="97"/>
      <c r="S1" s="97"/>
    </row>
    <row r="2" spans="1:20" ht="6" customHeight="1">
      <c r="A2" s="96"/>
      <c r="B2" s="96"/>
      <c r="C2" s="96"/>
      <c r="D2" s="96"/>
      <c r="E2" s="96"/>
      <c r="F2" s="96"/>
      <c r="G2" s="96"/>
      <c r="H2" s="96"/>
      <c r="I2" s="96"/>
      <c r="J2" s="96"/>
      <c r="K2" s="96"/>
      <c r="L2" s="96"/>
      <c r="M2" s="96"/>
      <c r="N2" s="96"/>
      <c r="O2" s="96"/>
      <c r="P2" s="96"/>
      <c r="Q2" s="96"/>
      <c r="R2" s="96"/>
      <c r="S2" s="96"/>
    </row>
    <row r="3" spans="1:20" ht="14.65" customHeight="1">
      <c r="A3" s="98" t="s">
        <v>129</v>
      </c>
      <c r="B3" s="98"/>
      <c r="C3" s="6"/>
      <c r="D3" s="6"/>
      <c r="E3" s="6"/>
      <c r="F3" s="2" t="s">
        <v>146</v>
      </c>
      <c r="G3" s="4" t="s">
        <v>206</v>
      </c>
      <c r="H3" s="5">
        <v>46023</v>
      </c>
      <c r="I3" s="5">
        <v>46054</v>
      </c>
      <c r="J3" s="5">
        <v>46082</v>
      </c>
      <c r="K3" s="5">
        <v>46113</v>
      </c>
      <c r="L3" s="5">
        <v>46143</v>
      </c>
      <c r="M3" s="5">
        <v>46174</v>
      </c>
      <c r="N3" s="5">
        <v>46204</v>
      </c>
      <c r="O3" s="5">
        <v>46235</v>
      </c>
      <c r="P3" s="5">
        <v>46266</v>
      </c>
      <c r="Q3" s="5">
        <v>46296</v>
      </c>
      <c r="R3" s="5">
        <v>46327</v>
      </c>
      <c r="S3" s="5">
        <v>46357</v>
      </c>
    </row>
    <row r="4" spans="1:20" ht="14.65" customHeight="1">
      <c r="A4" s="98" t="s">
        <v>207</v>
      </c>
      <c r="B4" s="98"/>
      <c r="C4" s="6"/>
      <c r="D4" s="6"/>
      <c r="E4" s="6"/>
      <c r="F4" s="2" t="s">
        <v>145</v>
      </c>
      <c r="G4" s="20">
        <f>+SUM(G7:G106)</f>
        <v>0</v>
      </c>
      <c r="H4" s="12">
        <f t="shared" ref="H4:S4" si="0">+SUM(H7:H106)</f>
        <v>0</v>
      </c>
      <c r="I4" s="12">
        <f t="shared" si="0"/>
        <v>0</v>
      </c>
      <c r="J4" s="12">
        <f t="shared" si="0"/>
        <v>0</v>
      </c>
      <c r="K4" s="12">
        <f t="shared" si="0"/>
        <v>0</v>
      </c>
      <c r="L4" s="12">
        <f t="shared" si="0"/>
        <v>0</v>
      </c>
      <c r="M4" s="12">
        <f t="shared" si="0"/>
        <v>0</v>
      </c>
      <c r="N4" s="12">
        <f t="shared" si="0"/>
        <v>0</v>
      </c>
      <c r="O4" s="12">
        <f t="shared" si="0"/>
        <v>0</v>
      </c>
      <c r="P4" s="12">
        <f t="shared" si="0"/>
        <v>0</v>
      </c>
      <c r="Q4" s="12">
        <f t="shared" si="0"/>
        <v>0</v>
      </c>
      <c r="R4" s="12">
        <f t="shared" si="0"/>
        <v>0</v>
      </c>
      <c r="S4" s="12">
        <f t="shared" si="0"/>
        <v>0</v>
      </c>
    </row>
    <row r="5" spans="1:20" ht="5.65" customHeight="1">
      <c r="A5" s="96"/>
      <c r="B5" s="96"/>
      <c r="C5" s="96"/>
      <c r="D5" s="96"/>
      <c r="E5" s="96"/>
      <c r="F5" s="96"/>
      <c r="G5" s="96"/>
      <c r="H5" s="96"/>
      <c r="I5" s="96"/>
      <c r="J5" s="96"/>
      <c r="K5" s="96"/>
      <c r="L5" s="96"/>
      <c r="M5" s="96"/>
      <c r="N5" s="96"/>
      <c r="O5" s="96"/>
      <c r="P5" s="96"/>
      <c r="Q5" s="96"/>
      <c r="R5" s="96"/>
      <c r="S5" s="96"/>
    </row>
    <row r="6" spans="1:20">
      <c r="A6" s="4" t="s">
        <v>208</v>
      </c>
      <c r="B6" s="4" t="s">
        <v>153</v>
      </c>
      <c r="C6" s="4" t="s">
        <v>209</v>
      </c>
      <c r="D6" s="4" t="s">
        <v>210</v>
      </c>
      <c r="E6" s="4" t="s">
        <v>1</v>
      </c>
      <c r="F6" s="4" t="s">
        <v>211</v>
      </c>
      <c r="G6" s="4" t="s">
        <v>206</v>
      </c>
      <c r="H6" s="5">
        <v>46023</v>
      </c>
      <c r="I6" s="5">
        <v>46054</v>
      </c>
      <c r="J6" s="5">
        <v>46082</v>
      </c>
      <c r="K6" s="5">
        <v>46113</v>
      </c>
      <c r="L6" s="5">
        <v>46143</v>
      </c>
      <c r="M6" s="5">
        <v>46174</v>
      </c>
      <c r="N6" s="5">
        <v>46204</v>
      </c>
      <c r="O6" s="5">
        <v>46235</v>
      </c>
      <c r="P6" s="5">
        <v>46266</v>
      </c>
      <c r="Q6" s="5">
        <v>46296</v>
      </c>
      <c r="R6" s="5">
        <v>46327</v>
      </c>
      <c r="S6" s="5">
        <v>46357</v>
      </c>
      <c r="T6" s="3"/>
    </row>
    <row r="7" spans="1:20">
      <c r="A7" s="7">
        <v>1</v>
      </c>
      <c r="G7" s="11">
        <f>+SUM(H7:S7)</f>
        <v>0</v>
      </c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</row>
    <row r="8" spans="1:20">
      <c r="A8" s="7">
        <v>2</v>
      </c>
      <c r="G8" s="11">
        <f t="shared" ref="G8:G71" si="1">+SUM(H8:S8)</f>
        <v>0</v>
      </c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</row>
    <row r="9" spans="1:20">
      <c r="A9" s="7">
        <v>3</v>
      </c>
      <c r="G9" s="11">
        <f t="shared" si="1"/>
        <v>0</v>
      </c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</row>
    <row r="10" spans="1:20">
      <c r="A10" s="7">
        <v>4</v>
      </c>
      <c r="G10" s="11">
        <f t="shared" si="1"/>
        <v>0</v>
      </c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</row>
    <row r="11" spans="1:20">
      <c r="A11" s="7">
        <v>5</v>
      </c>
      <c r="G11" s="11">
        <f t="shared" si="1"/>
        <v>0</v>
      </c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</row>
    <row r="12" spans="1:20">
      <c r="A12" s="7">
        <v>6</v>
      </c>
      <c r="G12" s="11">
        <f t="shared" si="1"/>
        <v>0</v>
      </c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</row>
    <row r="13" spans="1:20">
      <c r="A13" s="7">
        <v>7</v>
      </c>
      <c r="G13" s="11">
        <f t="shared" si="1"/>
        <v>0</v>
      </c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</row>
    <row r="14" spans="1:20">
      <c r="A14" s="7">
        <v>8</v>
      </c>
      <c r="G14" s="11">
        <f t="shared" si="1"/>
        <v>0</v>
      </c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</row>
    <row r="15" spans="1:20">
      <c r="A15" s="7">
        <v>9</v>
      </c>
      <c r="G15" s="11">
        <f t="shared" si="1"/>
        <v>0</v>
      </c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</row>
    <row r="16" spans="1:20">
      <c r="A16" s="7">
        <v>10</v>
      </c>
      <c r="G16" s="11">
        <f t="shared" si="1"/>
        <v>0</v>
      </c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</row>
    <row r="17" spans="1:19">
      <c r="A17" s="7">
        <v>11</v>
      </c>
      <c r="G17" s="11">
        <f t="shared" si="1"/>
        <v>0</v>
      </c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</row>
    <row r="18" spans="1:19">
      <c r="A18" s="7">
        <v>12</v>
      </c>
      <c r="G18" s="11">
        <f t="shared" si="1"/>
        <v>0</v>
      </c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</row>
    <row r="19" spans="1:19">
      <c r="A19" s="7">
        <v>13</v>
      </c>
      <c r="G19" s="11">
        <f t="shared" si="1"/>
        <v>0</v>
      </c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</row>
    <row r="20" spans="1:19">
      <c r="A20" s="7">
        <v>14</v>
      </c>
      <c r="G20" s="11">
        <f t="shared" si="1"/>
        <v>0</v>
      </c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</row>
    <row r="21" spans="1:19">
      <c r="A21" s="7">
        <v>15</v>
      </c>
      <c r="G21" s="11">
        <f t="shared" si="1"/>
        <v>0</v>
      </c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</row>
    <row r="22" spans="1:19">
      <c r="A22" s="7">
        <v>16</v>
      </c>
      <c r="G22" s="11">
        <f t="shared" si="1"/>
        <v>0</v>
      </c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</row>
    <row r="23" spans="1:19">
      <c r="A23" s="7">
        <v>17</v>
      </c>
      <c r="G23" s="11">
        <f t="shared" si="1"/>
        <v>0</v>
      </c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</row>
    <row r="24" spans="1:19">
      <c r="A24" s="7">
        <v>18</v>
      </c>
      <c r="G24" s="11">
        <f t="shared" si="1"/>
        <v>0</v>
      </c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</row>
    <row r="25" spans="1:19">
      <c r="A25" s="7">
        <v>19</v>
      </c>
      <c r="G25" s="11">
        <f t="shared" si="1"/>
        <v>0</v>
      </c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</row>
    <row r="26" spans="1:19">
      <c r="A26" s="7">
        <v>20</v>
      </c>
      <c r="G26" s="11">
        <f t="shared" si="1"/>
        <v>0</v>
      </c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</row>
    <row r="27" spans="1:19">
      <c r="A27" s="7">
        <v>21</v>
      </c>
      <c r="G27" s="11">
        <f t="shared" si="1"/>
        <v>0</v>
      </c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</row>
    <row r="28" spans="1:19">
      <c r="A28" s="7">
        <v>22</v>
      </c>
      <c r="G28" s="11">
        <f t="shared" si="1"/>
        <v>0</v>
      </c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</row>
    <row r="29" spans="1:19">
      <c r="A29" s="7">
        <v>23</v>
      </c>
      <c r="G29" s="11">
        <f t="shared" si="1"/>
        <v>0</v>
      </c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</row>
    <row r="30" spans="1:19">
      <c r="A30" s="7">
        <v>24</v>
      </c>
      <c r="G30" s="11">
        <f t="shared" si="1"/>
        <v>0</v>
      </c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</row>
    <row r="31" spans="1:19">
      <c r="A31" s="7">
        <v>25</v>
      </c>
      <c r="G31" s="11">
        <f t="shared" si="1"/>
        <v>0</v>
      </c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</row>
    <row r="32" spans="1:19">
      <c r="A32" s="7">
        <v>26</v>
      </c>
      <c r="G32" s="11">
        <f t="shared" si="1"/>
        <v>0</v>
      </c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</row>
    <row r="33" spans="1:19">
      <c r="A33" s="7">
        <v>27</v>
      </c>
      <c r="G33" s="11">
        <f t="shared" si="1"/>
        <v>0</v>
      </c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</row>
    <row r="34" spans="1:19">
      <c r="A34" s="7">
        <v>28</v>
      </c>
      <c r="G34" s="11">
        <f t="shared" si="1"/>
        <v>0</v>
      </c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</row>
    <row r="35" spans="1:19">
      <c r="A35" s="7">
        <v>29</v>
      </c>
      <c r="G35" s="11">
        <f t="shared" si="1"/>
        <v>0</v>
      </c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</row>
    <row r="36" spans="1:19">
      <c r="A36" s="7">
        <v>30</v>
      </c>
      <c r="G36" s="11">
        <f t="shared" si="1"/>
        <v>0</v>
      </c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</row>
    <row r="37" spans="1:19">
      <c r="A37" s="7">
        <v>31</v>
      </c>
      <c r="G37" s="11">
        <f t="shared" si="1"/>
        <v>0</v>
      </c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</row>
    <row r="38" spans="1:19">
      <c r="A38" s="7">
        <v>32</v>
      </c>
      <c r="G38" s="11">
        <f t="shared" si="1"/>
        <v>0</v>
      </c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</row>
    <row r="39" spans="1:19">
      <c r="A39" s="7">
        <v>33</v>
      </c>
      <c r="G39" s="11">
        <f t="shared" si="1"/>
        <v>0</v>
      </c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</row>
    <row r="40" spans="1:19">
      <c r="A40" s="7">
        <v>34</v>
      </c>
      <c r="G40" s="11">
        <f t="shared" si="1"/>
        <v>0</v>
      </c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</row>
    <row r="41" spans="1:19">
      <c r="A41" s="7">
        <v>35</v>
      </c>
      <c r="G41" s="11">
        <f t="shared" si="1"/>
        <v>0</v>
      </c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</row>
    <row r="42" spans="1:19">
      <c r="A42" s="7">
        <v>36</v>
      </c>
      <c r="G42" s="11">
        <f t="shared" si="1"/>
        <v>0</v>
      </c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</row>
    <row r="43" spans="1:19">
      <c r="A43" s="7">
        <v>37</v>
      </c>
      <c r="G43" s="11">
        <f t="shared" si="1"/>
        <v>0</v>
      </c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</row>
    <row r="44" spans="1:19">
      <c r="A44" s="7">
        <v>38</v>
      </c>
      <c r="G44" s="11">
        <f t="shared" si="1"/>
        <v>0</v>
      </c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</row>
    <row r="45" spans="1:19">
      <c r="A45" s="7">
        <v>39</v>
      </c>
      <c r="G45" s="11">
        <f t="shared" si="1"/>
        <v>0</v>
      </c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</row>
    <row r="46" spans="1:19">
      <c r="A46" s="7">
        <v>40</v>
      </c>
      <c r="G46" s="11">
        <f t="shared" si="1"/>
        <v>0</v>
      </c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</row>
    <row r="47" spans="1:19">
      <c r="A47" s="7">
        <v>41</v>
      </c>
      <c r="G47" s="11">
        <f t="shared" si="1"/>
        <v>0</v>
      </c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</row>
    <row r="48" spans="1:19">
      <c r="A48" s="7">
        <v>42</v>
      </c>
      <c r="G48" s="11">
        <f t="shared" si="1"/>
        <v>0</v>
      </c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</row>
    <row r="49" spans="1:19">
      <c r="A49" s="7">
        <v>43</v>
      </c>
      <c r="G49" s="11">
        <f t="shared" si="1"/>
        <v>0</v>
      </c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</row>
    <row r="50" spans="1:19">
      <c r="A50" s="7">
        <v>44</v>
      </c>
      <c r="G50" s="11">
        <f t="shared" si="1"/>
        <v>0</v>
      </c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</row>
    <row r="51" spans="1:19">
      <c r="A51" s="7">
        <v>45</v>
      </c>
      <c r="G51" s="11">
        <f t="shared" si="1"/>
        <v>0</v>
      </c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</row>
    <row r="52" spans="1:19">
      <c r="A52" s="7">
        <v>46</v>
      </c>
      <c r="G52" s="11">
        <f t="shared" si="1"/>
        <v>0</v>
      </c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</row>
    <row r="53" spans="1:19">
      <c r="A53" s="7">
        <v>47</v>
      </c>
      <c r="G53" s="11">
        <f t="shared" si="1"/>
        <v>0</v>
      </c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</row>
    <row r="54" spans="1:19">
      <c r="A54" s="7">
        <v>48</v>
      </c>
      <c r="G54" s="11">
        <f t="shared" si="1"/>
        <v>0</v>
      </c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</row>
    <row r="55" spans="1:19">
      <c r="A55" s="7">
        <v>49</v>
      </c>
      <c r="G55" s="11">
        <f t="shared" si="1"/>
        <v>0</v>
      </c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</row>
    <row r="56" spans="1:19">
      <c r="A56" s="7">
        <v>50</v>
      </c>
      <c r="G56" s="11">
        <f t="shared" si="1"/>
        <v>0</v>
      </c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</row>
    <row r="57" spans="1:19">
      <c r="A57" s="7">
        <v>51</v>
      </c>
      <c r="G57" s="11">
        <f t="shared" si="1"/>
        <v>0</v>
      </c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</row>
    <row r="58" spans="1:19">
      <c r="A58" s="7">
        <v>52</v>
      </c>
      <c r="G58" s="11">
        <f t="shared" si="1"/>
        <v>0</v>
      </c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</row>
    <row r="59" spans="1:19">
      <c r="A59" s="7">
        <v>53</v>
      </c>
      <c r="G59" s="11">
        <f t="shared" si="1"/>
        <v>0</v>
      </c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</row>
    <row r="60" spans="1:19">
      <c r="A60" s="7">
        <v>54</v>
      </c>
      <c r="G60" s="11">
        <f t="shared" si="1"/>
        <v>0</v>
      </c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</row>
    <row r="61" spans="1:19">
      <c r="A61" s="7">
        <v>55</v>
      </c>
      <c r="G61" s="11">
        <f t="shared" si="1"/>
        <v>0</v>
      </c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</row>
    <row r="62" spans="1:19">
      <c r="A62" s="7">
        <v>56</v>
      </c>
      <c r="G62" s="11">
        <f t="shared" si="1"/>
        <v>0</v>
      </c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</row>
    <row r="63" spans="1:19">
      <c r="A63" s="7">
        <v>57</v>
      </c>
      <c r="G63" s="11">
        <f t="shared" si="1"/>
        <v>0</v>
      </c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</row>
    <row r="64" spans="1:19">
      <c r="A64" s="7">
        <v>58</v>
      </c>
      <c r="G64" s="11">
        <f t="shared" si="1"/>
        <v>0</v>
      </c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</row>
    <row r="65" spans="1:19">
      <c r="A65" s="7">
        <v>59</v>
      </c>
      <c r="G65" s="11">
        <f t="shared" si="1"/>
        <v>0</v>
      </c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</row>
    <row r="66" spans="1:19">
      <c r="A66" s="7">
        <v>60</v>
      </c>
      <c r="G66" s="11">
        <f t="shared" si="1"/>
        <v>0</v>
      </c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</row>
    <row r="67" spans="1:19">
      <c r="A67" s="7">
        <v>61</v>
      </c>
      <c r="G67" s="11">
        <f t="shared" si="1"/>
        <v>0</v>
      </c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</row>
    <row r="68" spans="1:19">
      <c r="A68" s="7">
        <v>62</v>
      </c>
      <c r="G68" s="11">
        <f t="shared" si="1"/>
        <v>0</v>
      </c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</row>
    <row r="69" spans="1:19">
      <c r="A69" s="7">
        <v>63</v>
      </c>
      <c r="G69" s="11">
        <f t="shared" si="1"/>
        <v>0</v>
      </c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</row>
    <row r="70" spans="1:19">
      <c r="A70" s="7">
        <v>64</v>
      </c>
      <c r="G70" s="11">
        <f t="shared" si="1"/>
        <v>0</v>
      </c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</row>
    <row r="71" spans="1:19">
      <c r="A71" s="7">
        <v>65</v>
      </c>
      <c r="G71" s="11">
        <f t="shared" si="1"/>
        <v>0</v>
      </c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</row>
    <row r="72" spans="1:19">
      <c r="A72" s="7">
        <v>66</v>
      </c>
      <c r="G72" s="11">
        <f t="shared" ref="G72:G106" si="2">+SUM(H72:S72)</f>
        <v>0</v>
      </c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</row>
    <row r="73" spans="1:19">
      <c r="A73" s="7">
        <v>67</v>
      </c>
      <c r="G73" s="11">
        <f t="shared" si="2"/>
        <v>0</v>
      </c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</row>
    <row r="74" spans="1:19">
      <c r="A74" s="7">
        <v>68</v>
      </c>
      <c r="G74" s="11">
        <f t="shared" si="2"/>
        <v>0</v>
      </c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</row>
    <row r="75" spans="1:19">
      <c r="A75" s="7">
        <v>69</v>
      </c>
      <c r="G75" s="11">
        <f t="shared" si="2"/>
        <v>0</v>
      </c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</row>
    <row r="76" spans="1:19">
      <c r="A76" s="7">
        <v>70</v>
      </c>
      <c r="G76" s="11">
        <f t="shared" si="2"/>
        <v>0</v>
      </c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</row>
    <row r="77" spans="1:19">
      <c r="A77" s="7">
        <v>71</v>
      </c>
      <c r="G77" s="11">
        <f t="shared" si="2"/>
        <v>0</v>
      </c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</row>
    <row r="78" spans="1:19">
      <c r="A78" s="7">
        <v>72</v>
      </c>
      <c r="G78" s="11">
        <f t="shared" si="2"/>
        <v>0</v>
      </c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</row>
    <row r="79" spans="1:19">
      <c r="A79" s="7">
        <v>73</v>
      </c>
      <c r="G79" s="11">
        <f t="shared" si="2"/>
        <v>0</v>
      </c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</row>
    <row r="80" spans="1:19">
      <c r="A80" s="7">
        <v>74</v>
      </c>
      <c r="G80" s="11">
        <f t="shared" si="2"/>
        <v>0</v>
      </c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</row>
    <row r="81" spans="1:19">
      <c r="A81" s="7">
        <v>75</v>
      </c>
      <c r="G81" s="11">
        <f t="shared" si="2"/>
        <v>0</v>
      </c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</row>
    <row r="82" spans="1:19">
      <c r="A82" s="7">
        <v>76</v>
      </c>
      <c r="G82" s="11">
        <f t="shared" si="2"/>
        <v>0</v>
      </c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</row>
    <row r="83" spans="1:19">
      <c r="A83" s="7">
        <v>77</v>
      </c>
      <c r="G83" s="11">
        <f t="shared" si="2"/>
        <v>0</v>
      </c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</row>
    <row r="84" spans="1:19">
      <c r="A84" s="7">
        <v>78</v>
      </c>
      <c r="G84" s="11">
        <f t="shared" si="2"/>
        <v>0</v>
      </c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</row>
    <row r="85" spans="1:19">
      <c r="A85" s="7">
        <v>79</v>
      </c>
      <c r="G85" s="11">
        <f t="shared" si="2"/>
        <v>0</v>
      </c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</row>
    <row r="86" spans="1:19">
      <c r="A86" s="7">
        <v>80</v>
      </c>
      <c r="G86" s="11">
        <f t="shared" si="2"/>
        <v>0</v>
      </c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</row>
    <row r="87" spans="1:19">
      <c r="A87" s="7">
        <v>81</v>
      </c>
      <c r="G87" s="11">
        <f t="shared" si="2"/>
        <v>0</v>
      </c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</row>
    <row r="88" spans="1:19">
      <c r="A88" s="7">
        <v>82</v>
      </c>
      <c r="G88" s="11">
        <f t="shared" si="2"/>
        <v>0</v>
      </c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</row>
    <row r="89" spans="1:19">
      <c r="A89" s="7">
        <v>83</v>
      </c>
      <c r="G89" s="11">
        <f t="shared" si="2"/>
        <v>0</v>
      </c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</row>
    <row r="90" spans="1:19">
      <c r="A90" s="7">
        <v>84</v>
      </c>
      <c r="G90" s="11">
        <f t="shared" si="2"/>
        <v>0</v>
      </c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</row>
    <row r="91" spans="1:19">
      <c r="A91" s="7">
        <v>85</v>
      </c>
      <c r="G91" s="11">
        <f t="shared" si="2"/>
        <v>0</v>
      </c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</row>
    <row r="92" spans="1:19">
      <c r="A92" s="7">
        <v>86</v>
      </c>
      <c r="G92" s="11">
        <f t="shared" si="2"/>
        <v>0</v>
      </c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</row>
    <row r="93" spans="1:19">
      <c r="A93" s="7">
        <v>87</v>
      </c>
      <c r="G93" s="11">
        <f t="shared" si="2"/>
        <v>0</v>
      </c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</row>
    <row r="94" spans="1:19">
      <c r="A94" s="7">
        <v>88</v>
      </c>
      <c r="G94" s="11">
        <f t="shared" si="2"/>
        <v>0</v>
      </c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</row>
    <row r="95" spans="1:19">
      <c r="A95" s="7">
        <v>89</v>
      </c>
      <c r="G95" s="11">
        <f t="shared" si="2"/>
        <v>0</v>
      </c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</row>
    <row r="96" spans="1:19">
      <c r="A96" s="7">
        <v>90</v>
      </c>
      <c r="G96" s="11">
        <f t="shared" si="2"/>
        <v>0</v>
      </c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</row>
    <row r="97" spans="1:19">
      <c r="A97" s="7">
        <v>91</v>
      </c>
      <c r="G97" s="11">
        <f t="shared" si="2"/>
        <v>0</v>
      </c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</row>
    <row r="98" spans="1:19">
      <c r="A98" s="7">
        <v>92</v>
      </c>
      <c r="G98" s="11">
        <f t="shared" si="2"/>
        <v>0</v>
      </c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</row>
    <row r="99" spans="1:19">
      <c r="A99" s="7">
        <v>93</v>
      </c>
      <c r="G99" s="11">
        <f t="shared" si="2"/>
        <v>0</v>
      </c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</row>
    <row r="100" spans="1:19">
      <c r="A100" s="7">
        <v>94</v>
      </c>
      <c r="G100" s="11">
        <f t="shared" si="2"/>
        <v>0</v>
      </c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</row>
    <row r="101" spans="1:19">
      <c r="A101" s="7">
        <v>95</v>
      </c>
      <c r="G101" s="11">
        <f t="shared" si="2"/>
        <v>0</v>
      </c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</row>
    <row r="102" spans="1:19">
      <c r="A102" s="7">
        <v>96</v>
      </c>
      <c r="G102" s="11">
        <f t="shared" si="2"/>
        <v>0</v>
      </c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</row>
    <row r="103" spans="1:19">
      <c r="A103" s="7">
        <v>97</v>
      </c>
      <c r="G103" s="11">
        <f t="shared" si="2"/>
        <v>0</v>
      </c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</row>
    <row r="104" spans="1:19">
      <c r="A104" s="7">
        <v>98</v>
      </c>
      <c r="G104" s="11">
        <f t="shared" si="2"/>
        <v>0</v>
      </c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</row>
    <row r="105" spans="1:19">
      <c r="A105" s="7">
        <v>99</v>
      </c>
      <c r="G105" s="11">
        <f t="shared" si="2"/>
        <v>0</v>
      </c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</row>
    <row r="106" spans="1:19">
      <c r="A106" s="7">
        <v>100</v>
      </c>
      <c r="G106" s="11">
        <f t="shared" si="2"/>
        <v>0</v>
      </c>
      <c r="H106" s="12"/>
      <c r="I106" s="12"/>
      <c r="J106" s="12"/>
      <c r="K106" s="12"/>
      <c r="L106" s="12"/>
      <c r="M106" s="12"/>
      <c r="N106" s="12"/>
      <c r="O106" s="12"/>
      <c r="P106" s="12"/>
      <c r="Q106" s="12"/>
      <c r="R106" s="12"/>
      <c r="S106" s="12"/>
    </row>
    <row r="107" spans="1:19">
      <c r="G107" s="12"/>
    </row>
  </sheetData>
  <mergeCells count="5">
    <mergeCell ref="A5:S5"/>
    <mergeCell ref="A1:S1"/>
    <mergeCell ref="A2:S2"/>
    <mergeCell ref="A3:B3"/>
    <mergeCell ref="A4:B4"/>
  </mergeCells>
  <dataValidations count="1">
    <dataValidation type="list" allowBlank="1" showInputMessage="1" showErrorMessage="1" sqref="E7:E106" xr:uid="{53269CCC-938B-4349-B27F-E102D599BA7B}">
      <formula1>INDIRECT(D7)</formula1>
    </dataValidation>
  </dataValidations>
  <pageMargins left="0.7" right="0.7" top="0.75" bottom="0.75" header="0.3" footer="0.3"/>
  <pageSetup scale="42"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2DCF28D5-CB44-41CB-B1D6-4B423BA9272B}">
          <x14:formula1>
            <xm:f>INPUT!$B$2:$B$10</xm:f>
          </x14:formula1>
          <xm:sqref>F3</xm:sqref>
        </x14:dataValidation>
        <x14:dataValidation type="list" allowBlank="1" showInputMessage="1" showErrorMessage="1" xr:uid="{95524261-8E9C-4F6B-B782-FD8D63C535EB}">
          <x14:formula1>
            <xm:f>INPUT!$C$2:$C$7</xm:f>
          </x14:formula1>
          <xm:sqref>B7:B56 C8:C56</xm:sqref>
        </x14:dataValidation>
        <x14:dataValidation type="list" allowBlank="1" showInputMessage="1" showErrorMessage="1" xr:uid="{EC06D4D2-1ABC-41B8-AE2A-E4EFC35568BA}">
          <x14:formula1>
            <xm:f>INPUT!$A$2:$A$9</xm:f>
          </x14:formula1>
          <xm:sqref>F4</xm:sqref>
        </x14:dataValidation>
        <x14:dataValidation type="list" allowBlank="1" showInputMessage="1" showErrorMessage="1" xr:uid="{87C5C827-DDCD-4CF7-9558-A000B8F9A241}">
          <x14:formula1>
            <xm:f>Categorías!$G$1:$Q$1</xm:f>
          </x14:formula1>
          <xm:sqref>D7:D106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D4E415-8119-4D8E-A0D1-D66E7323CEF5}">
  <sheetPr codeName="Hoja10">
    <tabColor theme="3"/>
  </sheetPr>
  <dimension ref="A1:T105"/>
  <sheetViews>
    <sheetView zoomScale="80" zoomScaleNormal="80" workbookViewId="0">
      <selection activeCell="F17" sqref="F17"/>
    </sheetView>
  </sheetViews>
  <sheetFormatPr defaultColWidth="0" defaultRowHeight="12.95"/>
  <cols>
    <col min="1" max="1" width="4" style="2" bestFit="1" customWidth="1"/>
    <col min="2" max="2" width="12.42578125" style="2" bestFit="1" customWidth="1"/>
    <col min="3" max="3" width="13" style="2" customWidth="1"/>
    <col min="4" max="4" width="23.28515625" style="2" bestFit="1" customWidth="1"/>
    <col min="5" max="5" width="27.28515625" style="2" bestFit="1" customWidth="1"/>
    <col min="6" max="6" width="53.5703125" style="2" bestFit="1" customWidth="1"/>
    <col min="7" max="7" width="12.5703125" style="2" customWidth="1"/>
    <col min="8" max="19" width="11.5703125" style="2" bestFit="1" customWidth="1"/>
    <col min="20" max="20" width="0" style="2" hidden="1" customWidth="1"/>
    <col min="21" max="16384" width="11.5703125" style="2" hidden="1"/>
  </cols>
  <sheetData>
    <row r="1" spans="1:20" ht="23.45">
      <c r="A1" s="97" t="s">
        <v>205</v>
      </c>
      <c r="B1" s="97"/>
      <c r="C1" s="97"/>
      <c r="D1" s="97"/>
      <c r="E1" s="97"/>
      <c r="F1" s="97"/>
      <c r="G1" s="97"/>
      <c r="H1" s="97"/>
      <c r="I1" s="97"/>
      <c r="J1" s="97"/>
      <c r="K1" s="97"/>
      <c r="L1" s="97"/>
      <c r="M1" s="97"/>
      <c r="N1" s="97"/>
      <c r="O1" s="97"/>
      <c r="P1" s="97"/>
      <c r="Q1" s="97"/>
      <c r="R1" s="97"/>
      <c r="S1" s="97"/>
    </row>
    <row r="2" spans="1:20" ht="6" customHeight="1">
      <c r="A2" s="96"/>
      <c r="B2" s="96"/>
      <c r="C2" s="96"/>
      <c r="D2" s="96"/>
      <c r="E2" s="96"/>
      <c r="F2" s="96"/>
      <c r="G2" s="96"/>
      <c r="H2" s="96"/>
      <c r="I2" s="96"/>
      <c r="J2" s="96"/>
      <c r="K2" s="96"/>
      <c r="L2" s="96"/>
      <c r="M2" s="96"/>
      <c r="N2" s="96"/>
      <c r="O2" s="96"/>
      <c r="P2" s="96"/>
      <c r="Q2" s="96"/>
      <c r="R2" s="96"/>
      <c r="S2" s="96"/>
    </row>
    <row r="3" spans="1:20" ht="14.65" customHeight="1">
      <c r="A3" s="98" t="s">
        <v>129</v>
      </c>
      <c r="B3" s="98"/>
      <c r="C3" s="6"/>
      <c r="D3" s="6"/>
      <c r="E3" s="6"/>
      <c r="F3" s="2" t="s">
        <v>148</v>
      </c>
      <c r="G3" s="4" t="s">
        <v>206</v>
      </c>
      <c r="H3" s="5">
        <v>46023</v>
      </c>
      <c r="I3" s="5">
        <v>46054</v>
      </c>
      <c r="J3" s="5">
        <v>46082</v>
      </c>
      <c r="K3" s="5">
        <v>46113</v>
      </c>
      <c r="L3" s="5">
        <v>46143</v>
      </c>
      <c r="M3" s="5">
        <v>46174</v>
      </c>
      <c r="N3" s="5">
        <v>46204</v>
      </c>
      <c r="O3" s="5">
        <v>46235</v>
      </c>
      <c r="P3" s="5">
        <v>46266</v>
      </c>
      <c r="Q3" s="5">
        <v>46296</v>
      </c>
      <c r="R3" s="5">
        <v>46327</v>
      </c>
      <c r="S3" s="5">
        <v>46357</v>
      </c>
    </row>
    <row r="4" spans="1:20" ht="14.65" customHeight="1">
      <c r="A4" s="98" t="s">
        <v>207</v>
      </c>
      <c r="B4" s="98"/>
      <c r="C4" s="6"/>
      <c r="D4" s="6"/>
      <c r="E4" s="6"/>
      <c r="F4" s="2" t="s">
        <v>147</v>
      </c>
      <c r="G4" s="16">
        <f t="shared" ref="G4:S4" si="0">+SUM(G7:G105)</f>
        <v>263600</v>
      </c>
      <c r="H4" s="16">
        <f t="shared" si="0"/>
        <v>32150</v>
      </c>
      <c r="I4" s="16">
        <f t="shared" si="0"/>
        <v>58950</v>
      </c>
      <c r="J4" s="16">
        <f t="shared" si="0"/>
        <v>35150</v>
      </c>
      <c r="K4" s="16">
        <f t="shared" si="0"/>
        <v>9950</v>
      </c>
      <c r="L4" s="16">
        <f t="shared" si="0"/>
        <v>9650</v>
      </c>
      <c r="M4" s="16">
        <f t="shared" si="0"/>
        <v>34450</v>
      </c>
      <c r="N4" s="16">
        <f t="shared" si="0"/>
        <v>7150</v>
      </c>
      <c r="O4" s="16">
        <f t="shared" si="0"/>
        <v>23450</v>
      </c>
      <c r="P4" s="16">
        <f t="shared" si="0"/>
        <v>20650</v>
      </c>
      <c r="Q4" s="16">
        <f t="shared" si="0"/>
        <v>12950</v>
      </c>
      <c r="R4" s="16">
        <f t="shared" si="0"/>
        <v>11150</v>
      </c>
      <c r="S4" s="16">
        <f t="shared" si="0"/>
        <v>7950</v>
      </c>
    </row>
    <row r="5" spans="1:20" ht="5.65" customHeight="1">
      <c r="A5" s="96"/>
      <c r="B5" s="96"/>
      <c r="C5" s="96"/>
      <c r="D5" s="96"/>
      <c r="E5" s="96"/>
      <c r="F5" s="96"/>
      <c r="G5" s="96"/>
      <c r="H5" s="96"/>
      <c r="I5" s="96"/>
      <c r="J5" s="96"/>
      <c r="K5" s="96"/>
      <c r="L5" s="96"/>
      <c r="M5" s="96"/>
      <c r="N5" s="96"/>
      <c r="O5" s="96"/>
      <c r="P5" s="96"/>
      <c r="Q5" s="96"/>
      <c r="R5" s="96"/>
      <c r="S5" s="96"/>
    </row>
    <row r="6" spans="1:20">
      <c r="A6" s="4" t="s">
        <v>208</v>
      </c>
      <c r="B6" s="4" t="s">
        <v>153</v>
      </c>
      <c r="C6" s="4" t="s">
        <v>209</v>
      </c>
      <c r="D6" s="4" t="s">
        <v>210</v>
      </c>
      <c r="E6" s="4" t="s">
        <v>1</v>
      </c>
      <c r="F6" s="4" t="s">
        <v>211</v>
      </c>
      <c r="G6" s="4" t="s">
        <v>206</v>
      </c>
      <c r="H6" s="5" t="s">
        <v>212</v>
      </c>
      <c r="I6" s="5" t="s">
        <v>213</v>
      </c>
      <c r="J6" s="5" t="s">
        <v>214</v>
      </c>
      <c r="K6" s="5" t="s">
        <v>215</v>
      </c>
      <c r="L6" s="5" t="s">
        <v>216</v>
      </c>
      <c r="M6" s="5" t="s">
        <v>217</v>
      </c>
      <c r="N6" s="5" t="s">
        <v>218</v>
      </c>
      <c r="O6" s="5" t="s">
        <v>219</v>
      </c>
      <c r="P6" s="5" t="s">
        <v>220</v>
      </c>
      <c r="Q6" s="5" t="s">
        <v>221</v>
      </c>
      <c r="R6" s="5" t="s">
        <v>222</v>
      </c>
      <c r="S6" s="5" t="s">
        <v>223</v>
      </c>
      <c r="T6" s="3"/>
    </row>
    <row r="7" spans="1:20">
      <c r="A7" s="7">
        <v>1</v>
      </c>
      <c r="B7" s="2" t="s">
        <v>133</v>
      </c>
      <c r="C7" s="2" t="s">
        <v>180</v>
      </c>
      <c r="D7" s="2" t="s">
        <v>158</v>
      </c>
      <c r="E7" s="2" t="s">
        <v>171</v>
      </c>
      <c r="F7" s="2" t="s">
        <v>331</v>
      </c>
      <c r="G7" s="11">
        <f t="shared" ref="G7:G38" si="1">+SUM(H7:S7)</f>
        <v>24000</v>
      </c>
      <c r="H7" s="12">
        <v>2000</v>
      </c>
      <c r="I7" s="12">
        <v>2000</v>
      </c>
      <c r="J7" s="12">
        <v>2000</v>
      </c>
      <c r="K7" s="12">
        <v>2000</v>
      </c>
      <c r="L7" s="12">
        <v>2000</v>
      </c>
      <c r="M7" s="12">
        <v>2000</v>
      </c>
      <c r="N7" s="12">
        <v>2000</v>
      </c>
      <c r="O7" s="12">
        <v>2000</v>
      </c>
      <c r="P7" s="12">
        <v>2000</v>
      </c>
      <c r="Q7" s="12">
        <v>2000</v>
      </c>
      <c r="R7" s="12">
        <v>2000</v>
      </c>
      <c r="S7" s="12">
        <v>2000</v>
      </c>
    </row>
    <row r="8" spans="1:20">
      <c r="A8" s="7">
        <v>2</v>
      </c>
      <c r="B8" s="2" t="s">
        <v>133</v>
      </c>
      <c r="C8" s="2" t="s">
        <v>180</v>
      </c>
      <c r="D8" s="2" t="s">
        <v>161</v>
      </c>
      <c r="E8" s="2" t="s">
        <v>172</v>
      </c>
      <c r="F8" s="2" t="s">
        <v>332</v>
      </c>
      <c r="G8" s="11">
        <f t="shared" si="1"/>
        <v>10000</v>
      </c>
      <c r="H8" s="12"/>
      <c r="I8" s="12"/>
      <c r="J8" s="12">
        <v>5000</v>
      </c>
      <c r="K8" s="12"/>
      <c r="L8" s="12"/>
      <c r="M8" s="12"/>
      <c r="N8" s="12"/>
      <c r="O8" s="12">
        <v>5000</v>
      </c>
      <c r="P8" s="12"/>
      <c r="Q8" s="12"/>
      <c r="R8" s="12"/>
      <c r="S8" s="12"/>
    </row>
    <row r="9" spans="1:20">
      <c r="A9" s="7">
        <v>3</v>
      </c>
      <c r="B9" s="2" t="s">
        <v>133</v>
      </c>
      <c r="C9" s="2" t="s">
        <v>180</v>
      </c>
      <c r="D9" s="2" t="s">
        <v>161</v>
      </c>
      <c r="E9" s="2" t="s">
        <v>167</v>
      </c>
      <c r="F9" s="2" t="s">
        <v>333</v>
      </c>
      <c r="G9" s="11">
        <f t="shared" si="1"/>
        <v>9000</v>
      </c>
      <c r="H9" s="12">
        <v>3000</v>
      </c>
      <c r="I9" s="12"/>
      <c r="J9" s="12">
        <v>3000</v>
      </c>
      <c r="K9" s="12"/>
      <c r="L9" s="12"/>
      <c r="M9" s="12">
        <v>1500</v>
      </c>
      <c r="N9" s="12"/>
      <c r="O9" s="12"/>
      <c r="P9" s="12">
        <v>1500</v>
      </c>
      <c r="Q9" s="12"/>
      <c r="R9" s="12"/>
      <c r="S9" s="12"/>
    </row>
    <row r="10" spans="1:20">
      <c r="A10" s="7">
        <v>4</v>
      </c>
      <c r="B10" s="2" t="s">
        <v>133</v>
      </c>
      <c r="C10" s="2" t="s">
        <v>180</v>
      </c>
      <c r="D10" s="2" t="s">
        <v>161</v>
      </c>
      <c r="E10" s="2" t="s">
        <v>172</v>
      </c>
      <c r="F10" s="2" t="s">
        <v>334</v>
      </c>
      <c r="G10" s="11">
        <f t="shared" si="1"/>
        <v>18000</v>
      </c>
      <c r="H10" s="12">
        <v>1500</v>
      </c>
      <c r="I10" s="12">
        <v>1500</v>
      </c>
      <c r="J10" s="12">
        <v>1500</v>
      </c>
      <c r="K10" s="12">
        <v>1500</v>
      </c>
      <c r="L10" s="12">
        <v>1500</v>
      </c>
      <c r="M10" s="12">
        <v>1500</v>
      </c>
      <c r="N10" s="12">
        <v>1500</v>
      </c>
      <c r="O10" s="12">
        <v>1500</v>
      </c>
      <c r="P10" s="12">
        <v>1500</v>
      </c>
      <c r="Q10" s="12">
        <v>1500</v>
      </c>
      <c r="R10" s="12">
        <v>1500</v>
      </c>
      <c r="S10" s="12">
        <v>1500</v>
      </c>
    </row>
    <row r="11" spans="1:20">
      <c r="A11" s="7">
        <v>5</v>
      </c>
      <c r="B11" s="2" t="s">
        <v>133</v>
      </c>
      <c r="C11" s="2" t="s">
        <v>180</v>
      </c>
      <c r="D11" s="2" t="s">
        <v>161</v>
      </c>
      <c r="E11" s="2" t="s">
        <v>172</v>
      </c>
      <c r="F11" s="2" t="s">
        <v>335</v>
      </c>
      <c r="G11" s="11">
        <f t="shared" si="1"/>
        <v>24000</v>
      </c>
      <c r="H11" s="12"/>
      <c r="I11" s="12"/>
      <c r="J11" s="12"/>
      <c r="K11" s="12"/>
      <c r="L11" s="12"/>
      <c r="M11" s="12">
        <v>12000</v>
      </c>
      <c r="N11" s="12"/>
      <c r="O11" s="12"/>
      <c r="P11" s="12">
        <v>12000</v>
      </c>
      <c r="Q11" s="12"/>
      <c r="R11" s="12"/>
      <c r="S11" s="12"/>
    </row>
    <row r="12" spans="1:20">
      <c r="A12" s="7">
        <v>6</v>
      </c>
      <c r="B12" s="2" t="s">
        <v>135</v>
      </c>
      <c r="C12" s="2" t="s">
        <v>180</v>
      </c>
      <c r="D12" s="2" t="s">
        <v>161</v>
      </c>
      <c r="E12" s="2" t="s">
        <v>172</v>
      </c>
      <c r="F12" s="2" t="s">
        <v>336</v>
      </c>
      <c r="G12" s="11">
        <f t="shared" si="1"/>
        <v>4800</v>
      </c>
      <c r="H12" s="12"/>
      <c r="I12" s="12">
        <v>800</v>
      </c>
      <c r="J12" s="12"/>
      <c r="K12" s="12">
        <v>800</v>
      </c>
      <c r="L12" s="12"/>
      <c r="M12" s="12">
        <v>800</v>
      </c>
      <c r="N12" s="12"/>
      <c r="O12" s="12">
        <v>800</v>
      </c>
      <c r="P12" s="12"/>
      <c r="Q12" s="12">
        <v>800</v>
      </c>
      <c r="R12" s="12"/>
      <c r="S12" s="12">
        <v>800</v>
      </c>
    </row>
    <row r="13" spans="1:20">
      <c r="A13" s="7">
        <v>7</v>
      </c>
      <c r="B13" s="2" t="s">
        <v>133</v>
      </c>
      <c r="C13" s="2" t="s">
        <v>180</v>
      </c>
      <c r="D13" s="2" t="s">
        <v>161</v>
      </c>
      <c r="E13" s="2" t="s">
        <v>172</v>
      </c>
      <c r="F13" s="2" t="s">
        <v>337</v>
      </c>
      <c r="G13" s="11">
        <f t="shared" si="1"/>
        <v>20000</v>
      </c>
      <c r="H13" s="12"/>
      <c r="I13" s="12">
        <v>20000</v>
      </c>
      <c r="J13" s="12"/>
      <c r="K13" s="12"/>
      <c r="L13" s="12"/>
      <c r="M13" s="12"/>
      <c r="N13" s="12"/>
      <c r="O13" s="12"/>
      <c r="P13" s="12"/>
      <c r="Q13" s="12"/>
      <c r="R13" s="12"/>
      <c r="S13" s="12"/>
    </row>
    <row r="14" spans="1:20">
      <c r="A14" s="7">
        <v>8</v>
      </c>
      <c r="B14" s="2" t="s">
        <v>135</v>
      </c>
      <c r="C14" s="2" t="s">
        <v>180</v>
      </c>
      <c r="D14" s="2" t="s">
        <v>161</v>
      </c>
      <c r="E14" s="2" t="s">
        <v>172</v>
      </c>
      <c r="F14" s="2" t="s">
        <v>338</v>
      </c>
      <c r="G14" s="11">
        <f t="shared" si="1"/>
        <v>1500</v>
      </c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>
        <v>1500</v>
      </c>
      <c r="S14" s="12"/>
    </row>
    <row r="15" spans="1:20">
      <c r="A15" s="7">
        <v>9</v>
      </c>
      <c r="B15" s="2" t="s">
        <v>133</v>
      </c>
      <c r="C15" s="2" t="s">
        <v>180</v>
      </c>
      <c r="D15" s="2" t="s">
        <v>11</v>
      </c>
      <c r="E15" s="2" t="s">
        <v>68</v>
      </c>
      <c r="F15" s="2" t="s">
        <v>339</v>
      </c>
      <c r="G15" s="11">
        <f t="shared" si="1"/>
        <v>15000</v>
      </c>
      <c r="H15" s="12">
        <v>5000</v>
      </c>
      <c r="I15" s="12">
        <v>5000</v>
      </c>
      <c r="J15" s="12">
        <v>5000</v>
      </c>
      <c r="K15" s="12"/>
      <c r="L15" s="12"/>
      <c r="M15" s="12"/>
      <c r="N15" s="12"/>
      <c r="O15" s="12"/>
      <c r="P15" s="12"/>
      <c r="Q15" s="12"/>
      <c r="R15" s="12"/>
      <c r="S15" s="12"/>
    </row>
    <row r="16" spans="1:20">
      <c r="A16" s="7">
        <v>10</v>
      </c>
      <c r="B16" s="2" t="s">
        <v>135</v>
      </c>
      <c r="C16" s="2" t="s">
        <v>180</v>
      </c>
      <c r="D16" s="2" t="s">
        <v>160</v>
      </c>
      <c r="E16" s="2" t="s">
        <v>47</v>
      </c>
      <c r="F16" s="2" t="s">
        <v>340</v>
      </c>
      <c r="G16" s="11">
        <f t="shared" si="1"/>
        <v>4000</v>
      </c>
      <c r="H16" s="12"/>
      <c r="I16" s="12"/>
      <c r="J16" s="12"/>
      <c r="K16" s="12">
        <v>2000</v>
      </c>
      <c r="L16" s="12"/>
      <c r="M16" s="12"/>
      <c r="N16" s="12"/>
      <c r="O16" s="12"/>
      <c r="P16" s="12"/>
      <c r="Q16" s="12">
        <v>2000</v>
      </c>
      <c r="R16" s="12"/>
      <c r="S16" s="12"/>
    </row>
    <row r="17" spans="1:19">
      <c r="A17" s="7">
        <v>11</v>
      </c>
      <c r="B17" s="2" t="s">
        <v>135</v>
      </c>
      <c r="C17" s="2" t="s">
        <v>180</v>
      </c>
      <c r="D17" s="2" t="s">
        <v>160</v>
      </c>
      <c r="E17" s="2" t="s">
        <v>47</v>
      </c>
      <c r="F17" s="2" t="s">
        <v>341</v>
      </c>
      <c r="G17" s="11">
        <f t="shared" si="1"/>
        <v>18000</v>
      </c>
      <c r="H17" s="12">
        <v>1500</v>
      </c>
      <c r="I17" s="12">
        <v>1500</v>
      </c>
      <c r="J17" s="12">
        <v>1500</v>
      </c>
      <c r="K17" s="12">
        <v>1500</v>
      </c>
      <c r="L17" s="12">
        <v>1500</v>
      </c>
      <c r="M17" s="12">
        <v>1500</v>
      </c>
      <c r="N17" s="12">
        <v>1500</v>
      </c>
      <c r="O17" s="12">
        <v>1500</v>
      </c>
      <c r="P17" s="12">
        <v>1500</v>
      </c>
      <c r="Q17" s="12">
        <v>1500</v>
      </c>
      <c r="R17" s="12">
        <v>1500</v>
      </c>
      <c r="S17" s="12">
        <v>1500</v>
      </c>
    </row>
    <row r="18" spans="1:19">
      <c r="A18" s="7">
        <v>12</v>
      </c>
      <c r="B18" s="2" t="s">
        <v>133</v>
      </c>
      <c r="C18" s="2" t="s">
        <v>180</v>
      </c>
      <c r="D18" s="2" t="s">
        <v>14</v>
      </c>
      <c r="E18" s="2" t="s">
        <v>173</v>
      </c>
      <c r="F18" s="2" t="s">
        <v>342</v>
      </c>
      <c r="G18" s="11">
        <f t="shared" si="1"/>
        <v>10000</v>
      </c>
      <c r="H18" s="12"/>
      <c r="I18" s="12"/>
      <c r="J18" s="12"/>
      <c r="K18" s="12"/>
      <c r="L18" s="12"/>
      <c r="M18" s="12">
        <v>10000</v>
      </c>
      <c r="N18" s="12"/>
      <c r="O18" s="12"/>
      <c r="P18" s="12"/>
      <c r="Q18" s="12"/>
      <c r="R18" s="12"/>
      <c r="S18" s="12"/>
    </row>
    <row r="19" spans="1:19">
      <c r="A19" s="7">
        <v>13</v>
      </c>
      <c r="B19" s="2" t="s">
        <v>133</v>
      </c>
      <c r="C19" s="2" t="s">
        <v>242</v>
      </c>
      <c r="D19" s="2" t="s">
        <v>161</v>
      </c>
      <c r="E19" s="2" t="s">
        <v>172</v>
      </c>
      <c r="F19" s="2" t="s">
        <v>343</v>
      </c>
      <c r="G19" s="11">
        <f t="shared" si="1"/>
        <v>28000</v>
      </c>
      <c r="H19" s="12">
        <v>14000</v>
      </c>
      <c r="I19" s="12">
        <v>14000</v>
      </c>
      <c r="J19" s="12"/>
      <c r="K19" s="12"/>
      <c r="L19" s="12"/>
      <c r="M19" s="12"/>
      <c r="N19" s="12"/>
      <c r="O19" s="12"/>
      <c r="P19" s="12"/>
      <c r="Q19" s="12"/>
      <c r="R19" s="12"/>
      <c r="S19" s="12"/>
    </row>
    <row r="20" spans="1:19">
      <c r="A20" s="7">
        <v>14</v>
      </c>
      <c r="B20" s="2" t="s">
        <v>133</v>
      </c>
      <c r="C20" s="2" t="s">
        <v>242</v>
      </c>
      <c r="D20" s="2" t="s">
        <v>161</v>
      </c>
      <c r="E20" s="2" t="s">
        <v>172</v>
      </c>
      <c r="F20" s="2" t="s">
        <v>344</v>
      </c>
      <c r="G20" s="11">
        <f t="shared" si="1"/>
        <v>16000</v>
      </c>
      <c r="H20" s="12"/>
      <c r="I20" s="12"/>
      <c r="J20" s="12">
        <v>8000</v>
      </c>
      <c r="K20" s="12"/>
      <c r="L20" s="12"/>
      <c r="M20" s="12"/>
      <c r="N20" s="12"/>
      <c r="O20" s="12">
        <v>8000</v>
      </c>
      <c r="P20" s="12"/>
      <c r="Q20" s="12"/>
      <c r="R20" s="12"/>
      <c r="S20" s="12"/>
    </row>
    <row r="21" spans="1:19">
      <c r="A21" s="7">
        <v>15</v>
      </c>
      <c r="B21" s="2" t="s">
        <v>135</v>
      </c>
      <c r="C21" s="2" t="s">
        <v>242</v>
      </c>
      <c r="D21" s="2" t="s">
        <v>161</v>
      </c>
      <c r="E21" s="2" t="s">
        <v>172</v>
      </c>
      <c r="F21" s="2" t="s">
        <v>345</v>
      </c>
      <c r="G21" s="11">
        <f t="shared" si="1"/>
        <v>3000</v>
      </c>
      <c r="H21" s="12">
        <v>3000</v>
      </c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</row>
    <row r="22" spans="1:19">
      <c r="A22" s="7">
        <v>16</v>
      </c>
      <c r="B22" s="2" t="s">
        <v>133</v>
      </c>
      <c r="C22" s="2" t="s">
        <v>242</v>
      </c>
      <c r="D22" s="2" t="s">
        <v>161</v>
      </c>
      <c r="E22" s="2" t="s">
        <v>172</v>
      </c>
      <c r="F22" s="2" t="s">
        <v>346</v>
      </c>
      <c r="G22" s="11">
        <f t="shared" si="1"/>
        <v>3000</v>
      </c>
      <c r="H22" s="12"/>
      <c r="I22" s="12">
        <v>3000</v>
      </c>
      <c r="J22" s="12"/>
      <c r="K22" s="12"/>
      <c r="L22" s="12"/>
      <c r="M22" s="12"/>
      <c r="N22" s="12"/>
      <c r="O22" s="12"/>
      <c r="P22" s="12"/>
      <c r="Q22" s="12"/>
      <c r="R22" s="12"/>
      <c r="S22" s="12"/>
    </row>
    <row r="23" spans="1:19">
      <c r="A23" s="7">
        <v>17</v>
      </c>
      <c r="B23" s="2" t="s">
        <v>133</v>
      </c>
      <c r="C23" s="2" t="s">
        <v>242</v>
      </c>
      <c r="D23" s="2" t="s">
        <v>161</v>
      </c>
      <c r="E23" s="2" t="s">
        <v>172</v>
      </c>
      <c r="F23" s="2" t="s">
        <v>347</v>
      </c>
      <c r="G23" s="11">
        <f t="shared" si="1"/>
        <v>24000</v>
      </c>
      <c r="H23" s="12">
        <v>2000</v>
      </c>
      <c r="I23" s="12">
        <v>2000</v>
      </c>
      <c r="J23" s="12">
        <v>2000</v>
      </c>
      <c r="K23" s="12">
        <v>2000</v>
      </c>
      <c r="L23" s="12">
        <v>2000</v>
      </c>
      <c r="M23" s="12">
        <v>2000</v>
      </c>
      <c r="N23" s="12">
        <v>2000</v>
      </c>
      <c r="O23" s="12">
        <v>2000</v>
      </c>
      <c r="P23" s="12">
        <v>2000</v>
      </c>
      <c r="Q23" s="12">
        <v>2000</v>
      </c>
      <c r="R23" s="12">
        <v>2000</v>
      </c>
      <c r="S23" s="12">
        <v>2000</v>
      </c>
    </row>
    <row r="24" spans="1:19">
      <c r="A24" s="7">
        <v>18</v>
      </c>
      <c r="B24" s="2" t="s">
        <v>133</v>
      </c>
      <c r="C24" s="2" t="s">
        <v>242</v>
      </c>
      <c r="D24" s="2" t="s">
        <v>160</v>
      </c>
      <c r="E24" s="2" t="s">
        <v>47</v>
      </c>
      <c r="F24" s="2" t="s">
        <v>348</v>
      </c>
      <c r="G24" s="11">
        <f t="shared" si="1"/>
        <v>9000</v>
      </c>
      <c r="H24" s="12"/>
      <c r="I24" s="12">
        <v>3000</v>
      </c>
      <c r="J24" s="12"/>
      <c r="K24" s="12"/>
      <c r="L24" s="12"/>
      <c r="M24" s="12">
        <v>3000</v>
      </c>
      <c r="N24" s="12"/>
      <c r="O24" s="12"/>
      <c r="P24" s="12"/>
      <c r="Q24" s="12">
        <v>3000</v>
      </c>
      <c r="R24" s="12"/>
      <c r="S24" s="12"/>
    </row>
    <row r="25" spans="1:19">
      <c r="A25" s="7">
        <v>19</v>
      </c>
      <c r="B25" s="2" t="s">
        <v>133</v>
      </c>
      <c r="C25" s="2" t="s">
        <v>180</v>
      </c>
      <c r="D25" s="2" t="s">
        <v>160</v>
      </c>
      <c r="E25" s="2" t="s">
        <v>47</v>
      </c>
      <c r="F25" s="2" t="s">
        <v>349</v>
      </c>
      <c r="G25" s="11">
        <f t="shared" si="1"/>
        <v>5000</v>
      </c>
      <c r="H25" s="12"/>
      <c r="I25" s="12"/>
      <c r="J25" s="12">
        <v>5000</v>
      </c>
      <c r="K25" s="12"/>
      <c r="L25" s="12"/>
      <c r="M25" s="12"/>
      <c r="N25" s="12"/>
      <c r="O25" s="12"/>
      <c r="P25" s="12"/>
      <c r="Q25" s="12"/>
      <c r="R25" s="12"/>
      <c r="S25" s="12"/>
    </row>
    <row r="26" spans="1:19">
      <c r="A26" s="7">
        <v>20</v>
      </c>
      <c r="B26" s="2" t="s">
        <v>133</v>
      </c>
      <c r="C26" s="2" t="s">
        <v>242</v>
      </c>
      <c r="D26" s="2" t="s">
        <v>161</v>
      </c>
      <c r="E26" s="2" t="s">
        <v>172</v>
      </c>
      <c r="F26" s="2" t="s">
        <v>350</v>
      </c>
      <c r="G26" s="11">
        <f t="shared" si="1"/>
        <v>1800</v>
      </c>
      <c r="H26" s="12">
        <v>150</v>
      </c>
      <c r="I26" s="12">
        <v>150</v>
      </c>
      <c r="J26" s="12">
        <v>150</v>
      </c>
      <c r="K26" s="12">
        <v>150</v>
      </c>
      <c r="L26" s="12">
        <v>150</v>
      </c>
      <c r="M26" s="12">
        <v>150</v>
      </c>
      <c r="N26" s="12">
        <v>150</v>
      </c>
      <c r="O26" s="12">
        <v>150</v>
      </c>
      <c r="P26" s="12">
        <v>150</v>
      </c>
      <c r="Q26" s="12">
        <v>150</v>
      </c>
      <c r="R26" s="12">
        <v>150</v>
      </c>
      <c r="S26" s="12">
        <v>150</v>
      </c>
    </row>
    <row r="27" spans="1:19">
      <c r="A27" s="7">
        <v>21</v>
      </c>
      <c r="B27" s="2" t="s">
        <v>133</v>
      </c>
      <c r="C27" s="2" t="s">
        <v>242</v>
      </c>
      <c r="D27" s="2" t="s">
        <v>161</v>
      </c>
      <c r="E27" s="2" t="s">
        <v>172</v>
      </c>
      <c r="F27" s="2" t="s">
        <v>351</v>
      </c>
      <c r="G27" s="11">
        <f t="shared" si="1"/>
        <v>2500</v>
      </c>
      <c r="H27" s="12"/>
      <c r="I27" s="12">
        <v>2500</v>
      </c>
      <c r="J27" s="12"/>
      <c r="K27" s="12"/>
      <c r="L27" s="12"/>
      <c r="M27" s="12"/>
      <c r="N27" s="12"/>
      <c r="O27" s="12"/>
      <c r="P27" s="12"/>
      <c r="Q27" s="12"/>
      <c r="R27" s="12"/>
      <c r="S27" s="12"/>
    </row>
    <row r="28" spans="1:19">
      <c r="A28" s="7">
        <v>22</v>
      </c>
      <c r="B28" s="2" t="s">
        <v>133</v>
      </c>
      <c r="C28" s="2" t="s">
        <v>242</v>
      </c>
      <c r="D28" s="2" t="s">
        <v>161</v>
      </c>
      <c r="E28" s="2" t="s">
        <v>172</v>
      </c>
      <c r="F28" s="2" t="s">
        <v>352</v>
      </c>
      <c r="G28" s="11">
        <f t="shared" si="1"/>
        <v>1000</v>
      </c>
      <c r="H28" s="12"/>
      <c r="I28" s="12"/>
      <c r="J28" s="12">
        <v>1000</v>
      </c>
      <c r="K28" s="12"/>
      <c r="L28" s="12"/>
      <c r="M28" s="12"/>
      <c r="N28" s="12"/>
      <c r="O28" s="12"/>
      <c r="P28" s="12"/>
      <c r="Q28" s="12"/>
      <c r="R28" s="12"/>
      <c r="S28" s="12"/>
    </row>
    <row r="29" spans="1:19">
      <c r="A29" s="7">
        <v>23</v>
      </c>
      <c r="B29" s="2" t="s">
        <v>133</v>
      </c>
      <c r="C29" s="2" t="s">
        <v>242</v>
      </c>
      <c r="D29" s="2" t="s">
        <v>161</v>
      </c>
      <c r="E29" s="2" t="s">
        <v>172</v>
      </c>
      <c r="F29" s="2" t="s">
        <v>353</v>
      </c>
      <c r="G29" s="11">
        <f t="shared" si="1"/>
        <v>1000</v>
      </c>
      <c r="H29" s="12"/>
      <c r="I29" s="12">
        <v>1000</v>
      </c>
      <c r="J29" s="12"/>
      <c r="K29" s="12"/>
      <c r="L29" s="12"/>
      <c r="M29" s="12"/>
      <c r="N29" s="12"/>
      <c r="O29" s="12"/>
      <c r="P29" s="12"/>
      <c r="Q29" s="12"/>
      <c r="R29" s="12"/>
      <c r="S29" s="12"/>
    </row>
    <row r="30" spans="1:19">
      <c r="A30" s="7">
        <v>24</v>
      </c>
      <c r="B30" s="2" t="s">
        <v>133</v>
      </c>
      <c r="C30" s="2" t="s">
        <v>242</v>
      </c>
      <c r="D30" s="2" t="s">
        <v>161</v>
      </c>
      <c r="E30" s="2" t="s">
        <v>172</v>
      </c>
      <c r="F30" s="2" t="s">
        <v>354</v>
      </c>
      <c r="G30" s="11">
        <f t="shared" si="1"/>
        <v>1000</v>
      </c>
      <c r="H30" s="12"/>
      <c r="I30" s="12"/>
      <c r="J30" s="12">
        <v>1000</v>
      </c>
      <c r="K30" s="12"/>
      <c r="L30" s="12"/>
      <c r="M30" s="12"/>
      <c r="N30" s="12"/>
      <c r="O30" s="12"/>
      <c r="P30" s="12"/>
      <c r="Q30" s="12"/>
      <c r="R30" s="12"/>
      <c r="S30" s="12"/>
    </row>
    <row r="31" spans="1:19">
      <c r="A31" s="7">
        <v>25</v>
      </c>
      <c r="B31" s="2" t="s">
        <v>133</v>
      </c>
      <c r="C31" s="2" t="s">
        <v>242</v>
      </c>
      <c r="D31" s="2" t="s">
        <v>161</v>
      </c>
      <c r="E31" s="2" t="s">
        <v>167</v>
      </c>
      <c r="F31" s="2" t="s">
        <v>355</v>
      </c>
      <c r="G31" s="11">
        <f t="shared" si="1"/>
        <v>10000</v>
      </c>
      <c r="H31" s="12"/>
      <c r="I31" s="12">
        <v>2500</v>
      </c>
      <c r="J31" s="12"/>
      <c r="K31" s="12"/>
      <c r="L31" s="12">
        <v>2500</v>
      </c>
      <c r="M31" s="12"/>
      <c r="N31" s="12"/>
      <c r="O31" s="12">
        <v>2500</v>
      </c>
      <c r="P31" s="12"/>
      <c r="Q31" s="12"/>
      <c r="R31" s="12">
        <v>2500</v>
      </c>
      <c r="S31" s="12"/>
    </row>
    <row r="32" spans="1:19">
      <c r="A32" s="7">
        <v>26</v>
      </c>
      <c r="B32" s="2" t="s">
        <v>133</v>
      </c>
      <c r="C32" s="2" t="s">
        <v>242</v>
      </c>
      <c r="D32" s="2" t="s">
        <v>14</v>
      </c>
      <c r="E32" s="2" t="s">
        <v>173</v>
      </c>
      <c r="F32" s="2" t="s">
        <v>265</v>
      </c>
      <c r="G32" s="11">
        <f t="shared" si="1"/>
        <v>0</v>
      </c>
      <c r="H32" s="12">
        <v>0</v>
      </c>
      <c r="I32" s="12">
        <v>0</v>
      </c>
      <c r="J32" s="12">
        <v>0</v>
      </c>
      <c r="K32" s="12">
        <v>0</v>
      </c>
      <c r="L32" s="12">
        <v>0</v>
      </c>
      <c r="M32" s="12">
        <v>0</v>
      </c>
      <c r="N32" s="12">
        <v>0</v>
      </c>
      <c r="O32" s="12">
        <v>0</v>
      </c>
      <c r="P32" s="12">
        <v>0</v>
      </c>
      <c r="Q32" s="12">
        <v>0</v>
      </c>
      <c r="R32" s="12">
        <v>0</v>
      </c>
      <c r="S32" s="12">
        <v>0</v>
      </c>
    </row>
    <row r="33" spans="1:19">
      <c r="A33" s="7">
        <v>27</v>
      </c>
      <c r="B33" s="2" t="s">
        <v>133</v>
      </c>
      <c r="C33" s="2" t="s">
        <v>180</v>
      </c>
      <c r="D33" s="2" t="s">
        <v>14</v>
      </c>
      <c r="E33" s="2" t="s">
        <v>173</v>
      </c>
      <c r="F33" s="2" t="s">
        <v>265</v>
      </c>
      <c r="G33" s="11">
        <f t="shared" si="1"/>
        <v>0</v>
      </c>
      <c r="H33" s="12">
        <v>0</v>
      </c>
      <c r="I33" s="12">
        <v>0</v>
      </c>
      <c r="J33" s="12">
        <v>0</v>
      </c>
      <c r="K33" s="12">
        <v>0</v>
      </c>
      <c r="L33" s="12">
        <v>0</v>
      </c>
      <c r="M33" s="12">
        <v>0</v>
      </c>
      <c r="N33" s="12">
        <v>0</v>
      </c>
      <c r="O33" s="12">
        <v>0</v>
      </c>
      <c r="P33" s="12">
        <v>0</v>
      </c>
      <c r="Q33" s="12">
        <v>0</v>
      </c>
      <c r="R33" s="12">
        <v>0</v>
      </c>
      <c r="S33" s="12">
        <v>0</v>
      </c>
    </row>
    <row r="34" spans="1:19">
      <c r="A34" s="7">
        <v>28</v>
      </c>
      <c r="G34" s="11">
        <f t="shared" si="1"/>
        <v>0</v>
      </c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</row>
    <row r="35" spans="1:19">
      <c r="A35" s="7">
        <v>29</v>
      </c>
      <c r="G35" s="11">
        <f t="shared" si="1"/>
        <v>0</v>
      </c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</row>
    <row r="36" spans="1:19">
      <c r="A36" s="7">
        <v>30</v>
      </c>
      <c r="G36" s="11">
        <f t="shared" si="1"/>
        <v>0</v>
      </c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</row>
    <row r="37" spans="1:19">
      <c r="A37" s="7">
        <v>31</v>
      </c>
      <c r="G37" s="11">
        <f t="shared" si="1"/>
        <v>0</v>
      </c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</row>
    <row r="38" spans="1:19">
      <c r="A38" s="7">
        <v>32</v>
      </c>
      <c r="G38" s="11">
        <f t="shared" si="1"/>
        <v>0</v>
      </c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</row>
    <row r="39" spans="1:19">
      <c r="A39" s="7">
        <v>33</v>
      </c>
      <c r="G39" s="11">
        <f t="shared" ref="G39:G70" si="2">+SUM(H39:S39)</f>
        <v>0</v>
      </c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</row>
    <row r="40" spans="1:19">
      <c r="A40" s="7">
        <v>34</v>
      </c>
      <c r="G40" s="11">
        <f t="shared" si="2"/>
        <v>0</v>
      </c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</row>
    <row r="41" spans="1:19">
      <c r="A41" s="7">
        <v>35</v>
      </c>
      <c r="G41" s="11">
        <f t="shared" si="2"/>
        <v>0</v>
      </c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</row>
    <row r="42" spans="1:19">
      <c r="A42" s="7">
        <v>36</v>
      </c>
      <c r="G42" s="11">
        <f t="shared" si="2"/>
        <v>0</v>
      </c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</row>
    <row r="43" spans="1:19">
      <c r="A43" s="7">
        <v>37</v>
      </c>
      <c r="G43" s="11">
        <f t="shared" si="2"/>
        <v>0</v>
      </c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</row>
    <row r="44" spans="1:19">
      <c r="A44" s="7">
        <v>38</v>
      </c>
      <c r="G44" s="11">
        <f t="shared" si="2"/>
        <v>0</v>
      </c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</row>
    <row r="45" spans="1:19">
      <c r="A45" s="7">
        <v>39</v>
      </c>
      <c r="G45" s="11">
        <f t="shared" si="2"/>
        <v>0</v>
      </c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</row>
    <row r="46" spans="1:19">
      <c r="A46" s="7">
        <v>40</v>
      </c>
      <c r="G46" s="11">
        <f t="shared" si="2"/>
        <v>0</v>
      </c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</row>
    <row r="47" spans="1:19">
      <c r="A47" s="7">
        <v>41</v>
      </c>
      <c r="G47" s="11">
        <f t="shared" si="2"/>
        <v>0</v>
      </c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</row>
    <row r="48" spans="1:19">
      <c r="A48" s="7">
        <v>42</v>
      </c>
      <c r="G48" s="11">
        <f t="shared" si="2"/>
        <v>0</v>
      </c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</row>
    <row r="49" spans="1:19">
      <c r="A49" s="7">
        <v>43</v>
      </c>
      <c r="G49" s="11">
        <f t="shared" si="2"/>
        <v>0</v>
      </c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</row>
    <row r="50" spans="1:19">
      <c r="A50" s="7">
        <v>44</v>
      </c>
      <c r="G50" s="11">
        <f t="shared" si="2"/>
        <v>0</v>
      </c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</row>
    <row r="51" spans="1:19">
      <c r="A51" s="7">
        <v>45</v>
      </c>
      <c r="G51" s="11">
        <f t="shared" si="2"/>
        <v>0</v>
      </c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</row>
    <row r="52" spans="1:19">
      <c r="A52" s="7">
        <v>46</v>
      </c>
      <c r="G52" s="11">
        <f t="shared" si="2"/>
        <v>0</v>
      </c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</row>
    <row r="53" spans="1:19">
      <c r="A53" s="7">
        <v>47</v>
      </c>
      <c r="G53" s="11">
        <f t="shared" si="2"/>
        <v>0</v>
      </c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</row>
    <row r="54" spans="1:19">
      <c r="A54" s="7">
        <v>48</v>
      </c>
      <c r="G54" s="11">
        <f t="shared" si="2"/>
        <v>0</v>
      </c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</row>
    <row r="55" spans="1:19">
      <c r="A55" s="7">
        <v>49</v>
      </c>
      <c r="G55" s="11">
        <f t="shared" si="2"/>
        <v>0</v>
      </c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</row>
    <row r="56" spans="1:19">
      <c r="A56" s="7">
        <v>50</v>
      </c>
      <c r="G56" s="11">
        <f t="shared" si="2"/>
        <v>0</v>
      </c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</row>
    <row r="57" spans="1:19">
      <c r="A57" s="7">
        <v>51</v>
      </c>
      <c r="G57" s="11">
        <f t="shared" si="2"/>
        <v>0</v>
      </c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</row>
    <row r="58" spans="1:19">
      <c r="A58" s="7">
        <v>52</v>
      </c>
      <c r="G58" s="11">
        <f t="shared" si="2"/>
        <v>0</v>
      </c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</row>
    <row r="59" spans="1:19">
      <c r="A59" s="7">
        <v>53</v>
      </c>
      <c r="G59" s="11">
        <f t="shared" si="2"/>
        <v>0</v>
      </c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</row>
    <row r="60" spans="1:19">
      <c r="A60" s="7">
        <v>54</v>
      </c>
      <c r="G60" s="11">
        <f t="shared" si="2"/>
        <v>0</v>
      </c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</row>
    <row r="61" spans="1:19">
      <c r="A61" s="7">
        <v>55</v>
      </c>
      <c r="G61" s="11">
        <f t="shared" si="2"/>
        <v>0</v>
      </c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</row>
    <row r="62" spans="1:19">
      <c r="A62" s="7">
        <v>56</v>
      </c>
      <c r="G62" s="11">
        <f t="shared" si="2"/>
        <v>0</v>
      </c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</row>
    <row r="63" spans="1:19">
      <c r="A63" s="7">
        <v>57</v>
      </c>
      <c r="G63" s="11">
        <f t="shared" si="2"/>
        <v>0</v>
      </c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</row>
    <row r="64" spans="1:19">
      <c r="A64" s="7">
        <v>58</v>
      </c>
      <c r="G64" s="11">
        <f t="shared" si="2"/>
        <v>0</v>
      </c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</row>
    <row r="65" spans="1:19">
      <c r="A65" s="7">
        <v>59</v>
      </c>
      <c r="G65" s="11">
        <f t="shared" si="2"/>
        <v>0</v>
      </c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</row>
    <row r="66" spans="1:19">
      <c r="A66" s="7">
        <v>60</v>
      </c>
      <c r="G66" s="11">
        <f t="shared" si="2"/>
        <v>0</v>
      </c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</row>
    <row r="67" spans="1:19">
      <c r="A67" s="7">
        <v>61</v>
      </c>
      <c r="G67" s="11">
        <f t="shared" si="2"/>
        <v>0</v>
      </c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</row>
    <row r="68" spans="1:19">
      <c r="A68" s="7">
        <v>62</v>
      </c>
      <c r="G68" s="11">
        <f t="shared" si="2"/>
        <v>0</v>
      </c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</row>
    <row r="69" spans="1:19">
      <c r="A69" s="7">
        <v>63</v>
      </c>
      <c r="G69" s="11">
        <f t="shared" si="2"/>
        <v>0</v>
      </c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</row>
    <row r="70" spans="1:19">
      <c r="A70" s="7">
        <v>64</v>
      </c>
      <c r="G70" s="11">
        <f t="shared" si="2"/>
        <v>0</v>
      </c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</row>
    <row r="71" spans="1:19">
      <c r="A71" s="7">
        <v>65</v>
      </c>
      <c r="G71" s="11">
        <f t="shared" ref="G71:G102" si="3">+SUM(H71:S71)</f>
        <v>0</v>
      </c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</row>
    <row r="72" spans="1:19">
      <c r="A72" s="7">
        <v>66</v>
      </c>
      <c r="G72" s="11">
        <f t="shared" si="3"/>
        <v>0</v>
      </c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</row>
    <row r="73" spans="1:19">
      <c r="A73" s="7">
        <v>67</v>
      </c>
      <c r="G73" s="11">
        <f t="shared" si="3"/>
        <v>0</v>
      </c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</row>
    <row r="74" spans="1:19">
      <c r="A74" s="7">
        <v>68</v>
      </c>
      <c r="G74" s="11">
        <f t="shared" si="3"/>
        <v>0</v>
      </c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</row>
    <row r="75" spans="1:19">
      <c r="A75" s="7">
        <v>69</v>
      </c>
      <c r="G75" s="11">
        <f t="shared" si="3"/>
        <v>0</v>
      </c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</row>
    <row r="76" spans="1:19">
      <c r="A76" s="7">
        <v>70</v>
      </c>
      <c r="G76" s="11">
        <f t="shared" si="3"/>
        <v>0</v>
      </c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</row>
    <row r="77" spans="1:19">
      <c r="A77" s="7">
        <v>71</v>
      </c>
      <c r="G77" s="11">
        <f t="shared" si="3"/>
        <v>0</v>
      </c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</row>
    <row r="78" spans="1:19">
      <c r="A78" s="7">
        <v>72</v>
      </c>
      <c r="G78" s="11">
        <f t="shared" si="3"/>
        <v>0</v>
      </c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</row>
    <row r="79" spans="1:19">
      <c r="A79" s="7">
        <v>73</v>
      </c>
      <c r="G79" s="11">
        <f t="shared" si="3"/>
        <v>0</v>
      </c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</row>
    <row r="80" spans="1:19">
      <c r="A80" s="7">
        <v>74</v>
      </c>
      <c r="G80" s="11">
        <f t="shared" si="3"/>
        <v>0</v>
      </c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</row>
    <row r="81" spans="1:19">
      <c r="A81" s="7">
        <v>75</v>
      </c>
      <c r="G81" s="11">
        <f t="shared" si="3"/>
        <v>0</v>
      </c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</row>
    <row r="82" spans="1:19">
      <c r="A82" s="7">
        <v>76</v>
      </c>
      <c r="G82" s="11">
        <f t="shared" si="3"/>
        <v>0</v>
      </c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</row>
    <row r="83" spans="1:19">
      <c r="A83" s="7">
        <v>77</v>
      </c>
      <c r="G83" s="11">
        <f t="shared" si="3"/>
        <v>0</v>
      </c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</row>
    <row r="84" spans="1:19">
      <c r="A84" s="7">
        <v>78</v>
      </c>
      <c r="G84" s="11">
        <f t="shared" si="3"/>
        <v>0</v>
      </c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</row>
    <row r="85" spans="1:19">
      <c r="A85" s="7">
        <v>79</v>
      </c>
      <c r="G85" s="11">
        <f t="shared" si="3"/>
        <v>0</v>
      </c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</row>
    <row r="86" spans="1:19">
      <c r="A86" s="7">
        <v>80</v>
      </c>
      <c r="G86" s="11">
        <f t="shared" si="3"/>
        <v>0</v>
      </c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</row>
    <row r="87" spans="1:19">
      <c r="A87" s="7">
        <v>81</v>
      </c>
      <c r="G87" s="11">
        <f t="shared" si="3"/>
        <v>0</v>
      </c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</row>
    <row r="88" spans="1:19">
      <c r="A88" s="7">
        <v>82</v>
      </c>
      <c r="G88" s="11">
        <f t="shared" si="3"/>
        <v>0</v>
      </c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</row>
    <row r="89" spans="1:19">
      <c r="A89" s="7">
        <v>83</v>
      </c>
      <c r="G89" s="11">
        <f t="shared" si="3"/>
        <v>0</v>
      </c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</row>
    <row r="90" spans="1:19">
      <c r="A90" s="7">
        <v>84</v>
      </c>
      <c r="G90" s="11">
        <f t="shared" si="3"/>
        <v>0</v>
      </c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</row>
    <row r="91" spans="1:19">
      <c r="A91" s="7">
        <v>85</v>
      </c>
      <c r="G91" s="11">
        <f t="shared" si="3"/>
        <v>0</v>
      </c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</row>
    <row r="92" spans="1:19">
      <c r="A92" s="7">
        <v>86</v>
      </c>
      <c r="G92" s="11">
        <f t="shared" si="3"/>
        <v>0</v>
      </c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</row>
    <row r="93" spans="1:19">
      <c r="A93" s="7">
        <v>87</v>
      </c>
      <c r="G93" s="11">
        <f t="shared" si="3"/>
        <v>0</v>
      </c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</row>
    <row r="94" spans="1:19">
      <c r="A94" s="7">
        <v>88</v>
      </c>
      <c r="G94" s="11">
        <f t="shared" si="3"/>
        <v>0</v>
      </c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</row>
    <row r="95" spans="1:19">
      <c r="A95" s="7">
        <v>89</v>
      </c>
      <c r="G95" s="11">
        <f t="shared" si="3"/>
        <v>0</v>
      </c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</row>
    <row r="96" spans="1:19">
      <c r="A96" s="7">
        <v>90</v>
      </c>
      <c r="G96" s="11">
        <f t="shared" si="3"/>
        <v>0</v>
      </c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</row>
    <row r="97" spans="1:19">
      <c r="A97" s="7">
        <v>91</v>
      </c>
      <c r="G97" s="11">
        <f t="shared" si="3"/>
        <v>0</v>
      </c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</row>
    <row r="98" spans="1:19">
      <c r="A98" s="7">
        <v>92</v>
      </c>
      <c r="G98" s="11">
        <f t="shared" si="3"/>
        <v>0</v>
      </c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</row>
    <row r="99" spans="1:19">
      <c r="A99" s="7">
        <v>93</v>
      </c>
      <c r="G99" s="11">
        <f t="shared" si="3"/>
        <v>0</v>
      </c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</row>
    <row r="100" spans="1:19">
      <c r="A100" s="7">
        <v>94</v>
      </c>
      <c r="G100" s="11">
        <f t="shared" si="3"/>
        <v>0</v>
      </c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</row>
    <row r="101" spans="1:19">
      <c r="A101" s="7">
        <v>95</v>
      </c>
      <c r="G101" s="11">
        <f t="shared" si="3"/>
        <v>0</v>
      </c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</row>
    <row r="102" spans="1:19">
      <c r="A102" s="7">
        <v>96</v>
      </c>
      <c r="G102" s="11">
        <f t="shared" si="3"/>
        <v>0</v>
      </c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</row>
    <row r="103" spans="1:19">
      <c r="A103" s="7">
        <v>97</v>
      </c>
      <c r="G103" s="11">
        <f t="shared" ref="G103:G105" si="4">+SUM(H103:S103)</f>
        <v>0</v>
      </c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</row>
    <row r="104" spans="1:19">
      <c r="A104" s="7">
        <v>98</v>
      </c>
      <c r="G104" s="11">
        <f t="shared" si="4"/>
        <v>0</v>
      </c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</row>
    <row r="105" spans="1:19">
      <c r="A105" s="7">
        <v>99</v>
      </c>
      <c r="G105" s="11">
        <f t="shared" si="4"/>
        <v>0</v>
      </c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</row>
  </sheetData>
  <mergeCells count="5">
    <mergeCell ref="A5:S5"/>
    <mergeCell ref="A1:S1"/>
    <mergeCell ref="A2:S2"/>
    <mergeCell ref="A3:B3"/>
    <mergeCell ref="A4:B4"/>
  </mergeCells>
  <dataValidations count="1">
    <dataValidation type="list" allowBlank="1" showInputMessage="1" showErrorMessage="1" sqref="E7:E105" xr:uid="{D119BEA9-CE93-41B6-A73B-43F98DFE47E9}">
      <formula1>INDIRECT(D7)</formula1>
    </dataValidation>
  </dataValidations>
  <pageMargins left="0.7" right="0.7" top="0.75" bottom="0.75" header="0.3" footer="0.3"/>
  <pageSetup scale="42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FDA8296F-CE8D-4CED-895A-27F0F7CB94C6}">
          <x14:formula1>
            <xm:f>INPUT!$A$2:$A$9</xm:f>
          </x14:formula1>
          <xm:sqref>F4</xm:sqref>
        </x14:dataValidation>
        <x14:dataValidation type="list" allowBlank="1" showInputMessage="1" showErrorMessage="1" xr:uid="{6D19DCCC-F869-47A3-B6AA-A3613466159E}">
          <x14:formula1>
            <xm:f>INPUT!$C$2:$C$7</xm:f>
          </x14:formula1>
          <xm:sqref>C34:C60 C8:C14 B7:B60</xm:sqref>
        </x14:dataValidation>
        <x14:dataValidation type="list" allowBlank="1" showInputMessage="1" showErrorMessage="1" xr:uid="{9BDAF362-59D1-47BC-87FA-5B908DDE3129}">
          <x14:formula1>
            <xm:f>INPUT!$B$2:$B$10</xm:f>
          </x14:formula1>
          <xm:sqref>F3</xm:sqref>
        </x14:dataValidation>
        <x14:dataValidation type="list" allowBlank="1" showInputMessage="1" showErrorMessage="1" xr:uid="{B2443CE6-82C8-449F-9BFB-B4C7CAC33FF2}">
          <x14:formula1>
            <xm:f>Categorías!$G$1:$Q$1</xm:f>
          </x14:formula1>
          <xm:sqref>D7:D105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346E9E-CE16-4BEA-83CF-81397C367D2E}">
  <sheetPr codeName="Hoja13">
    <tabColor theme="3"/>
  </sheetPr>
  <dimension ref="A1:T107"/>
  <sheetViews>
    <sheetView zoomScale="80" zoomScaleNormal="80" workbookViewId="0">
      <selection activeCell="E32" sqref="E32"/>
    </sheetView>
  </sheetViews>
  <sheetFormatPr defaultColWidth="0" defaultRowHeight="12.95"/>
  <cols>
    <col min="1" max="1" width="4.28515625" style="2" customWidth="1"/>
    <col min="2" max="2" width="12.42578125" style="2" bestFit="1" customWidth="1"/>
    <col min="3" max="3" width="12.42578125" style="2" customWidth="1"/>
    <col min="4" max="4" width="21.42578125" style="2" bestFit="1" customWidth="1"/>
    <col min="5" max="5" width="23" style="2" bestFit="1" customWidth="1"/>
    <col min="6" max="6" width="47.5703125" style="2" customWidth="1"/>
    <col min="7" max="7" width="13" style="2" customWidth="1"/>
    <col min="8" max="19" width="11.5703125" style="2" bestFit="1" customWidth="1"/>
    <col min="20" max="20" width="0" style="2" hidden="1" customWidth="1"/>
    <col min="21" max="16384" width="11.5703125" style="2" hidden="1"/>
  </cols>
  <sheetData>
    <row r="1" spans="1:20" ht="23.45">
      <c r="A1" s="97" t="s">
        <v>205</v>
      </c>
      <c r="B1" s="97"/>
      <c r="C1" s="97"/>
      <c r="D1" s="97"/>
      <c r="E1" s="97"/>
      <c r="F1" s="97"/>
      <c r="G1" s="97"/>
      <c r="H1" s="97"/>
      <c r="I1" s="97"/>
      <c r="J1" s="97"/>
      <c r="K1" s="97"/>
      <c r="L1" s="97"/>
      <c r="M1" s="97"/>
      <c r="N1" s="97"/>
      <c r="O1" s="97"/>
      <c r="P1" s="97"/>
      <c r="Q1" s="97"/>
      <c r="R1" s="97"/>
      <c r="S1" s="97"/>
    </row>
    <row r="2" spans="1:20" ht="6" customHeight="1">
      <c r="A2" s="96"/>
      <c r="B2" s="96"/>
      <c r="C2" s="96"/>
      <c r="D2" s="96"/>
      <c r="E2" s="96"/>
      <c r="F2" s="96"/>
      <c r="G2" s="96"/>
      <c r="H2" s="96"/>
      <c r="I2" s="96"/>
      <c r="J2" s="96"/>
      <c r="K2" s="96"/>
      <c r="L2" s="96"/>
      <c r="M2" s="96"/>
      <c r="N2" s="96"/>
      <c r="O2" s="96"/>
      <c r="P2" s="96"/>
      <c r="Q2" s="96"/>
      <c r="R2" s="96"/>
      <c r="S2" s="96"/>
    </row>
    <row r="3" spans="1:20" ht="14.65" customHeight="1">
      <c r="A3" s="98" t="s">
        <v>129</v>
      </c>
      <c r="B3" s="98"/>
      <c r="C3" s="6"/>
      <c r="D3" s="6"/>
      <c r="E3" s="6"/>
      <c r="F3" s="2" t="s">
        <v>143</v>
      </c>
      <c r="G3" s="4" t="s">
        <v>206</v>
      </c>
      <c r="H3" s="5">
        <v>46023</v>
      </c>
      <c r="I3" s="5">
        <v>46054</v>
      </c>
      <c r="J3" s="5">
        <v>46082</v>
      </c>
      <c r="K3" s="5">
        <v>46113</v>
      </c>
      <c r="L3" s="5">
        <v>46143</v>
      </c>
      <c r="M3" s="5">
        <v>46174</v>
      </c>
      <c r="N3" s="5">
        <v>46204</v>
      </c>
      <c r="O3" s="5">
        <v>46235</v>
      </c>
      <c r="P3" s="5">
        <v>46266</v>
      </c>
      <c r="Q3" s="5">
        <v>46296</v>
      </c>
      <c r="R3" s="5">
        <v>46327</v>
      </c>
      <c r="S3" s="5">
        <v>46357</v>
      </c>
    </row>
    <row r="4" spans="1:20" ht="14.65" customHeight="1">
      <c r="A4" s="98" t="s">
        <v>207</v>
      </c>
      <c r="B4" s="98"/>
      <c r="C4" s="6"/>
      <c r="D4" s="6"/>
      <c r="E4" s="6"/>
      <c r="G4" s="20">
        <f t="shared" ref="G4:S4" si="0">+SUM(G7:G106)</f>
        <v>0</v>
      </c>
      <c r="H4" s="12">
        <f t="shared" si="0"/>
        <v>0</v>
      </c>
      <c r="I4" s="12">
        <f t="shared" si="0"/>
        <v>0</v>
      </c>
      <c r="J4" s="12">
        <f t="shared" si="0"/>
        <v>0</v>
      </c>
      <c r="K4" s="12">
        <f t="shared" si="0"/>
        <v>0</v>
      </c>
      <c r="L4" s="12">
        <f t="shared" si="0"/>
        <v>0</v>
      </c>
      <c r="M4" s="12">
        <f t="shared" si="0"/>
        <v>0</v>
      </c>
      <c r="N4" s="12">
        <f t="shared" si="0"/>
        <v>0</v>
      </c>
      <c r="O4" s="12">
        <f t="shared" si="0"/>
        <v>0</v>
      </c>
      <c r="P4" s="12">
        <f t="shared" si="0"/>
        <v>0</v>
      </c>
      <c r="Q4" s="12">
        <f t="shared" si="0"/>
        <v>0</v>
      </c>
      <c r="R4" s="12">
        <f t="shared" si="0"/>
        <v>0</v>
      </c>
      <c r="S4" s="12">
        <f t="shared" si="0"/>
        <v>0</v>
      </c>
    </row>
    <row r="5" spans="1:20" ht="5.65" customHeight="1">
      <c r="A5" s="96"/>
      <c r="B5" s="96"/>
      <c r="C5" s="96"/>
      <c r="D5" s="96"/>
      <c r="E5" s="96"/>
      <c r="F5" s="96"/>
      <c r="G5" s="96"/>
      <c r="H5" s="96"/>
      <c r="I5" s="96"/>
      <c r="J5" s="96"/>
      <c r="K5" s="96"/>
      <c r="L5" s="96"/>
      <c r="M5" s="96"/>
      <c r="N5" s="96"/>
      <c r="O5" s="96"/>
      <c r="P5" s="96"/>
      <c r="Q5" s="96"/>
      <c r="R5" s="96"/>
      <c r="S5" s="96"/>
    </row>
    <row r="6" spans="1:20">
      <c r="A6" s="4" t="s">
        <v>208</v>
      </c>
      <c r="B6" s="4" t="s">
        <v>153</v>
      </c>
      <c r="C6" s="4" t="s">
        <v>209</v>
      </c>
      <c r="D6" s="4" t="s">
        <v>210</v>
      </c>
      <c r="E6" s="4" t="s">
        <v>1</v>
      </c>
      <c r="F6" s="4" t="s">
        <v>211</v>
      </c>
      <c r="G6" s="4" t="s">
        <v>206</v>
      </c>
      <c r="H6" s="5" t="s">
        <v>212</v>
      </c>
      <c r="I6" s="5" t="s">
        <v>213</v>
      </c>
      <c r="J6" s="5" t="s">
        <v>214</v>
      </c>
      <c r="K6" s="5" t="s">
        <v>215</v>
      </c>
      <c r="L6" s="5" t="s">
        <v>216</v>
      </c>
      <c r="M6" s="5" t="s">
        <v>217</v>
      </c>
      <c r="N6" s="5" t="s">
        <v>218</v>
      </c>
      <c r="O6" s="5" t="s">
        <v>219</v>
      </c>
      <c r="P6" s="5" t="s">
        <v>220</v>
      </c>
      <c r="Q6" s="5" t="s">
        <v>221</v>
      </c>
      <c r="R6" s="5" t="s">
        <v>222</v>
      </c>
      <c r="S6" s="5" t="s">
        <v>223</v>
      </c>
      <c r="T6" s="3"/>
    </row>
    <row r="7" spans="1:20">
      <c r="A7" s="7">
        <v>1</v>
      </c>
      <c r="G7" s="11">
        <f t="shared" ref="G7:G38" si="1">+SUM(H7:S7)</f>
        <v>0</v>
      </c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</row>
    <row r="8" spans="1:20">
      <c r="A8" s="7">
        <v>2</v>
      </c>
      <c r="G8" s="11">
        <f t="shared" si="1"/>
        <v>0</v>
      </c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</row>
    <row r="9" spans="1:20">
      <c r="A9" s="7">
        <v>3</v>
      </c>
      <c r="G9" s="11">
        <f t="shared" si="1"/>
        <v>0</v>
      </c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</row>
    <row r="10" spans="1:20">
      <c r="A10" s="7">
        <v>4</v>
      </c>
      <c r="G10" s="11">
        <f t="shared" si="1"/>
        <v>0</v>
      </c>
    </row>
    <row r="11" spans="1:20">
      <c r="A11" s="7">
        <v>5</v>
      </c>
      <c r="G11" s="11">
        <f t="shared" si="1"/>
        <v>0</v>
      </c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</row>
    <row r="12" spans="1:20">
      <c r="A12" s="7">
        <v>6</v>
      </c>
      <c r="G12" s="11">
        <f t="shared" si="1"/>
        <v>0</v>
      </c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</row>
    <row r="13" spans="1:20">
      <c r="A13" s="7">
        <v>7</v>
      </c>
      <c r="G13" s="11">
        <f t="shared" si="1"/>
        <v>0</v>
      </c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</row>
    <row r="14" spans="1:20">
      <c r="A14" s="7">
        <v>8</v>
      </c>
      <c r="G14" s="11">
        <f t="shared" si="1"/>
        <v>0</v>
      </c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</row>
    <row r="15" spans="1:20">
      <c r="A15" s="7">
        <v>9</v>
      </c>
      <c r="G15" s="11">
        <f t="shared" si="1"/>
        <v>0</v>
      </c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</row>
    <row r="16" spans="1:20">
      <c r="A16" s="7">
        <v>10</v>
      </c>
      <c r="G16" s="11">
        <f t="shared" si="1"/>
        <v>0</v>
      </c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</row>
    <row r="17" spans="1:19">
      <c r="A17" s="7">
        <v>11</v>
      </c>
      <c r="G17" s="11">
        <f t="shared" si="1"/>
        <v>0</v>
      </c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</row>
    <row r="18" spans="1:19">
      <c r="A18" s="7">
        <v>12</v>
      </c>
      <c r="G18" s="11">
        <f t="shared" si="1"/>
        <v>0</v>
      </c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</row>
    <row r="19" spans="1:19">
      <c r="A19" s="7">
        <v>13</v>
      </c>
      <c r="G19" s="11">
        <f t="shared" si="1"/>
        <v>0</v>
      </c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</row>
    <row r="20" spans="1:19">
      <c r="A20" s="7">
        <v>14</v>
      </c>
      <c r="G20" s="11">
        <f t="shared" si="1"/>
        <v>0</v>
      </c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</row>
    <row r="21" spans="1:19">
      <c r="A21" s="7">
        <v>15</v>
      </c>
      <c r="G21" s="11">
        <f t="shared" si="1"/>
        <v>0</v>
      </c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</row>
    <row r="22" spans="1:19">
      <c r="A22" s="7">
        <v>16</v>
      </c>
      <c r="G22" s="11">
        <f t="shared" si="1"/>
        <v>0</v>
      </c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</row>
    <row r="23" spans="1:19">
      <c r="A23" s="7">
        <v>17</v>
      </c>
      <c r="G23" s="11">
        <f t="shared" si="1"/>
        <v>0</v>
      </c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</row>
    <row r="24" spans="1:19">
      <c r="A24" s="7">
        <v>18</v>
      </c>
      <c r="G24" s="11">
        <f t="shared" si="1"/>
        <v>0</v>
      </c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</row>
    <row r="25" spans="1:19">
      <c r="A25" s="7">
        <v>19</v>
      </c>
      <c r="G25" s="11">
        <f t="shared" si="1"/>
        <v>0</v>
      </c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</row>
    <row r="26" spans="1:19">
      <c r="A26" s="7">
        <v>20</v>
      </c>
      <c r="G26" s="11">
        <f t="shared" si="1"/>
        <v>0</v>
      </c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</row>
    <row r="27" spans="1:19">
      <c r="A27" s="7">
        <v>21</v>
      </c>
      <c r="G27" s="11">
        <f t="shared" si="1"/>
        <v>0</v>
      </c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</row>
    <row r="28" spans="1:19">
      <c r="A28" s="7">
        <v>22</v>
      </c>
      <c r="G28" s="11">
        <f t="shared" si="1"/>
        <v>0</v>
      </c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</row>
    <row r="29" spans="1:19">
      <c r="A29" s="7">
        <v>23</v>
      </c>
      <c r="G29" s="11">
        <f t="shared" si="1"/>
        <v>0</v>
      </c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</row>
    <row r="30" spans="1:19">
      <c r="A30" s="7">
        <v>24</v>
      </c>
      <c r="G30" s="11">
        <f t="shared" si="1"/>
        <v>0</v>
      </c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</row>
    <row r="31" spans="1:19">
      <c r="A31" s="7">
        <v>25</v>
      </c>
      <c r="G31" s="11">
        <f t="shared" si="1"/>
        <v>0</v>
      </c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</row>
    <row r="32" spans="1:19">
      <c r="A32" s="7">
        <v>26</v>
      </c>
      <c r="G32" s="11">
        <f t="shared" si="1"/>
        <v>0</v>
      </c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</row>
    <row r="33" spans="1:19">
      <c r="A33" s="7">
        <v>27</v>
      </c>
      <c r="G33" s="11">
        <f t="shared" si="1"/>
        <v>0</v>
      </c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</row>
    <row r="34" spans="1:19">
      <c r="A34" s="7">
        <v>28</v>
      </c>
      <c r="G34" s="11">
        <f t="shared" si="1"/>
        <v>0</v>
      </c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</row>
    <row r="35" spans="1:19">
      <c r="A35" s="7">
        <v>29</v>
      </c>
      <c r="G35" s="11">
        <f t="shared" si="1"/>
        <v>0</v>
      </c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</row>
    <row r="36" spans="1:19">
      <c r="A36" s="7">
        <v>30</v>
      </c>
      <c r="G36" s="11">
        <f t="shared" si="1"/>
        <v>0</v>
      </c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</row>
    <row r="37" spans="1:19">
      <c r="A37" s="7">
        <v>31</v>
      </c>
      <c r="G37" s="11">
        <f t="shared" si="1"/>
        <v>0</v>
      </c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</row>
    <row r="38" spans="1:19">
      <c r="A38" s="7">
        <v>32</v>
      </c>
      <c r="G38" s="11">
        <f t="shared" si="1"/>
        <v>0</v>
      </c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</row>
    <row r="39" spans="1:19">
      <c r="A39" s="7">
        <v>33</v>
      </c>
      <c r="G39" s="11">
        <f t="shared" ref="G39:G70" si="2">+SUM(H39:S39)</f>
        <v>0</v>
      </c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</row>
    <row r="40" spans="1:19">
      <c r="A40" s="7">
        <v>34</v>
      </c>
      <c r="G40" s="11">
        <f t="shared" si="2"/>
        <v>0</v>
      </c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</row>
    <row r="41" spans="1:19">
      <c r="A41" s="7">
        <v>35</v>
      </c>
      <c r="G41" s="11">
        <f t="shared" si="2"/>
        <v>0</v>
      </c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</row>
    <row r="42" spans="1:19">
      <c r="A42" s="7">
        <v>36</v>
      </c>
      <c r="G42" s="11">
        <f t="shared" si="2"/>
        <v>0</v>
      </c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</row>
    <row r="43" spans="1:19">
      <c r="A43" s="7">
        <v>37</v>
      </c>
      <c r="G43" s="11">
        <f t="shared" si="2"/>
        <v>0</v>
      </c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</row>
    <row r="44" spans="1:19">
      <c r="A44" s="7">
        <v>38</v>
      </c>
      <c r="G44" s="11">
        <f t="shared" si="2"/>
        <v>0</v>
      </c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</row>
    <row r="45" spans="1:19">
      <c r="A45" s="7">
        <v>39</v>
      </c>
      <c r="G45" s="11">
        <f t="shared" si="2"/>
        <v>0</v>
      </c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</row>
    <row r="46" spans="1:19">
      <c r="A46" s="7">
        <v>40</v>
      </c>
      <c r="G46" s="11">
        <f t="shared" si="2"/>
        <v>0</v>
      </c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</row>
    <row r="47" spans="1:19">
      <c r="A47" s="7">
        <v>41</v>
      </c>
      <c r="G47" s="11">
        <f t="shared" si="2"/>
        <v>0</v>
      </c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</row>
    <row r="48" spans="1:19">
      <c r="A48" s="7">
        <v>42</v>
      </c>
      <c r="G48" s="11">
        <f t="shared" si="2"/>
        <v>0</v>
      </c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</row>
    <row r="49" spans="1:19">
      <c r="A49" s="7">
        <v>43</v>
      </c>
      <c r="G49" s="11">
        <f t="shared" si="2"/>
        <v>0</v>
      </c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</row>
    <row r="50" spans="1:19">
      <c r="A50" s="7">
        <v>44</v>
      </c>
      <c r="G50" s="11">
        <f t="shared" si="2"/>
        <v>0</v>
      </c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</row>
    <row r="51" spans="1:19">
      <c r="A51" s="7">
        <v>45</v>
      </c>
      <c r="G51" s="11">
        <f t="shared" si="2"/>
        <v>0</v>
      </c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</row>
    <row r="52" spans="1:19">
      <c r="A52" s="7">
        <v>46</v>
      </c>
      <c r="G52" s="11">
        <f t="shared" si="2"/>
        <v>0</v>
      </c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</row>
    <row r="53" spans="1:19">
      <c r="A53" s="7">
        <v>47</v>
      </c>
      <c r="G53" s="11">
        <f t="shared" si="2"/>
        <v>0</v>
      </c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</row>
    <row r="54" spans="1:19">
      <c r="A54" s="7">
        <v>48</v>
      </c>
      <c r="G54" s="11">
        <f t="shared" si="2"/>
        <v>0</v>
      </c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</row>
    <row r="55" spans="1:19">
      <c r="A55" s="7">
        <v>49</v>
      </c>
      <c r="G55" s="11">
        <f t="shared" si="2"/>
        <v>0</v>
      </c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</row>
    <row r="56" spans="1:19">
      <c r="A56" s="7">
        <v>50</v>
      </c>
      <c r="G56" s="11">
        <f t="shared" si="2"/>
        <v>0</v>
      </c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</row>
    <row r="57" spans="1:19">
      <c r="A57" s="7">
        <v>51</v>
      </c>
      <c r="G57" s="11">
        <f t="shared" si="2"/>
        <v>0</v>
      </c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</row>
    <row r="58" spans="1:19">
      <c r="A58" s="7">
        <v>52</v>
      </c>
      <c r="G58" s="11">
        <f t="shared" si="2"/>
        <v>0</v>
      </c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</row>
    <row r="59" spans="1:19">
      <c r="A59" s="7">
        <v>53</v>
      </c>
      <c r="G59" s="11">
        <f t="shared" si="2"/>
        <v>0</v>
      </c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</row>
    <row r="60" spans="1:19">
      <c r="A60" s="7">
        <v>54</v>
      </c>
      <c r="G60" s="11">
        <f t="shared" si="2"/>
        <v>0</v>
      </c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</row>
    <row r="61" spans="1:19">
      <c r="A61" s="7">
        <v>55</v>
      </c>
      <c r="G61" s="11">
        <f t="shared" si="2"/>
        <v>0</v>
      </c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</row>
    <row r="62" spans="1:19">
      <c r="A62" s="7">
        <v>56</v>
      </c>
      <c r="G62" s="11">
        <f t="shared" si="2"/>
        <v>0</v>
      </c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</row>
    <row r="63" spans="1:19">
      <c r="A63" s="7">
        <v>57</v>
      </c>
      <c r="G63" s="11">
        <f t="shared" si="2"/>
        <v>0</v>
      </c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</row>
    <row r="64" spans="1:19">
      <c r="A64" s="7">
        <v>58</v>
      </c>
      <c r="G64" s="11">
        <f t="shared" si="2"/>
        <v>0</v>
      </c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</row>
    <row r="65" spans="1:19">
      <c r="A65" s="7">
        <v>59</v>
      </c>
      <c r="G65" s="11">
        <f t="shared" si="2"/>
        <v>0</v>
      </c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</row>
    <row r="66" spans="1:19">
      <c r="A66" s="7">
        <v>60</v>
      </c>
      <c r="G66" s="11">
        <f t="shared" si="2"/>
        <v>0</v>
      </c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</row>
    <row r="67" spans="1:19">
      <c r="A67" s="7">
        <v>61</v>
      </c>
      <c r="G67" s="11">
        <f t="shared" si="2"/>
        <v>0</v>
      </c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</row>
    <row r="68" spans="1:19">
      <c r="A68" s="7">
        <v>62</v>
      </c>
      <c r="G68" s="11">
        <f t="shared" si="2"/>
        <v>0</v>
      </c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</row>
    <row r="69" spans="1:19">
      <c r="A69" s="7">
        <v>63</v>
      </c>
      <c r="G69" s="11">
        <f t="shared" si="2"/>
        <v>0</v>
      </c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</row>
    <row r="70" spans="1:19">
      <c r="A70" s="7">
        <v>64</v>
      </c>
      <c r="G70" s="11">
        <f t="shared" si="2"/>
        <v>0</v>
      </c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</row>
    <row r="71" spans="1:19">
      <c r="A71" s="7">
        <v>65</v>
      </c>
      <c r="G71" s="11">
        <f t="shared" ref="G71" si="3">+SUM(H71:S71)</f>
        <v>0</v>
      </c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</row>
    <row r="72" spans="1:19">
      <c r="A72" s="7">
        <v>66</v>
      </c>
      <c r="G72" s="11">
        <f t="shared" ref="G72:G106" si="4">+SUM(H72:S72)</f>
        <v>0</v>
      </c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</row>
    <row r="73" spans="1:19">
      <c r="A73" s="7">
        <v>67</v>
      </c>
      <c r="G73" s="11">
        <f t="shared" si="4"/>
        <v>0</v>
      </c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</row>
    <row r="74" spans="1:19">
      <c r="A74" s="7">
        <v>68</v>
      </c>
      <c r="G74" s="11">
        <f t="shared" si="4"/>
        <v>0</v>
      </c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</row>
    <row r="75" spans="1:19">
      <c r="A75" s="7">
        <v>69</v>
      </c>
      <c r="G75" s="11">
        <f t="shared" si="4"/>
        <v>0</v>
      </c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</row>
    <row r="76" spans="1:19">
      <c r="A76" s="7">
        <v>70</v>
      </c>
      <c r="G76" s="11">
        <f t="shared" si="4"/>
        <v>0</v>
      </c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</row>
    <row r="77" spans="1:19">
      <c r="A77" s="7">
        <v>71</v>
      </c>
      <c r="G77" s="11">
        <f t="shared" si="4"/>
        <v>0</v>
      </c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</row>
    <row r="78" spans="1:19">
      <c r="A78" s="7">
        <v>72</v>
      </c>
      <c r="G78" s="11">
        <f t="shared" si="4"/>
        <v>0</v>
      </c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</row>
    <row r="79" spans="1:19">
      <c r="A79" s="7">
        <v>73</v>
      </c>
      <c r="G79" s="11">
        <f t="shared" si="4"/>
        <v>0</v>
      </c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</row>
    <row r="80" spans="1:19">
      <c r="A80" s="7">
        <v>74</v>
      </c>
      <c r="G80" s="11">
        <f t="shared" si="4"/>
        <v>0</v>
      </c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</row>
    <row r="81" spans="1:19">
      <c r="A81" s="7">
        <v>75</v>
      </c>
      <c r="G81" s="11">
        <f t="shared" si="4"/>
        <v>0</v>
      </c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</row>
    <row r="82" spans="1:19">
      <c r="A82" s="7">
        <v>76</v>
      </c>
      <c r="G82" s="11">
        <f t="shared" si="4"/>
        <v>0</v>
      </c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</row>
    <row r="83" spans="1:19">
      <c r="A83" s="7">
        <v>77</v>
      </c>
      <c r="G83" s="11">
        <f t="shared" si="4"/>
        <v>0</v>
      </c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</row>
    <row r="84" spans="1:19">
      <c r="A84" s="7">
        <v>78</v>
      </c>
      <c r="G84" s="11">
        <f t="shared" si="4"/>
        <v>0</v>
      </c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</row>
    <row r="85" spans="1:19">
      <c r="A85" s="7">
        <v>79</v>
      </c>
      <c r="G85" s="11">
        <f t="shared" si="4"/>
        <v>0</v>
      </c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</row>
    <row r="86" spans="1:19">
      <c r="A86" s="7">
        <v>80</v>
      </c>
      <c r="G86" s="11">
        <f t="shared" si="4"/>
        <v>0</v>
      </c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</row>
    <row r="87" spans="1:19">
      <c r="A87" s="7">
        <v>81</v>
      </c>
      <c r="G87" s="11">
        <f t="shared" si="4"/>
        <v>0</v>
      </c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</row>
    <row r="88" spans="1:19">
      <c r="A88" s="7">
        <v>82</v>
      </c>
      <c r="G88" s="11">
        <f t="shared" si="4"/>
        <v>0</v>
      </c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</row>
    <row r="89" spans="1:19">
      <c r="A89" s="7">
        <v>83</v>
      </c>
      <c r="G89" s="11">
        <f t="shared" si="4"/>
        <v>0</v>
      </c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</row>
    <row r="90" spans="1:19">
      <c r="A90" s="7">
        <v>84</v>
      </c>
      <c r="G90" s="11">
        <f t="shared" si="4"/>
        <v>0</v>
      </c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</row>
    <row r="91" spans="1:19">
      <c r="A91" s="7">
        <v>85</v>
      </c>
      <c r="G91" s="11">
        <f t="shared" si="4"/>
        <v>0</v>
      </c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</row>
    <row r="92" spans="1:19">
      <c r="A92" s="7">
        <v>86</v>
      </c>
      <c r="G92" s="11">
        <f t="shared" si="4"/>
        <v>0</v>
      </c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</row>
    <row r="93" spans="1:19">
      <c r="A93" s="7">
        <v>87</v>
      </c>
      <c r="G93" s="11">
        <f t="shared" si="4"/>
        <v>0</v>
      </c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</row>
    <row r="94" spans="1:19">
      <c r="A94" s="7">
        <v>88</v>
      </c>
      <c r="G94" s="11">
        <f t="shared" si="4"/>
        <v>0</v>
      </c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</row>
    <row r="95" spans="1:19">
      <c r="A95" s="7">
        <v>89</v>
      </c>
      <c r="G95" s="11">
        <f t="shared" si="4"/>
        <v>0</v>
      </c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</row>
    <row r="96" spans="1:19">
      <c r="A96" s="7">
        <v>90</v>
      </c>
      <c r="G96" s="11">
        <f t="shared" si="4"/>
        <v>0</v>
      </c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</row>
    <row r="97" spans="1:19">
      <c r="A97" s="7">
        <v>91</v>
      </c>
      <c r="G97" s="11">
        <f t="shared" si="4"/>
        <v>0</v>
      </c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</row>
    <row r="98" spans="1:19">
      <c r="A98" s="7">
        <v>92</v>
      </c>
      <c r="G98" s="11">
        <f t="shared" si="4"/>
        <v>0</v>
      </c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</row>
    <row r="99" spans="1:19">
      <c r="A99" s="7">
        <v>93</v>
      </c>
      <c r="G99" s="11">
        <f t="shared" si="4"/>
        <v>0</v>
      </c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</row>
    <row r="100" spans="1:19">
      <c r="A100" s="7">
        <v>94</v>
      </c>
      <c r="G100" s="11">
        <f t="shared" si="4"/>
        <v>0</v>
      </c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</row>
    <row r="101" spans="1:19">
      <c r="A101" s="7">
        <v>95</v>
      </c>
      <c r="G101" s="11">
        <f t="shared" si="4"/>
        <v>0</v>
      </c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</row>
    <row r="102" spans="1:19">
      <c r="A102" s="7">
        <v>96</v>
      </c>
      <c r="G102" s="11">
        <f t="shared" si="4"/>
        <v>0</v>
      </c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</row>
    <row r="103" spans="1:19">
      <c r="A103" s="7">
        <v>97</v>
      </c>
      <c r="G103" s="11">
        <f t="shared" si="4"/>
        <v>0</v>
      </c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</row>
    <row r="104" spans="1:19">
      <c r="A104" s="7">
        <v>98</v>
      </c>
      <c r="G104" s="11">
        <f t="shared" si="4"/>
        <v>0</v>
      </c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</row>
    <row r="105" spans="1:19">
      <c r="A105" s="7">
        <v>99</v>
      </c>
      <c r="G105" s="11">
        <f t="shared" si="4"/>
        <v>0</v>
      </c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</row>
    <row r="106" spans="1:19">
      <c r="A106" s="7">
        <v>100</v>
      </c>
      <c r="G106" s="11">
        <f t="shared" si="4"/>
        <v>0</v>
      </c>
      <c r="H106" s="12"/>
      <c r="I106" s="12"/>
      <c r="J106" s="12"/>
      <c r="K106" s="12"/>
      <c r="L106" s="12"/>
      <c r="M106" s="12"/>
      <c r="N106" s="12"/>
      <c r="O106" s="12"/>
      <c r="P106" s="12"/>
      <c r="Q106" s="12"/>
      <c r="R106" s="12"/>
      <c r="S106" s="12"/>
    </row>
    <row r="107" spans="1:19">
      <c r="G107" s="12"/>
    </row>
  </sheetData>
  <mergeCells count="5">
    <mergeCell ref="A1:S1"/>
    <mergeCell ref="A2:S2"/>
    <mergeCell ref="A3:B3"/>
    <mergeCell ref="A4:B4"/>
    <mergeCell ref="A5:S5"/>
  </mergeCells>
  <phoneticPr fontId="7" type="noConversion"/>
  <dataValidations count="1">
    <dataValidation type="list" allowBlank="1" showInputMessage="1" showErrorMessage="1" sqref="E7:E9 E11:E106" xr:uid="{9765EBF7-3829-4F4D-98FE-A45A5338D4EF}">
      <formula1>INDIRECT(D7)</formula1>
    </dataValidation>
  </dataValidations>
  <pageMargins left="0.7" right="0.7" top="0.75" bottom="0.75" header="0.3" footer="0.3"/>
  <pageSetup scale="42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414677B0-0329-47B9-BEAA-B43D15AECF95}">
          <x14:formula1>
            <xm:f>INPUT!$B$2:$B$10</xm:f>
          </x14:formula1>
          <xm:sqref>F3</xm:sqref>
        </x14:dataValidation>
        <x14:dataValidation type="list" allowBlank="1" showInputMessage="1" showErrorMessage="1" xr:uid="{7C5C4587-FFC5-4905-B0F2-9D1FF2617944}">
          <x14:formula1>
            <xm:f>INPUT!$A$2:$A$9</xm:f>
          </x14:formula1>
          <xm:sqref>F4</xm:sqref>
        </x14:dataValidation>
        <x14:dataValidation type="list" allowBlank="1" showInputMessage="1" showErrorMessage="1" xr:uid="{7D4384F4-FAE9-4647-883A-3DD68DD14759}">
          <x14:formula1>
            <xm:f>INPUT!$C$2:$C$7</xm:f>
          </x14:formula1>
          <xm:sqref>B7:B9 B11:B56</xm:sqref>
        </x14:dataValidation>
        <x14:dataValidation type="list" allowBlank="1" showInputMessage="1" showErrorMessage="1" xr:uid="{D6940C3B-78BE-4A8D-AC01-361B0B7D99C8}">
          <x14:formula1>
            <xm:f>Categorías!$G$1:$Q$1</xm:f>
          </x14:formula1>
          <xm:sqref>D7:D9 D11:D106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3DAE84-856B-48BE-B074-8E8FB7A8F032}">
  <dimension ref="A1:AE150"/>
  <sheetViews>
    <sheetView zoomScale="90" zoomScaleNormal="90" workbookViewId="0">
      <selection activeCell="H121" sqref="H121"/>
    </sheetView>
  </sheetViews>
  <sheetFormatPr defaultColWidth="11.42578125" defaultRowHeight="14.45"/>
  <cols>
    <col min="1" max="1" width="4.28515625" customWidth="1"/>
    <col min="2" max="2" width="6.7109375" customWidth="1"/>
    <col min="3" max="3" width="21.7109375" bestFit="1" customWidth="1"/>
    <col min="4" max="4" width="17.7109375" customWidth="1"/>
    <col min="5" max="5" width="12.28515625" customWidth="1"/>
    <col min="6" max="6" width="27.28515625" bestFit="1" customWidth="1"/>
    <col min="7" max="7" width="17" bestFit="1" customWidth="1"/>
    <col min="8" max="8" width="20.85546875" bestFit="1" customWidth="1"/>
    <col min="20" max="20" width="12" bestFit="1" customWidth="1"/>
  </cols>
  <sheetData>
    <row r="1" spans="1:19" ht="15.95">
      <c r="A1" s="26" t="s">
        <v>208</v>
      </c>
      <c r="B1" s="27" t="s">
        <v>153</v>
      </c>
      <c r="C1" s="28" t="s">
        <v>209</v>
      </c>
      <c r="D1" s="28" t="s">
        <v>210</v>
      </c>
      <c r="E1" s="28" t="s">
        <v>1</v>
      </c>
      <c r="F1" s="26" t="s">
        <v>211</v>
      </c>
      <c r="G1" s="27" t="s">
        <v>206</v>
      </c>
      <c r="H1" s="29" t="s">
        <v>212</v>
      </c>
      <c r="I1" s="29" t="s">
        <v>213</v>
      </c>
      <c r="J1" s="29" t="s">
        <v>214</v>
      </c>
      <c r="K1" s="29" t="s">
        <v>215</v>
      </c>
      <c r="L1" s="29" t="s">
        <v>216</v>
      </c>
      <c r="M1" s="29" t="s">
        <v>217</v>
      </c>
      <c r="N1" s="29" t="s">
        <v>218</v>
      </c>
      <c r="O1" s="29" t="s">
        <v>219</v>
      </c>
      <c r="P1" s="29" t="s">
        <v>220</v>
      </c>
      <c r="Q1" s="29" t="s">
        <v>221</v>
      </c>
      <c r="R1" s="29" t="s">
        <v>222</v>
      </c>
      <c r="S1" s="29" t="s">
        <v>223</v>
      </c>
    </row>
    <row r="2" spans="1:19" ht="15.95">
      <c r="A2" s="30">
        <v>1</v>
      </c>
      <c r="B2" s="31" t="s">
        <v>141</v>
      </c>
      <c r="C2" s="71" t="s">
        <v>242</v>
      </c>
      <c r="D2" s="31" t="s">
        <v>356</v>
      </c>
      <c r="E2" s="32" t="s">
        <v>357</v>
      </c>
      <c r="F2" s="69" t="s">
        <v>358</v>
      </c>
      <c r="G2" s="33">
        <f t="shared" ref="G2:G65" si="0">+SUM(H2:S2)</f>
        <v>384000</v>
      </c>
      <c r="H2" s="34">
        <v>32000</v>
      </c>
      <c r="I2" s="34">
        <v>32000</v>
      </c>
      <c r="J2" s="34">
        <v>32000</v>
      </c>
      <c r="K2" s="34">
        <v>32000</v>
      </c>
      <c r="L2" s="34">
        <v>32000</v>
      </c>
      <c r="M2" s="34">
        <v>32000</v>
      </c>
      <c r="N2" s="34">
        <v>32000</v>
      </c>
      <c r="O2" s="34">
        <v>32000</v>
      </c>
      <c r="P2" s="34">
        <v>32000</v>
      </c>
      <c r="Q2" s="34">
        <v>32000</v>
      </c>
      <c r="R2" s="34">
        <v>32000</v>
      </c>
      <c r="S2" s="34">
        <v>32000</v>
      </c>
    </row>
    <row r="3" spans="1:19" ht="15.95">
      <c r="A3" s="30">
        <v>2</v>
      </c>
      <c r="B3" s="31" t="s">
        <v>133</v>
      </c>
      <c r="C3" s="31" t="s">
        <v>132</v>
      </c>
      <c r="D3" s="31" t="s">
        <v>356</v>
      </c>
      <c r="E3" s="32" t="s">
        <v>357</v>
      </c>
      <c r="F3" s="30" t="s">
        <v>131</v>
      </c>
      <c r="G3" s="33">
        <f t="shared" si="0"/>
        <v>194400.00000000003</v>
      </c>
      <c r="H3" s="34">
        <v>16200.000000000002</v>
      </c>
      <c r="I3" s="34">
        <v>16200.000000000002</v>
      </c>
      <c r="J3" s="34">
        <v>16200.000000000002</v>
      </c>
      <c r="K3" s="34">
        <v>16200.000000000002</v>
      </c>
      <c r="L3" s="34">
        <v>16200.000000000002</v>
      </c>
      <c r="M3" s="34">
        <v>16200.000000000002</v>
      </c>
      <c r="N3" s="34">
        <v>16200.000000000002</v>
      </c>
      <c r="O3" s="34">
        <v>16200.000000000002</v>
      </c>
      <c r="P3" s="34">
        <v>16200.000000000002</v>
      </c>
      <c r="Q3" s="34">
        <v>16200.000000000002</v>
      </c>
      <c r="R3" s="34">
        <v>16200.000000000002</v>
      </c>
      <c r="S3" s="34">
        <v>16200.000000000002</v>
      </c>
    </row>
    <row r="4" spans="1:19" ht="15.95">
      <c r="A4" s="30">
        <v>3</v>
      </c>
      <c r="B4" s="31" t="s">
        <v>133</v>
      </c>
      <c r="C4" s="31" t="s">
        <v>242</v>
      </c>
      <c r="D4" s="31" t="s">
        <v>356</v>
      </c>
      <c r="E4" s="32" t="s">
        <v>357</v>
      </c>
      <c r="F4" s="68" t="s">
        <v>359</v>
      </c>
      <c r="G4" s="33">
        <f t="shared" si="0"/>
        <v>194400.00000000003</v>
      </c>
      <c r="H4" s="34">
        <v>16200.000000000002</v>
      </c>
      <c r="I4" s="34">
        <v>16200.000000000002</v>
      </c>
      <c r="J4" s="34">
        <v>16200.000000000002</v>
      </c>
      <c r="K4" s="34">
        <v>16200.000000000002</v>
      </c>
      <c r="L4" s="34">
        <v>16200.000000000002</v>
      </c>
      <c r="M4" s="34">
        <v>16200.000000000002</v>
      </c>
      <c r="N4" s="34">
        <v>16200.000000000002</v>
      </c>
      <c r="O4" s="34">
        <v>16200.000000000002</v>
      </c>
      <c r="P4" s="34">
        <v>16200.000000000002</v>
      </c>
      <c r="Q4" s="34">
        <v>16200.000000000002</v>
      </c>
      <c r="R4" s="34">
        <v>16200.000000000002</v>
      </c>
      <c r="S4" s="34">
        <v>16200.000000000002</v>
      </c>
    </row>
    <row r="5" spans="1:19" ht="15.95">
      <c r="A5" s="30">
        <v>4</v>
      </c>
      <c r="B5" s="31" t="s">
        <v>133</v>
      </c>
      <c r="C5" s="31" t="s">
        <v>242</v>
      </c>
      <c r="D5" s="31" t="s">
        <v>356</v>
      </c>
      <c r="E5" s="32" t="s">
        <v>357</v>
      </c>
      <c r="F5" s="68" t="s">
        <v>360</v>
      </c>
      <c r="G5" s="33">
        <f t="shared" si="0"/>
        <v>162000</v>
      </c>
      <c r="H5" s="34">
        <v>13500</v>
      </c>
      <c r="I5" s="34">
        <v>13500</v>
      </c>
      <c r="J5" s="34">
        <v>13500</v>
      </c>
      <c r="K5" s="34">
        <v>13500</v>
      </c>
      <c r="L5" s="34">
        <v>13500</v>
      </c>
      <c r="M5" s="34">
        <v>13500</v>
      </c>
      <c r="N5" s="34">
        <v>13500</v>
      </c>
      <c r="O5" s="34">
        <v>13500</v>
      </c>
      <c r="P5" s="34">
        <v>13500</v>
      </c>
      <c r="Q5" s="34">
        <v>13500</v>
      </c>
      <c r="R5" s="34">
        <v>13500</v>
      </c>
      <c r="S5" s="34">
        <v>13500</v>
      </c>
    </row>
    <row r="6" spans="1:19" ht="15.95">
      <c r="A6" s="30">
        <v>5</v>
      </c>
      <c r="B6" s="31" t="s">
        <v>133</v>
      </c>
      <c r="C6" s="31" t="s">
        <v>242</v>
      </c>
      <c r="D6" s="31" t="s">
        <v>356</v>
      </c>
      <c r="E6" s="32" t="s">
        <v>357</v>
      </c>
      <c r="F6" s="30" t="s">
        <v>361</v>
      </c>
      <c r="G6" s="33">
        <f t="shared" si="0"/>
        <v>155921.87502000001</v>
      </c>
      <c r="H6" s="34">
        <v>12993.489585000001</v>
      </c>
      <c r="I6" s="34">
        <v>12993.489585000001</v>
      </c>
      <c r="J6" s="34">
        <v>12993.489585000001</v>
      </c>
      <c r="K6" s="34">
        <v>12993.489585000001</v>
      </c>
      <c r="L6" s="34">
        <v>12993.489585000001</v>
      </c>
      <c r="M6" s="34">
        <v>12993.489585000001</v>
      </c>
      <c r="N6" s="34">
        <v>12993.489585000001</v>
      </c>
      <c r="O6" s="34">
        <v>12993.489585000001</v>
      </c>
      <c r="P6" s="34">
        <v>12993.489585000001</v>
      </c>
      <c r="Q6" s="34">
        <v>12993.489585000001</v>
      </c>
      <c r="R6" s="34">
        <v>12993.489585000001</v>
      </c>
      <c r="S6" s="34">
        <v>12993.489585000001</v>
      </c>
    </row>
    <row r="7" spans="1:19" ht="15.95">
      <c r="A7" s="30">
        <v>6</v>
      </c>
      <c r="B7" s="31" t="s">
        <v>133</v>
      </c>
      <c r="C7" s="31" t="s">
        <v>180</v>
      </c>
      <c r="D7" s="31" t="s">
        <v>356</v>
      </c>
      <c r="E7" s="32" t="s">
        <v>357</v>
      </c>
      <c r="F7" s="68" t="s">
        <v>147</v>
      </c>
      <c r="G7" s="33">
        <f t="shared" si="0"/>
        <v>138810.62664</v>
      </c>
      <c r="H7" s="34">
        <v>11567.55222</v>
      </c>
      <c r="I7" s="34">
        <v>11567.55222</v>
      </c>
      <c r="J7" s="34">
        <v>11567.55222</v>
      </c>
      <c r="K7" s="34">
        <v>11567.55222</v>
      </c>
      <c r="L7" s="34">
        <v>11567.55222</v>
      </c>
      <c r="M7" s="34">
        <v>11567.55222</v>
      </c>
      <c r="N7" s="34">
        <v>11567.55222</v>
      </c>
      <c r="O7" s="34">
        <v>11567.55222</v>
      </c>
      <c r="P7" s="34">
        <v>11567.55222</v>
      </c>
      <c r="Q7" s="34">
        <v>11567.55222</v>
      </c>
      <c r="R7" s="34">
        <v>11567.55222</v>
      </c>
      <c r="S7" s="34">
        <v>11567.55222</v>
      </c>
    </row>
    <row r="8" spans="1:19" ht="15.95">
      <c r="A8" s="30">
        <v>7</v>
      </c>
      <c r="B8" s="31" t="s">
        <v>133</v>
      </c>
      <c r="C8" s="31" t="s">
        <v>180</v>
      </c>
      <c r="D8" s="31" t="s">
        <v>356</v>
      </c>
      <c r="E8" s="32" t="s">
        <v>357</v>
      </c>
      <c r="F8" s="30" t="s">
        <v>362</v>
      </c>
      <c r="G8" s="33">
        <f t="shared" si="0"/>
        <v>121500</v>
      </c>
      <c r="H8" s="34">
        <v>10125</v>
      </c>
      <c r="I8" s="34">
        <v>10125</v>
      </c>
      <c r="J8" s="34">
        <v>10125</v>
      </c>
      <c r="K8" s="34">
        <v>10125</v>
      </c>
      <c r="L8" s="34">
        <v>10125</v>
      </c>
      <c r="M8" s="34">
        <v>10125</v>
      </c>
      <c r="N8" s="34">
        <v>10125</v>
      </c>
      <c r="O8" s="34">
        <v>10125</v>
      </c>
      <c r="P8" s="34">
        <v>10125</v>
      </c>
      <c r="Q8" s="34">
        <v>10125</v>
      </c>
      <c r="R8" s="34">
        <v>10125</v>
      </c>
      <c r="S8" s="34">
        <v>10125</v>
      </c>
    </row>
    <row r="9" spans="1:19" ht="15.95">
      <c r="A9" s="30">
        <v>8</v>
      </c>
      <c r="B9" s="31" t="s">
        <v>133</v>
      </c>
      <c r="C9" s="31" t="s">
        <v>242</v>
      </c>
      <c r="D9" s="31" t="s">
        <v>356</v>
      </c>
      <c r="E9" s="32" t="s">
        <v>357</v>
      </c>
      <c r="F9" s="68" t="s">
        <v>363</v>
      </c>
      <c r="G9" s="33">
        <f t="shared" si="0"/>
        <v>121500</v>
      </c>
      <c r="H9" s="34">
        <v>10125</v>
      </c>
      <c r="I9" s="34">
        <v>10125</v>
      </c>
      <c r="J9" s="34">
        <v>10125</v>
      </c>
      <c r="K9" s="34">
        <v>10125</v>
      </c>
      <c r="L9" s="34">
        <v>10125</v>
      </c>
      <c r="M9" s="34">
        <v>10125</v>
      </c>
      <c r="N9" s="34">
        <v>10125</v>
      </c>
      <c r="O9" s="34">
        <v>10125</v>
      </c>
      <c r="P9" s="34">
        <v>10125</v>
      </c>
      <c r="Q9" s="34">
        <v>10125</v>
      </c>
      <c r="R9" s="34">
        <v>10125</v>
      </c>
      <c r="S9" s="34">
        <v>10125</v>
      </c>
    </row>
    <row r="10" spans="1:19" ht="15.95">
      <c r="A10" s="30">
        <v>9</v>
      </c>
      <c r="B10" s="31" t="s">
        <v>133</v>
      </c>
      <c r="C10" s="31" t="s">
        <v>242</v>
      </c>
      <c r="D10" s="31" t="s">
        <v>356</v>
      </c>
      <c r="E10" s="32" t="s">
        <v>357</v>
      </c>
      <c r="F10" s="47" t="s">
        <v>364</v>
      </c>
      <c r="G10" s="33">
        <f t="shared" si="0"/>
        <v>19084.951620000003</v>
      </c>
      <c r="H10" s="34">
        <v>9542.4758100000017</v>
      </c>
      <c r="I10" s="34">
        <v>9542.4758100000017</v>
      </c>
      <c r="J10" s="51"/>
      <c r="K10" s="51"/>
      <c r="L10" s="51"/>
      <c r="M10" s="51"/>
      <c r="N10" s="51"/>
      <c r="O10" s="51"/>
      <c r="P10" s="51"/>
      <c r="Q10" s="51"/>
      <c r="R10" s="51"/>
      <c r="S10" s="51"/>
    </row>
    <row r="11" spans="1:19" ht="15.95">
      <c r="A11" s="30">
        <v>10</v>
      </c>
      <c r="B11" s="31" t="s">
        <v>133</v>
      </c>
      <c r="C11" s="31" t="s">
        <v>242</v>
      </c>
      <c r="D11" s="31" t="s">
        <v>356</v>
      </c>
      <c r="E11" s="32" t="s">
        <v>357</v>
      </c>
      <c r="F11" s="30" t="s">
        <v>365</v>
      </c>
      <c r="G11" s="33">
        <f t="shared" si="0"/>
        <v>111966.60132</v>
      </c>
      <c r="H11" s="34">
        <v>9330.550110000002</v>
      </c>
      <c r="I11" s="34">
        <v>9330.550110000002</v>
      </c>
      <c r="J11" s="34">
        <v>9330.550110000002</v>
      </c>
      <c r="K11" s="34">
        <v>9330.550110000002</v>
      </c>
      <c r="L11" s="34">
        <v>9330.550110000002</v>
      </c>
      <c r="M11" s="34">
        <v>9330.550110000002</v>
      </c>
      <c r="N11" s="34">
        <v>9330.550110000002</v>
      </c>
      <c r="O11" s="34">
        <v>9330.550110000002</v>
      </c>
      <c r="P11" s="34">
        <v>9330.550110000002</v>
      </c>
      <c r="Q11" s="34">
        <v>9330.550110000002</v>
      </c>
      <c r="R11" s="34">
        <v>9330.550110000002</v>
      </c>
      <c r="S11" s="34">
        <v>9330.550110000002</v>
      </c>
    </row>
    <row r="12" spans="1:19" ht="15.95">
      <c r="A12" s="30">
        <v>11</v>
      </c>
      <c r="B12" s="31" t="s">
        <v>133</v>
      </c>
      <c r="C12" s="31" t="s">
        <v>180</v>
      </c>
      <c r="D12" s="31" t="s">
        <v>356</v>
      </c>
      <c r="E12" s="32" t="s">
        <v>357</v>
      </c>
      <c r="F12" s="30" t="s">
        <v>366</v>
      </c>
      <c r="G12" s="33">
        <f t="shared" si="0"/>
        <v>26030.441070000001</v>
      </c>
      <c r="H12" s="34">
        <v>8676.8136900000009</v>
      </c>
      <c r="I12" s="34">
        <v>8676.8136900000009</v>
      </c>
      <c r="J12" s="34">
        <v>8676.8136900000009</v>
      </c>
      <c r="K12" s="51"/>
      <c r="L12" s="51"/>
      <c r="M12" s="51"/>
      <c r="N12" s="51"/>
      <c r="O12" s="51"/>
      <c r="P12" s="51"/>
      <c r="Q12" s="51"/>
      <c r="R12" s="51"/>
      <c r="S12" s="51"/>
    </row>
    <row r="13" spans="1:19" ht="15.95">
      <c r="A13" s="30">
        <v>12</v>
      </c>
      <c r="B13" s="31" t="s">
        <v>133</v>
      </c>
      <c r="C13" s="31" t="s">
        <v>242</v>
      </c>
      <c r="D13" s="31" t="s">
        <v>356</v>
      </c>
      <c r="E13" s="32" t="s">
        <v>357</v>
      </c>
      <c r="F13" s="30" t="s">
        <v>367</v>
      </c>
      <c r="G13" s="33">
        <f t="shared" si="0"/>
        <v>102953.83014000002</v>
      </c>
      <c r="H13" s="34">
        <v>8579.4858449999992</v>
      </c>
      <c r="I13" s="34">
        <v>8579.4858449999992</v>
      </c>
      <c r="J13" s="34">
        <v>8579.4858449999992</v>
      </c>
      <c r="K13" s="34">
        <v>8579.4858449999992</v>
      </c>
      <c r="L13" s="34">
        <v>8579.4858449999992</v>
      </c>
      <c r="M13" s="34">
        <v>8579.4858449999992</v>
      </c>
      <c r="N13" s="34">
        <v>8579.4858449999992</v>
      </c>
      <c r="O13" s="34">
        <v>8579.4858449999992</v>
      </c>
      <c r="P13" s="34">
        <v>8579.4858449999992</v>
      </c>
      <c r="Q13" s="34">
        <v>8579.4858449999992</v>
      </c>
      <c r="R13" s="34">
        <v>8579.4858449999992</v>
      </c>
      <c r="S13" s="34">
        <v>8579.4858449999992</v>
      </c>
    </row>
    <row r="14" spans="1:19" ht="15.95">
      <c r="A14" s="30">
        <v>13</v>
      </c>
      <c r="B14" s="31" t="s">
        <v>133</v>
      </c>
      <c r="C14" s="31" t="s">
        <v>242</v>
      </c>
      <c r="D14" s="31" t="s">
        <v>356</v>
      </c>
      <c r="E14" s="32" t="s">
        <v>357</v>
      </c>
      <c r="F14" s="30" t="s">
        <v>368</v>
      </c>
      <c r="G14" s="33">
        <f t="shared" si="0"/>
        <v>92093.759999999995</v>
      </c>
      <c r="H14" s="34">
        <v>7674.4800000000005</v>
      </c>
      <c r="I14" s="34">
        <v>7674.4800000000005</v>
      </c>
      <c r="J14" s="34">
        <v>7674.4800000000005</v>
      </c>
      <c r="K14" s="34">
        <v>7674.4800000000005</v>
      </c>
      <c r="L14" s="34">
        <v>7674.4800000000005</v>
      </c>
      <c r="M14" s="34">
        <v>7674.4800000000005</v>
      </c>
      <c r="N14" s="34">
        <v>7674.4800000000005</v>
      </c>
      <c r="O14" s="34">
        <v>7674.4800000000005</v>
      </c>
      <c r="P14" s="34">
        <v>7674.4800000000005</v>
      </c>
      <c r="Q14" s="34">
        <v>7674.4800000000005</v>
      </c>
      <c r="R14" s="34">
        <v>7674.4800000000005</v>
      </c>
      <c r="S14" s="34">
        <v>7674.4800000000005</v>
      </c>
    </row>
    <row r="15" spans="1:19" ht="15.95">
      <c r="A15" s="30">
        <v>14</v>
      </c>
      <c r="B15" s="31" t="s">
        <v>133</v>
      </c>
      <c r="C15" s="31" t="s">
        <v>242</v>
      </c>
      <c r="D15" s="31" t="s">
        <v>356</v>
      </c>
      <c r="E15" s="32" t="s">
        <v>357</v>
      </c>
      <c r="F15" s="30" t="s">
        <v>369</v>
      </c>
      <c r="G15" s="33">
        <f t="shared" si="0"/>
        <v>87363.654840000003</v>
      </c>
      <c r="H15" s="34">
        <v>7280.3045700000002</v>
      </c>
      <c r="I15" s="34">
        <v>7280.3045700000002</v>
      </c>
      <c r="J15" s="34">
        <v>7280.3045700000002</v>
      </c>
      <c r="K15" s="34">
        <v>7280.3045700000002</v>
      </c>
      <c r="L15" s="34">
        <v>7280.3045700000002</v>
      </c>
      <c r="M15" s="34">
        <v>7280.3045700000002</v>
      </c>
      <c r="N15" s="34">
        <v>7280.3045700000002</v>
      </c>
      <c r="O15" s="34">
        <v>7280.3045700000002</v>
      </c>
      <c r="P15" s="34">
        <v>7280.3045700000002</v>
      </c>
      <c r="Q15" s="34">
        <v>7280.3045700000002</v>
      </c>
      <c r="R15" s="34">
        <v>7280.3045700000002</v>
      </c>
      <c r="S15" s="34">
        <v>7280.3045700000002</v>
      </c>
    </row>
    <row r="16" spans="1:19" ht="15.95">
      <c r="A16" s="30">
        <v>15</v>
      </c>
      <c r="B16" s="31" t="s">
        <v>133</v>
      </c>
      <c r="C16" s="31" t="s">
        <v>242</v>
      </c>
      <c r="D16" s="31" t="s">
        <v>356</v>
      </c>
      <c r="E16" s="32" t="s">
        <v>357</v>
      </c>
      <c r="F16" s="30" t="s">
        <v>370</v>
      </c>
      <c r="G16" s="33">
        <f t="shared" si="0"/>
        <v>13681.19457</v>
      </c>
      <c r="H16" s="34">
        <v>6840.5972849999998</v>
      </c>
      <c r="I16" s="34">
        <v>6840.5972849999998</v>
      </c>
      <c r="J16" s="51"/>
      <c r="K16" s="51"/>
      <c r="L16" s="51"/>
      <c r="M16" s="51"/>
      <c r="N16" s="51"/>
      <c r="O16" s="51"/>
      <c r="P16" s="51"/>
      <c r="Q16" s="51"/>
      <c r="R16" s="51"/>
      <c r="S16" s="51"/>
    </row>
    <row r="17" spans="1:19" ht="15.95">
      <c r="A17" s="30">
        <v>16</v>
      </c>
      <c r="B17" s="31" t="s">
        <v>133</v>
      </c>
      <c r="C17" s="71" t="s">
        <v>242</v>
      </c>
      <c r="D17" s="31" t="s">
        <v>356</v>
      </c>
      <c r="E17" s="32" t="s">
        <v>357</v>
      </c>
      <c r="F17" s="69" t="s">
        <v>371</v>
      </c>
      <c r="G17" s="33">
        <f t="shared" si="0"/>
        <v>6514.3062000000009</v>
      </c>
      <c r="H17" s="34">
        <v>6514.3062000000009</v>
      </c>
      <c r="I17" s="51"/>
      <c r="J17" s="51"/>
      <c r="K17" s="51"/>
      <c r="L17" s="51"/>
      <c r="M17" s="51"/>
      <c r="N17" s="51"/>
      <c r="O17" s="51"/>
      <c r="P17" s="51"/>
      <c r="Q17" s="51"/>
      <c r="R17" s="51"/>
      <c r="S17" s="51"/>
    </row>
    <row r="18" spans="1:19" ht="15.95">
      <c r="A18" s="30">
        <v>17</v>
      </c>
      <c r="B18" s="31" t="s">
        <v>135</v>
      </c>
      <c r="C18" s="31" t="s">
        <v>242</v>
      </c>
      <c r="D18" s="31" t="s">
        <v>356</v>
      </c>
      <c r="E18" s="32" t="s">
        <v>357</v>
      </c>
      <c r="F18" s="30" t="s">
        <v>372</v>
      </c>
      <c r="G18" s="33">
        <f t="shared" si="0"/>
        <v>68842.8</v>
      </c>
      <c r="H18" s="34">
        <v>5736.9000000000005</v>
      </c>
      <c r="I18" s="34">
        <v>5736.9000000000005</v>
      </c>
      <c r="J18" s="34">
        <v>5736.9000000000005</v>
      </c>
      <c r="K18" s="34">
        <v>5736.9000000000005</v>
      </c>
      <c r="L18" s="34">
        <v>5736.9000000000005</v>
      </c>
      <c r="M18" s="34">
        <v>5736.9000000000005</v>
      </c>
      <c r="N18" s="34">
        <v>5736.9000000000005</v>
      </c>
      <c r="O18" s="34">
        <v>5736.9000000000005</v>
      </c>
      <c r="P18" s="34">
        <v>5736.9000000000005</v>
      </c>
      <c r="Q18" s="34">
        <v>5736.9000000000005</v>
      </c>
      <c r="R18" s="34">
        <v>5736.9000000000005</v>
      </c>
      <c r="S18" s="34">
        <v>5736.9000000000005</v>
      </c>
    </row>
    <row r="19" spans="1:19" ht="15.95">
      <c r="A19" s="30">
        <v>18</v>
      </c>
      <c r="B19" s="31" t="s">
        <v>141</v>
      </c>
      <c r="C19" s="71" t="s">
        <v>242</v>
      </c>
      <c r="D19" s="31" t="s">
        <v>356</v>
      </c>
      <c r="E19" s="32" t="s">
        <v>357</v>
      </c>
      <c r="F19" s="69" t="s">
        <v>373</v>
      </c>
      <c r="G19" s="33">
        <f t="shared" si="0"/>
        <v>68217.60000000002</v>
      </c>
      <c r="H19" s="34">
        <v>5684.8</v>
      </c>
      <c r="I19" s="34">
        <v>5684.8</v>
      </c>
      <c r="J19" s="34">
        <v>5684.8</v>
      </c>
      <c r="K19" s="34">
        <v>5684.8</v>
      </c>
      <c r="L19" s="34">
        <v>5684.8</v>
      </c>
      <c r="M19" s="34">
        <v>5684.8</v>
      </c>
      <c r="N19" s="34">
        <v>5684.8</v>
      </c>
      <c r="O19" s="34">
        <v>5684.8</v>
      </c>
      <c r="P19" s="34">
        <v>5684.8</v>
      </c>
      <c r="Q19" s="34">
        <v>5684.8</v>
      </c>
      <c r="R19" s="34">
        <v>5684.8</v>
      </c>
      <c r="S19" s="34">
        <v>5684.8</v>
      </c>
    </row>
    <row r="20" spans="1:19" ht="15.95">
      <c r="A20" s="30">
        <v>19</v>
      </c>
      <c r="B20" s="31" t="s">
        <v>133</v>
      </c>
      <c r="C20" s="71" t="s">
        <v>242</v>
      </c>
      <c r="D20" s="31" t="s">
        <v>356</v>
      </c>
      <c r="E20" s="32" t="s">
        <v>357</v>
      </c>
      <c r="F20" s="69" t="s">
        <v>374</v>
      </c>
      <c r="G20" s="33">
        <f t="shared" si="0"/>
        <v>5381.8384500000002</v>
      </c>
      <c r="H20" s="34">
        <v>5381.8384500000002</v>
      </c>
      <c r="I20" s="51"/>
      <c r="J20" s="51"/>
      <c r="K20" s="51"/>
      <c r="L20" s="51"/>
      <c r="M20" s="51"/>
      <c r="N20" s="51"/>
      <c r="O20" s="51"/>
      <c r="P20" s="51"/>
      <c r="Q20" s="51"/>
      <c r="R20" s="51"/>
      <c r="S20" s="51"/>
    </row>
    <row r="21" spans="1:19" ht="15.95">
      <c r="A21" s="30">
        <v>20</v>
      </c>
      <c r="B21" s="31" t="s">
        <v>133</v>
      </c>
      <c r="C21" s="31" t="s">
        <v>132</v>
      </c>
      <c r="D21" s="31" t="s">
        <v>356</v>
      </c>
      <c r="E21" s="32" t="s">
        <v>357</v>
      </c>
      <c r="F21" s="30" t="s">
        <v>375</v>
      </c>
      <c r="G21" s="33">
        <f t="shared" si="0"/>
        <v>64274.318100000004</v>
      </c>
      <c r="H21" s="34">
        <v>5356.1931750000003</v>
      </c>
      <c r="I21" s="34">
        <v>5356.1931750000003</v>
      </c>
      <c r="J21" s="34">
        <v>5356.1931750000003</v>
      </c>
      <c r="K21" s="34">
        <v>5356.1931750000003</v>
      </c>
      <c r="L21" s="34">
        <v>5356.1931750000003</v>
      </c>
      <c r="M21" s="34">
        <v>5356.1931750000003</v>
      </c>
      <c r="N21" s="34">
        <v>5356.1931750000003</v>
      </c>
      <c r="O21" s="34">
        <v>5356.1931750000003</v>
      </c>
      <c r="P21" s="34">
        <v>5356.1931750000003</v>
      </c>
      <c r="Q21" s="34">
        <v>5356.1931750000003</v>
      </c>
      <c r="R21" s="34">
        <v>5356.1931750000003</v>
      </c>
      <c r="S21" s="34">
        <v>5356.1931750000003</v>
      </c>
    </row>
    <row r="22" spans="1:19" ht="15.95">
      <c r="A22" s="30">
        <v>21</v>
      </c>
      <c r="B22" s="31" t="s">
        <v>144</v>
      </c>
      <c r="C22" s="31" t="s">
        <v>132</v>
      </c>
      <c r="D22" s="31" t="s">
        <v>356</v>
      </c>
      <c r="E22" s="32" t="s">
        <v>357</v>
      </c>
      <c r="F22" s="30" t="s">
        <v>376</v>
      </c>
      <c r="G22" s="33">
        <f t="shared" si="0"/>
        <v>60645.271860000008</v>
      </c>
      <c r="H22" s="34">
        <v>5053.7726550000007</v>
      </c>
      <c r="I22" s="34">
        <v>5053.7726550000007</v>
      </c>
      <c r="J22" s="34">
        <v>5053.7726550000007</v>
      </c>
      <c r="K22" s="34">
        <v>5053.7726550000007</v>
      </c>
      <c r="L22" s="34">
        <v>5053.7726550000007</v>
      </c>
      <c r="M22" s="34">
        <v>5053.7726550000007</v>
      </c>
      <c r="N22" s="34">
        <v>5053.7726550000007</v>
      </c>
      <c r="O22" s="34">
        <v>5053.7726550000007</v>
      </c>
      <c r="P22" s="34">
        <v>5053.7726550000007</v>
      </c>
      <c r="Q22" s="34">
        <v>5053.7726550000007</v>
      </c>
      <c r="R22" s="34">
        <v>5053.7726550000007</v>
      </c>
      <c r="S22" s="34">
        <v>5053.7726550000007</v>
      </c>
    </row>
    <row r="23" spans="1:19" ht="15.95">
      <c r="A23" s="30">
        <v>22</v>
      </c>
      <c r="B23" s="31" t="s">
        <v>138</v>
      </c>
      <c r="C23" s="31" t="s">
        <v>10</v>
      </c>
      <c r="D23" s="31" t="s">
        <v>356</v>
      </c>
      <c r="E23" s="32" t="s">
        <v>357</v>
      </c>
      <c r="F23" s="30" t="s">
        <v>377</v>
      </c>
      <c r="G23" s="33">
        <f t="shared" si="0"/>
        <v>60439.535999999986</v>
      </c>
      <c r="H23" s="34">
        <v>5036.6279999999997</v>
      </c>
      <c r="I23" s="34">
        <v>5036.6279999999997</v>
      </c>
      <c r="J23" s="34">
        <v>5036.6279999999997</v>
      </c>
      <c r="K23" s="34">
        <v>5036.6279999999997</v>
      </c>
      <c r="L23" s="34">
        <v>5036.6279999999997</v>
      </c>
      <c r="M23" s="34">
        <v>5036.6279999999997</v>
      </c>
      <c r="N23" s="34">
        <v>5036.6279999999997</v>
      </c>
      <c r="O23" s="34">
        <v>5036.6279999999997</v>
      </c>
      <c r="P23" s="34">
        <v>5036.6279999999997</v>
      </c>
      <c r="Q23" s="34">
        <v>5036.6279999999997</v>
      </c>
      <c r="R23" s="34">
        <v>5036.6279999999997</v>
      </c>
      <c r="S23" s="34">
        <v>5036.6279999999997</v>
      </c>
    </row>
    <row r="24" spans="1:19" ht="15.95">
      <c r="A24" s="30">
        <v>23</v>
      </c>
      <c r="B24" s="31" t="s">
        <v>133</v>
      </c>
      <c r="C24" s="31" t="s">
        <v>242</v>
      </c>
      <c r="D24" s="31" t="s">
        <v>356</v>
      </c>
      <c r="E24" s="32" t="s">
        <v>357</v>
      </c>
      <c r="F24" s="47" t="s">
        <v>378</v>
      </c>
      <c r="G24" s="33">
        <f t="shared" si="0"/>
        <v>9452.8163700000005</v>
      </c>
      <c r="H24" s="34">
        <v>4726.4081850000002</v>
      </c>
      <c r="I24" s="34">
        <v>4726.4081850000002</v>
      </c>
      <c r="J24" s="51"/>
      <c r="K24" s="51"/>
      <c r="L24" s="51"/>
      <c r="M24" s="51"/>
      <c r="N24" s="51"/>
      <c r="O24" s="51"/>
      <c r="P24" s="51"/>
      <c r="Q24" s="51"/>
      <c r="R24" s="51"/>
      <c r="S24" s="51"/>
    </row>
    <row r="25" spans="1:19" ht="15.95">
      <c r="A25" s="30">
        <v>24</v>
      </c>
      <c r="B25" s="31" t="s">
        <v>133</v>
      </c>
      <c r="C25" s="31" t="s">
        <v>242</v>
      </c>
      <c r="D25" s="31" t="s">
        <v>356</v>
      </c>
      <c r="E25" s="32" t="s">
        <v>357</v>
      </c>
      <c r="F25" s="30" t="s">
        <v>379</v>
      </c>
      <c r="G25" s="33">
        <f t="shared" si="0"/>
        <v>51155.469000000005</v>
      </c>
      <c r="H25" s="34">
        <v>4262.9557500000001</v>
      </c>
      <c r="I25" s="34">
        <v>4262.9557500000001</v>
      </c>
      <c r="J25" s="34">
        <v>4262.9557500000001</v>
      </c>
      <c r="K25" s="34">
        <v>4262.9557500000001</v>
      </c>
      <c r="L25" s="34">
        <v>4262.9557500000001</v>
      </c>
      <c r="M25" s="34">
        <v>4262.9557500000001</v>
      </c>
      <c r="N25" s="34">
        <v>4262.9557500000001</v>
      </c>
      <c r="O25" s="34">
        <v>4262.9557500000001</v>
      </c>
      <c r="P25" s="34">
        <v>4262.9557500000001</v>
      </c>
      <c r="Q25" s="34">
        <v>4262.9557500000001</v>
      </c>
      <c r="R25" s="34">
        <v>4262.9557500000001</v>
      </c>
      <c r="S25" s="34">
        <v>4262.9557500000001</v>
      </c>
    </row>
    <row r="26" spans="1:19" ht="15.95">
      <c r="A26" s="30">
        <v>25</v>
      </c>
      <c r="B26" s="31" t="s">
        <v>133</v>
      </c>
      <c r="C26" s="31" t="s">
        <v>242</v>
      </c>
      <c r="D26" s="31" t="s">
        <v>356</v>
      </c>
      <c r="E26" s="32" t="s">
        <v>357</v>
      </c>
      <c r="F26" s="30" t="s">
        <v>380</v>
      </c>
      <c r="G26" s="33">
        <f t="shared" si="0"/>
        <v>50093.54442000002</v>
      </c>
      <c r="H26" s="34">
        <v>4174.4620350000005</v>
      </c>
      <c r="I26" s="34">
        <v>4174.4620350000005</v>
      </c>
      <c r="J26" s="34">
        <v>4174.4620350000005</v>
      </c>
      <c r="K26" s="34">
        <v>4174.4620350000005</v>
      </c>
      <c r="L26" s="34">
        <v>4174.4620350000005</v>
      </c>
      <c r="M26" s="34">
        <v>4174.4620350000005</v>
      </c>
      <c r="N26" s="34">
        <v>4174.4620350000005</v>
      </c>
      <c r="O26" s="34">
        <v>4174.4620350000005</v>
      </c>
      <c r="P26" s="34">
        <v>4174.4620350000005</v>
      </c>
      <c r="Q26" s="34">
        <v>4174.4620350000005</v>
      </c>
      <c r="R26" s="34">
        <v>4174.4620350000005</v>
      </c>
      <c r="S26" s="34">
        <v>4174.4620350000005</v>
      </c>
    </row>
    <row r="27" spans="1:19" ht="15.95">
      <c r="A27" s="30">
        <v>26</v>
      </c>
      <c r="B27" s="31" t="s">
        <v>133</v>
      </c>
      <c r="C27" s="31" t="s">
        <v>242</v>
      </c>
      <c r="D27" s="31" t="s">
        <v>356</v>
      </c>
      <c r="E27" s="32" t="s">
        <v>357</v>
      </c>
      <c r="F27" s="30" t="s">
        <v>381</v>
      </c>
      <c r="G27" s="33">
        <f t="shared" si="0"/>
        <v>49020.624900000003</v>
      </c>
      <c r="H27" s="34">
        <v>4085.0520750000005</v>
      </c>
      <c r="I27" s="34">
        <v>4085.0520750000005</v>
      </c>
      <c r="J27" s="34">
        <v>4085.0520750000005</v>
      </c>
      <c r="K27" s="34">
        <v>4085.0520750000005</v>
      </c>
      <c r="L27" s="34">
        <v>4085.0520750000005</v>
      </c>
      <c r="M27" s="34">
        <v>4085.0520750000005</v>
      </c>
      <c r="N27" s="34">
        <v>4085.0520750000005</v>
      </c>
      <c r="O27" s="34">
        <v>4085.0520750000005</v>
      </c>
      <c r="P27" s="34">
        <v>4085.0520750000005</v>
      </c>
      <c r="Q27" s="34">
        <v>4085.0520750000005</v>
      </c>
      <c r="R27" s="34">
        <v>4085.0520750000005</v>
      </c>
      <c r="S27" s="34">
        <v>4085.0520750000005</v>
      </c>
    </row>
    <row r="28" spans="1:19" ht="15.95">
      <c r="A28" s="30">
        <v>27</v>
      </c>
      <c r="B28" s="31" t="s">
        <v>133</v>
      </c>
      <c r="C28" s="31" t="s">
        <v>242</v>
      </c>
      <c r="D28" s="31" t="s">
        <v>356</v>
      </c>
      <c r="E28" s="32" t="s">
        <v>357</v>
      </c>
      <c r="F28" s="30" t="s">
        <v>382</v>
      </c>
      <c r="G28" s="33">
        <f t="shared" si="0"/>
        <v>47010.454379999988</v>
      </c>
      <c r="H28" s="34">
        <v>3917.5378650000002</v>
      </c>
      <c r="I28" s="34">
        <v>3917.5378650000002</v>
      </c>
      <c r="J28" s="34">
        <v>3917.5378650000002</v>
      </c>
      <c r="K28" s="34">
        <v>3917.5378650000002</v>
      </c>
      <c r="L28" s="34">
        <v>3917.5378650000002</v>
      </c>
      <c r="M28" s="34">
        <v>3917.5378650000002</v>
      </c>
      <c r="N28" s="34">
        <v>3917.5378650000002</v>
      </c>
      <c r="O28" s="34">
        <v>3917.5378650000002</v>
      </c>
      <c r="P28" s="34">
        <v>3917.5378650000002</v>
      </c>
      <c r="Q28" s="34">
        <v>3917.5378650000002</v>
      </c>
      <c r="R28" s="34">
        <v>3917.5378650000002</v>
      </c>
      <c r="S28" s="34">
        <v>3917.5378650000002</v>
      </c>
    </row>
    <row r="29" spans="1:19" ht="15.95">
      <c r="A29" s="30">
        <v>28</v>
      </c>
      <c r="B29" s="31" t="s">
        <v>133</v>
      </c>
      <c r="C29" s="31" t="s">
        <v>242</v>
      </c>
      <c r="D29" s="31" t="s">
        <v>356</v>
      </c>
      <c r="E29" s="32" t="s">
        <v>357</v>
      </c>
      <c r="F29" s="30" t="s">
        <v>383</v>
      </c>
      <c r="G29" s="33">
        <f t="shared" si="0"/>
        <v>46893.260340000008</v>
      </c>
      <c r="H29" s="34">
        <v>3907.7716950000004</v>
      </c>
      <c r="I29" s="34">
        <v>3907.7716950000004</v>
      </c>
      <c r="J29" s="34">
        <v>3907.7716950000004</v>
      </c>
      <c r="K29" s="34">
        <v>3907.7716950000004</v>
      </c>
      <c r="L29" s="34">
        <v>3907.7716950000004</v>
      </c>
      <c r="M29" s="34">
        <v>3907.7716950000004</v>
      </c>
      <c r="N29" s="34">
        <v>3907.7716950000004</v>
      </c>
      <c r="O29" s="34">
        <v>3907.7716950000004</v>
      </c>
      <c r="P29" s="34">
        <v>3907.7716950000004</v>
      </c>
      <c r="Q29" s="34">
        <v>3907.7716950000004</v>
      </c>
      <c r="R29" s="34">
        <v>3907.7716950000004</v>
      </c>
      <c r="S29" s="34">
        <v>3907.7716950000004</v>
      </c>
    </row>
    <row r="30" spans="1:19" ht="15.95">
      <c r="A30" s="30">
        <v>29</v>
      </c>
      <c r="B30" s="31" t="s">
        <v>133</v>
      </c>
      <c r="C30" s="31" t="s">
        <v>10</v>
      </c>
      <c r="D30" s="31" t="s">
        <v>356</v>
      </c>
      <c r="E30" s="32" t="s">
        <v>357</v>
      </c>
      <c r="F30" s="30" t="s">
        <v>134</v>
      </c>
      <c r="G30" s="33">
        <f t="shared" si="0"/>
        <v>45323.554860000004</v>
      </c>
      <c r="H30" s="34">
        <v>3776.9629050000003</v>
      </c>
      <c r="I30" s="34">
        <v>3776.9629050000003</v>
      </c>
      <c r="J30" s="34">
        <v>3776.9629050000003</v>
      </c>
      <c r="K30" s="34">
        <v>3776.9629050000003</v>
      </c>
      <c r="L30" s="34">
        <v>3776.9629050000003</v>
      </c>
      <c r="M30" s="34">
        <v>3776.9629050000003</v>
      </c>
      <c r="N30" s="34">
        <v>3776.9629050000003</v>
      </c>
      <c r="O30" s="34">
        <v>3776.9629050000003</v>
      </c>
      <c r="P30" s="34">
        <v>3776.9629050000003</v>
      </c>
      <c r="Q30" s="34">
        <v>3776.9629050000003</v>
      </c>
      <c r="R30" s="34">
        <v>3776.9629050000003</v>
      </c>
      <c r="S30" s="34">
        <v>3776.9629050000003</v>
      </c>
    </row>
    <row r="31" spans="1:19" ht="15.95">
      <c r="A31" s="30">
        <v>30</v>
      </c>
      <c r="B31" s="31" t="s">
        <v>133</v>
      </c>
      <c r="C31" s="31" t="s">
        <v>242</v>
      </c>
      <c r="D31" s="31" t="s">
        <v>356</v>
      </c>
      <c r="E31" s="32" t="s">
        <v>357</v>
      </c>
      <c r="F31" s="30" t="s">
        <v>384</v>
      </c>
      <c r="G31" s="33">
        <f t="shared" si="0"/>
        <v>44275.118400000007</v>
      </c>
      <c r="H31" s="34">
        <v>3689.5932000000003</v>
      </c>
      <c r="I31" s="34">
        <v>3689.5932000000003</v>
      </c>
      <c r="J31" s="34">
        <v>3689.5932000000003</v>
      </c>
      <c r="K31" s="34">
        <v>3689.5932000000003</v>
      </c>
      <c r="L31" s="34">
        <v>3689.5932000000003</v>
      </c>
      <c r="M31" s="34">
        <v>3689.5932000000003</v>
      </c>
      <c r="N31" s="34">
        <v>3689.5932000000003</v>
      </c>
      <c r="O31" s="34">
        <v>3689.5932000000003</v>
      </c>
      <c r="P31" s="34">
        <v>3689.5932000000003</v>
      </c>
      <c r="Q31" s="34">
        <v>3689.5932000000003</v>
      </c>
      <c r="R31" s="34">
        <v>3689.5932000000003</v>
      </c>
      <c r="S31" s="34">
        <v>3689.5932000000003</v>
      </c>
    </row>
    <row r="32" spans="1:19" ht="15.95">
      <c r="A32" s="30">
        <v>31</v>
      </c>
      <c r="B32" s="31" t="s">
        <v>133</v>
      </c>
      <c r="C32" s="71" t="s">
        <v>242</v>
      </c>
      <c r="D32" s="31" t="s">
        <v>356</v>
      </c>
      <c r="E32" s="32" t="s">
        <v>357</v>
      </c>
      <c r="F32" s="69" t="s">
        <v>385</v>
      </c>
      <c r="G32" s="33">
        <f t="shared" si="0"/>
        <v>3641.4810900000002</v>
      </c>
      <c r="H32" s="34">
        <v>3641.4810900000002</v>
      </c>
      <c r="I32" s="51"/>
      <c r="J32" s="51"/>
      <c r="K32" s="51"/>
      <c r="L32" s="51"/>
      <c r="M32" s="51"/>
      <c r="N32" s="51"/>
      <c r="O32" s="51"/>
      <c r="P32" s="51"/>
      <c r="Q32" s="51"/>
      <c r="R32" s="51"/>
      <c r="S32" s="51"/>
    </row>
    <row r="33" spans="1:19" ht="15.95">
      <c r="A33" s="30">
        <v>32</v>
      </c>
      <c r="B33" s="31" t="s">
        <v>133</v>
      </c>
      <c r="C33" s="31" t="s">
        <v>316</v>
      </c>
      <c r="D33" s="31" t="s">
        <v>356</v>
      </c>
      <c r="E33" s="32" t="s">
        <v>357</v>
      </c>
      <c r="F33" s="30" t="s">
        <v>386</v>
      </c>
      <c r="G33" s="33">
        <f t="shared" si="0"/>
        <v>47637.977975000002</v>
      </c>
      <c r="H33" s="34">
        <v>3637.9779750000002</v>
      </c>
      <c r="I33" s="34">
        <v>4000</v>
      </c>
      <c r="J33" s="34">
        <v>4000</v>
      </c>
      <c r="K33" s="34">
        <v>4000</v>
      </c>
      <c r="L33" s="34">
        <v>4000</v>
      </c>
      <c r="M33" s="34">
        <v>4000</v>
      </c>
      <c r="N33" s="34">
        <v>4000</v>
      </c>
      <c r="O33" s="34">
        <v>4000</v>
      </c>
      <c r="P33" s="34">
        <v>4000</v>
      </c>
      <c r="Q33" s="34">
        <v>4000</v>
      </c>
      <c r="R33" s="34">
        <v>4000</v>
      </c>
      <c r="S33" s="34">
        <v>4000</v>
      </c>
    </row>
    <row r="34" spans="1:19" ht="15.95">
      <c r="A34" s="30">
        <v>33</v>
      </c>
      <c r="B34" s="31" t="s">
        <v>133</v>
      </c>
      <c r="C34" s="31" t="s">
        <v>242</v>
      </c>
      <c r="D34" s="31" t="s">
        <v>356</v>
      </c>
      <c r="E34" s="32" t="s">
        <v>357</v>
      </c>
      <c r="F34" s="30" t="s">
        <v>387</v>
      </c>
      <c r="G34" s="33">
        <f t="shared" si="0"/>
        <v>3380</v>
      </c>
      <c r="H34" s="34">
        <v>1690</v>
      </c>
      <c r="I34" s="34">
        <v>1690</v>
      </c>
      <c r="J34" s="51"/>
      <c r="K34" s="51"/>
      <c r="L34" s="51"/>
      <c r="M34" s="51"/>
      <c r="N34" s="51"/>
      <c r="O34" s="51"/>
      <c r="P34" s="51"/>
      <c r="Q34" s="51"/>
      <c r="R34" s="51"/>
      <c r="S34" s="51"/>
    </row>
    <row r="35" spans="1:19" ht="15.95">
      <c r="A35" s="30">
        <v>34</v>
      </c>
      <c r="B35" s="31" t="s">
        <v>133</v>
      </c>
      <c r="C35" s="31" t="s">
        <v>242</v>
      </c>
      <c r="D35" s="31" t="s">
        <v>356</v>
      </c>
      <c r="E35" s="32" t="s">
        <v>357</v>
      </c>
      <c r="F35" s="30" t="s">
        <v>388</v>
      </c>
      <c r="G35" s="33">
        <f t="shared" si="0"/>
        <v>7213.0802400000002</v>
      </c>
      <c r="H35" s="34">
        <v>3606.5401200000001</v>
      </c>
      <c r="I35" s="34">
        <v>3606.5401200000001</v>
      </c>
      <c r="J35" s="51"/>
      <c r="K35" s="51"/>
      <c r="L35" s="51"/>
      <c r="M35" s="51"/>
      <c r="N35" s="51"/>
      <c r="O35" s="51"/>
      <c r="P35" s="51"/>
      <c r="Q35" s="51"/>
      <c r="R35" s="51"/>
      <c r="S35" s="51"/>
    </row>
    <row r="36" spans="1:19" ht="15.95">
      <c r="A36" s="30">
        <v>35</v>
      </c>
      <c r="B36" s="31" t="s">
        <v>135</v>
      </c>
      <c r="C36" s="31" t="s">
        <v>132</v>
      </c>
      <c r="D36" s="31" t="s">
        <v>356</v>
      </c>
      <c r="E36" s="32" t="s">
        <v>357</v>
      </c>
      <c r="F36" s="30" t="s">
        <v>389</v>
      </c>
      <c r="G36" s="33">
        <f t="shared" si="0"/>
        <v>43180.80000000001</v>
      </c>
      <c r="H36" s="34">
        <v>3598.4</v>
      </c>
      <c r="I36" s="34">
        <v>3598.4</v>
      </c>
      <c r="J36" s="34">
        <v>3598.4</v>
      </c>
      <c r="K36" s="34">
        <v>3598.4</v>
      </c>
      <c r="L36" s="34">
        <v>3598.4</v>
      </c>
      <c r="M36" s="34">
        <v>3598.4</v>
      </c>
      <c r="N36" s="34">
        <v>3598.4</v>
      </c>
      <c r="O36" s="34">
        <v>3598.4</v>
      </c>
      <c r="P36" s="34">
        <v>3598.4</v>
      </c>
      <c r="Q36" s="34">
        <v>3598.4</v>
      </c>
      <c r="R36" s="34">
        <v>3598.4</v>
      </c>
      <c r="S36" s="34">
        <v>3598.4</v>
      </c>
    </row>
    <row r="37" spans="1:19" ht="15.95">
      <c r="A37" s="30">
        <v>36</v>
      </c>
      <c r="B37" s="31" t="s">
        <v>135</v>
      </c>
      <c r="C37" s="31" t="s">
        <v>242</v>
      </c>
      <c r="D37" s="31" t="s">
        <v>356</v>
      </c>
      <c r="E37" s="32" t="s">
        <v>357</v>
      </c>
      <c r="F37" s="30" t="s">
        <v>390</v>
      </c>
      <c r="G37" s="33">
        <f t="shared" si="0"/>
        <v>43087.19999999999</v>
      </c>
      <c r="H37" s="34">
        <v>3590.6</v>
      </c>
      <c r="I37" s="34">
        <v>3590.6</v>
      </c>
      <c r="J37" s="34">
        <v>3590.6</v>
      </c>
      <c r="K37" s="34">
        <v>3590.6</v>
      </c>
      <c r="L37" s="34">
        <v>3590.6</v>
      </c>
      <c r="M37" s="34">
        <v>3590.6</v>
      </c>
      <c r="N37" s="34">
        <v>3590.6</v>
      </c>
      <c r="O37" s="34">
        <v>3590.6</v>
      </c>
      <c r="P37" s="34">
        <v>3590.6</v>
      </c>
      <c r="Q37" s="34">
        <v>3590.6</v>
      </c>
      <c r="R37" s="34">
        <v>3590.6</v>
      </c>
      <c r="S37" s="34">
        <v>3590.6</v>
      </c>
    </row>
    <row r="38" spans="1:19" ht="15.95">
      <c r="A38" s="30">
        <v>37</v>
      </c>
      <c r="B38" s="31" t="s">
        <v>133</v>
      </c>
      <c r="C38" s="31" t="s">
        <v>242</v>
      </c>
      <c r="D38" s="31" t="s">
        <v>356</v>
      </c>
      <c r="E38" s="32" t="s">
        <v>357</v>
      </c>
      <c r="F38" s="30" t="s">
        <v>391</v>
      </c>
      <c r="G38" s="33">
        <f t="shared" si="0"/>
        <v>42601.342500000021</v>
      </c>
      <c r="H38" s="34">
        <v>3550.1118750000005</v>
      </c>
      <c r="I38" s="34">
        <v>3550.1118750000005</v>
      </c>
      <c r="J38" s="34">
        <v>3550.1118750000005</v>
      </c>
      <c r="K38" s="34">
        <v>3550.1118750000005</v>
      </c>
      <c r="L38" s="34">
        <v>3550.1118750000005</v>
      </c>
      <c r="M38" s="34">
        <v>3550.1118750000005</v>
      </c>
      <c r="N38" s="34">
        <v>3550.1118750000005</v>
      </c>
      <c r="O38" s="34">
        <v>3550.1118750000005</v>
      </c>
      <c r="P38" s="34">
        <v>3550.1118750000005</v>
      </c>
      <c r="Q38" s="34">
        <v>3550.1118750000005</v>
      </c>
      <c r="R38" s="34">
        <v>3550.1118750000005</v>
      </c>
      <c r="S38" s="34">
        <v>3550.1118750000005</v>
      </c>
    </row>
    <row r="39" spans="1:19" ht="15.95">
      <c r="A39" s="30">
        <v>38</v>
      </c>
      <c r="B39" s="39" t="s">
        <v>133</v>
      </c>
      <c r="C39" s="39" t="s">
        <v>180</v>
      </c>
      <c r="D39" s="39" t="s">
        <v>356</v>
      </c>
      <c r="E39" s="38" t="s">
        <v>357</v>
      </c>
      <c r="F39" s="70" t="s">
        <v>392</v>
      </c>
      <c r="G39" s="33">
        <f t="shared" si="0"/>
        <v>93500</v>
      </c>
      <c r="H39" s="41"/>
      <c r="I39" s="41">
        <v>8500</v>
      </c>
      <c r="J39" s="41">
        <v>8500</v>
      </c>
      <c r="K39" s="41">
        <v>8500</v>
      </c>
      <c r="L39" s="41">
        <v>8500</v>
      </c>
      <c r="M39" s="41">
        <v>8500</v>
      </c>
      <c r="N39" s="41">
        <v>8500</v>
      </c>
      <c r="O39" s="41">
        <v>8500</v>
      </c>
      <c r="P39" s="41">
        <v>8500</v>
      </c>
      <c r="Q39" s="41">
        <v>8500</v>
      </c>
      <c r="R39" s="41">
        <v>8500</v>
      </c>
      <c r="S39" s="41">
        <v>8500</v>
      </c>
    </row>
    <row r="40" spans="1:19" ht="15.95">
      <c r="A40" s="30">
        <v>39</v>
      </c>
      <c r="B40" s="31" t="s">
        <v>135</v>
      </c>
      <c r="C40" s="31" t="s">
        <v>242</v>
      </c>
      <c r="D40" s="31" t="s">
        <v>356</v>
      </c>
      <c r="E40" s="32" t="s">
        <v>357</v>
      </c>
      <c r="F40" s="30" t="s">
        <v>393</v>
      </c>
      <c r="G40" s="33">
        <f t="shared" si="0"/>
        <v>41511.600000000006</v>
      </c>
      <c r="H40" s="34">
        <v>3459.3</v>
      </c>
      <c r="I40" s="34">
        <v>3459.3</v>
      </c>
      <c r="J40" s="34">
        <v>3459.3</v>
      </c>
      <c r="K40" s="34">
        <v>3459.3</v>
      </c>
      <c r="L40" s="34">
        <v>3459.3</v>
      </c>
      <c r="M40" s="34">
        <v>3459.3</v>
      </c>
      <c r="N40" s="34">
        <v>3459.3</v>
      </c>
      <c r="O40" s="34">
        <v>3459.3</v>
      </c>
      <c r="P40" s="34">
        <v>3459.3</v>
      </c>
      <c r="Q40" s="34">
        <v>3459.3</v>
      </c>
      <c r="R40" s="34">
        <v>3459.3</v>
      </c>
      <c r="S40" s="34">
        <v>3459.3</v>
      </c>
    </row>
    <row r="41" spans="1:19" ht="15.95">
      <c r="A41" s="30">
        <v>40</v>
      </c>
      <c r="B41" s="31" t="s">
        <v>133</v>
      </c>
      <c r="C41" s="31" t="s">
        <v>242</v>
      </c>
      <c r="D41" s="31" t="s">
        <v>356</v>
      </c>
      <c r="E41" s="32" t="s">
        <v>357</v>
      </c>
      <c r="F41" s="47" t="s">
        <v>394</v>
      </c>
      <c r="G41" s="33">
        <f t="shared" si="0"/>
        <v>6717.6010800000004</v>
      </c>
      <c r="H41" s="34">
        <v>3358.8005400000002</v>
      </c>
      <c r="I41" s="34">
        <v>3358.8005400000002</v>
      </c>
      <c r="J41" s="51"/>
      <c r="K41" s="51"/>
      <c r="L41" s="51"/>
      <c r="M41" s="51"/>
      <c r="N41" s="51"/>
      <c r="O41" s="51"/>
      <c r="P41" s="51"/>
      <c r="Q41" s="51"/>
      <c r="R41" s="51"/>
      <c r="S41" s="51"/>
    </row>
    <row r="42" spans="1:19" ht="15.95">
      <c r="A42" s="30">
        <v>41</v>
      </c>
      <c r="B42" s="31" t="s">
        <v>138</v>
      </c>
      <c r="C42" s="31" t="s">
        <v>132</v>
      </c>
      <c r="D42" s="31" t="s">
        <v>356</v>
      </c>
      <c r="E42" s="32" t="s">
        <v>357</v>
      </c>
      <c r="F42" s="30" t="s">
        <v>395</v>
      </c>
      <c r="G42" s="33">
        <f t="shared" si="0"/>
        <v>39836.736000000004</v>
      </c>
      <c r="H42" s="34">
        <v>3319.7279999999996</v>
      </c>
      <c r="I42" s="34">
        <v>3319.7279999999996</v>
      </c>
      <c r="J42" s="34">
        <v>3319.7279999999996</v>
      </c>
      <c r="K42" s="34">
        <v>3319.7279999999996</v>
      </c>
      <c r="L42" s="34">
        <v>3319.7279999999996</v>
      </c>
      <c r="M42" s="34">
        <v>3319.7279999999996</v>
      </c>
      <c r="N42" s="34">
        <v>3319.7279999999996</v>
      </c>
      <c r="O42" s="34">
        <v>3319.7279999999996</v>
      </c>
      <c r="P42" s="34">
        <v>3319.7279999999996</v>
      </c>
      <c r="Q42" s="34">
        <v>3319.7279999999996</v>
      </c>
      <c r="R42" s="34">
        <v>3319.7279999999996</v>
      </c>
      <c r="S42" s="34">
        <v>3319.7279999999996</v>
      </c>
    </row>
    <row r="43" spans="1:19" ht="15.95">
      <c r="A43" s="30">
        <v>42</v>
      </c>
      <c r="B43" s="31" t="s">
        <v>133</v>
      </c>
      <c r="C43" s="31" t="s">
        <v>242</v>
      </c>
      <c r="D43" s="31" t="s">
        <v>356</v>
      </c>
      <c r="E43" s="32" t="s">
        <v>357</v>
      </c>
      <c r="F43" s="30" t="s">
        <v>396</v>
      </c>
      <c r="G43" s="33">
        <f t="shared" si="0"/>
        <v>39398.774219999992</v>
      </c>
      <c r="H43" s="34">
        <v>3283.2311850000001</v>
      </c>
      <c r="I43" s="34">
        <v>3283.2311850000001</v>
      </c>
      <c r="J43" s="34">
        <v>3283.2311850000001</v>
      </c>
      <c r="K43" s="34">
        <v>3283.2311850000001</v>
      </c>
      <c r="L43" s="34">
        <v>3283.2311850000001</v>
      </c>
      <c r="M43" s="34">
        <v>3283.2311850000001</v>
      </c>
      <c r="N43" s="34">
        <v>3283.2311850000001</v>
      </c>
      <c r="O43" s="34">
        <v>3283.2311850000001</v>
      </c>
      <c r="P43" s="34">
        <v>3283.2311850000001</v>
      </c>
      <c r="Q43" s="34">
        <v>3283.2311850000001</v>
      </c>
      <c r="R43" s="34">
        <v>3283.2311850000001</v>
      </c>
      <c r="S43" s="34">
        <v>3283.2311850000001</v>
      </c>
    </row>
    <row r="44" spans="1:19" ht="15.95">
      <c r="A44" s="30">
        <v>43</v>
      </c>
      <c r="B44" s="31" t="s">
        <v>135</v>
      </c>
      <c r="C44" s="31" t="s">
        <v>180</v>
      </c>
      <c r="D44" s="31" t="s">
        <v>356</v>
      </c>
      <c r="E44" s="32" t="s">
        <v>357</v>
      </c>
      <c r="F44" s="30" t="s">
        <v>397</v>
      </c>
      <c r="G44" s="33">
        <f t="shared" si="0"/>
        <v>38625.599999999999</v>
      </c>
      <c r="H44" s="34">
        <v>3218.8</v>
      </c>
      <c r="I44" s="34">
        <v>3218.8</v>
      </c>
      <c r="J44" s="34">
        <v>3218.8</v>
      </c>
      <c r="K44" s="34">
        <v>3218.8</v>
      </c>
      <c r="L44" s="34">
        <v>3218.8</v>
      </c>
      <c r="M44" s="34">
        <v>3218.8</v>
      </c>
      <c r="N44" s="34">
        <v>3218.8</v>
      </c>
      <c r="O44" s="34">
        <v>3218.8</v>
      </c>
      <c r="P44" s="34">
        <v>3218.8</v>
      </c>
      <c r="Q44" s="34">
        <v>3218.8</v>
      </c>
      <c r="R44" s="34">
        <v>3218.8</v>
      </c>
      <c r="S44" s="34">
        <v>3218.8</v>
      </c>
    </row>
    <row r="45" spans="1:19" ht="15.95">
      <c r="A45" s="30">
        <v>44</v>
      </c>
      <c r="B45" s="31" t="s">
        <v>135</v>
      </c>
      <c r="C45" s="31" t="s">
        <v>180</v>
      </c>
      <c r="D45" s="31" t="s">
        <v>356</v>
      </c>
      <c r="E45" s="32" t="s">
        <v>357</v>
      </c>
      <c r="F45" s="30" t="s">
        <v>398</v>
      </c>
      <c r="G45" s="33">
        <f t="shared" si="0"/>
        <v>38625.599999999999</v>
      </c>
      <c r="H45" s="34">
        <v>3218.8</v>
      </c>
      <c r="I45" s="34">
        <v>3218.8</v>
      </c>
      <c r="J45" s="34">
        <v>3218.8</v>
      </c>
      <c r="K45" s="34">
        <v>3218.8</v>
      </c>
      <c r="L45" s="34">
        <v>3218.8</v>
      </c>
      <c r="M45" s="34">
        <v>3218.8</v>
      </c>
      <c r="N45" s="34">
        <v>3218.8</v>
      </c>
      <c r="O45" s="34">
        <v>3218.8</v>
      </c>
      <c r="P45" s="34">
        <v>3218.8</v>
      </c>
      <c r="Q45" s="34">
        <v>3218.8</v>
      </c>
      <c r="R45" s="34">
        <v>3218.8</v>
      </c>
      <c r="S45" s="34">
        <v>3218.8</v>
      </c>
    </row>
    <row r="46" spans="1:19" ht="15.95">
      <c r="A46" s="30">
        <v>45</v>
      </c>
      <c r="B46" s="31" t="s">
        <v>135</v>
      </c>
      <c r="C46" s="31" t="s">
        <v>180</v>
      </c>
      <c r="D46" s="31" t="s">
        <v>356</v>
      </c>
      <c r="E46" s="32" t="s">
        <v>357</v>
      </c>
      <c r="F46" s="30" t="s">
        <v>399</v>
      </c>
      <c r="G46" s="33">
        <f t="shared" si="0"/>
        <v>38625.599999999999</v>
      </c>
      <c r="H46" s="34">
        <v>3218.8</v>
      </c>
      <c r="I46" s="34">
        <v>3218.8</v>
      </c>
      <c r="J46" s="34">
        <v>3218.8</v>
      </c>
      <c r="K46" s="34">
        <v>3218.8</v>
      </c>
      <c r="L46" s="34">
        <v>3218.8</v>
      </c>
      <c r="M46" s="34">
        <v>3218.8</v>
      </c>
      <c r="N46" s="34">
        <v>3218.8</v>
      </c>
      <c r="O46" s="34">
        <v>3218.8</v>
      </c>
      <c r="P46" s="34">
        <v>3218.8</v>
      </c>
      <c r="Q46" s="34">
        <v>3218.8</v>
      </c>
      <c r="R46" s="34">
        <v>3218.8</v>
      </c>
      <c r="S46" s="34">
        <v>3218.8</v>
      </c>
    </row>
    <row r="47" spans="1:19" ht="15.95">
      <c r="A47" s="30">
        <v>46</v>
      </c>
      <c r="B47" s="31" t="s">
        <v>135</v>
      </c>
      <c r="C47" s="31" t="s">
        <v>180</v>
      </c>
      <c r="D47" s="31" t="s">
        <v>356</v>
      </c>
      <c r="E47" s="32" t="s">
        <v>357</v>
      </c>
      <c r="F47" s="30" t="s">
        <v>400</v>
      </c>
      <c r="G47" s="33">
        <f t="shared" si="0"/>
        <v>9656.4000000000015</v>
      </c>
      <c r="H47" s="34">
        <v>3218.8</v>
      </c>
      <c r="I47" s="34">
        <v>3218.8</v>
      </c>
      <c r="J47" s="34">
        <v>3218.8</v>
      </c>
      <c r="K47" s="51"/>
      <c r="L47" s="51"/>
      <c r="M47" s="51"/>
      <c r="N47" s="51"/>
      <c r="O47" s="51"/>
      <c r="P47" s="51"/>
      <c r="Q47" s="51"/>
      <c r="R47" s="51"/>
      <c r="S47" s="51"/>
    </row>
    <row r="48" spans="1:19" ht="15.95">
      <c r="A48" s="30">
        <v>47</v>
      </c>
      <c r="B48" s="31" t="s">
        <v>133</v>
      </c>
      <c r="C48" s="31" t="s">
        <v>242</v>
      </c>
      <c r="D48" s="31" t="s">
        <v>356</v>
      </c>
      <c r="E48" s="32" t="s">
        <v>357</v>
      </c>
      <c r="F48" s="47" t="s">
        <v>401</v>
      </c>
      <c r="G48" s="33">
        <f t="shared" si="0"/>
        <v>3217.5490950000003</v>
      </c>
      <c r="H48" s="34">
        <v>3217.5490950000003</v>
      </c>
      <c r="I48" s="51"/>
      <c r="J48" s="51"/>
      <c r="K48" s="51"/>
      <c r="L48" s="51"/>
      <c r="M48" s="51"/>
      <c r="N48" s="51"/>
      <c r="O48" s="51"/>
      <c r="P48" s="51"/>
      <c r="Q48" s="51"/>
      <c r="R48" s="51"/>
      <c r="S48" s="51"/>
    </row>
    <row r="49" spans="1:19" ht="15.95">
      <c r="A49" s="30">
        <v>48</v>
      </c>
      <c r="B49" s="31" t="s">
        <v>135</v>
      </c>
      <c r="C49" s="31" t="s">
        <v>316</v>
      </c>
      <c r="D49" s="31" t="s">
        <v>356</v>
      </c>
      <c r="E49" s="32" t="s">
        <v>357</v>
      </c>
      <c r="F49" s="30" t="s">
        <v>402</v>
      </c>
      <c r="G49" s="33">
        <f t="shared" si="0"/>
        <v>6253</v>
      </c>
      <c r="H49" s="34">
        <v>3126.5</v>
      </c>
      <c r="I49" s="34">
        <v>3126.5</v>
      </c>
      <c r="J49" s="51"/>
      <c r="K49" s="51"/>
      <c r="L49" s="51"/>
      <c r="M49" s="51"/>
      <c r="N49" s="51"/>
      <c r="O49" s="51"/>
      <c r="P49" s="51"/>
      <c r="Q49" s="51"/>
      <c r="R49" s="51"/>
      <c r="S49" s="51"/>
    </row>
    <row r="50" spans="1:19" ht="15.95">
      <c r="A50" s="30">
        <v>49</v>
      </c>
      <c r="B50" s="31" t="s">
        <v>133</v>
      </c>
      <c r="C50" s="71" t="s">
        <v>242</v>
      </c>
      <c r="D50" s="31" t="s">
        <v>356</v>
      </c>
      <c r="E50" s="32" t="s">
        <v>357</v>
      </c>
      <c r="F50" s="69" t="s">
        <v>403</v>
      </c>
      <c r="G50" s="33">
        <f t="shared" si="0"/>
        <v>1543.8275325</v>
      </c>
      <c r="H50" s="34">
        <v>1543.8275325</v>
      </c>
      <c r="I50" s="51"/>
      <c r="J50" s="51"/>
      <c r="K50" s="51"/>
      <c r="L50" s="51"/>
      <c r="M50" s="51"/>
      <c r="N50" s="51"/>
      <c r="O50" s="51"/>
      <c r="P50" s="51"/>
      <c r="Q50" s="51"/>
      <c r="R50" s="51"/>
      <c r="S50" s="51"/>
    </row>
    <row r="51" spans="1:19" ht="15.95">
      <c r="A51" s="30">
        <v>50</v>
      </c>
      <c r="B51" s="31" t="s">
        <v>133</v>
      </c>
      <c r="C51" s="31" t="s">
        <v>180</v>
      </c>
      <c r="D51" s="31" t="s">
        <v>356</v>
      </c>
      <c r="E51" s="32" t="s">
        <v>357</v>
      </c>
      <c r="F51" s="30" t="s">
        <v>404</v>
      </c>
      <c r="G51" s="33">
        <f t="shared" si="0"/>
        <v>36286.389719999999</v>
      </c>
      <c r="H51" s="34">
        <v>3023.8658100000002</v>
      </c>
      <c r="I51" s="34">
        <v>3023.8658100000002</v>
      </c>
      <c r="J51" s="34">
        <v>3023.8658100000002</v>
      </c>
      <c r="K51" s="34">
        <v>3023.8658100000002</v>
      </c>
      <c r="L51" s="34">
        <v>3023.8658100000002</v>
      </c>
      <c r="M51" s="34">
        <v>3023.8658100000002</v>
      </c>
      <c r="N51" s="34">
        <v>3023.8658100000002</v>
      </c>
      <c r="O51" s="34">
        <v>3023.8658100000002</v>
      </c>
      <c r="P51" s="34">
        <v>3023.8658100000002</v>
      </c>
      <c r="Q51" s="34">
        <v>3023.8658100000002</v>
      </c>
      <c r="R51" s="34">
        <v>3023.8658100000002</v>
      </c>
      <c r="S51" s="34">
        <v>3023.8658100000002</v>
      </c>
    </row>
    <row r="52" spans="1:19" ht="15.95">
      <c r="A52" s="30">
        <v>51</v>
      </c>
      <c r="B52" s="31" t="s">
        <v>133</v>
      </c>
      <c r="C52" s="31" t="s">
        <v>316</v>
      </c>
      <c r="D52" s="31" t="s">
        <v>356</v>
      </c>
      <c r="E52" s="32" t="s">
        <v>357</v>
      </c>
      <c r="F52" s="30" t="s">
        <v>405</v>
      </c>
      <c r="G52" s="33">
        <f t="shared" si="0"/>
        <v>35210.580120000006</v>
      </c>
      <c r="H52" s="34">
        <v>2934.2150100000003</v>
      </c>
      <c r="I52" s="34">
        <v>2934.2150100000003</v>
      </c>
      <c r="J52" s="34">
        <v>2934.2150100000003</v>
      </c>
      <c r="K52" s="34">
        <v>2934.2150100000003</v>
      </c>
      <c r="L52" s="34">
        <v>2934.2150100000003</v>
      </c>
      <c r="M52" s="34">
        <v>2934.2150100000003</v>
      </c>
      <c r="N52" s="34">
        <v>2934.2150100000003</v>
      </c>
      <c r="O52" s="34">
        <v>2934.2150100000003</v>
      </c>
      <c r="P52" s="34">
        <v>2934.2150100000003</v>
      </c>
      <c r="Q52" s="34">
        <v>2934.2150100000003</v>
      </c>
      <c r="R52" s="34">
        <v>2934.2150100000003</v>
      </c>
      <c r="S52" s="34">
        <v>2934.2150100000003</v>
      </c>
    </row>
    <row r="53" spans="1:19" ht="15.95">
      <c r="A53" s="30">
        <v>52</v>
      </c>
      <c r="B53" s="31" t="s">
        <v>133</v>
      </c>
      <c r="C53" s="31" t="s">
        <v>242</v>
      </c>
      <c r="D53" s="31" t="s">
        <v>356</v>
      </c>
      <c r="E53" s="32" t="s">
        <v>357</v>
      </c>
      <c r="F53" s="30" t="s">
        <v>406</v>
      </c>
      <c r="G53" s="33">
        <f t="shared" si="0"/>
        <v>31248.7389</v>
      </c>
      <c r="H53" s="34">
        <v>2604.0615750000002</v>
      </c>
      <c r="I53" s="34">
        <v>2604.0615750000002</v>
      </c>
      <c r="J53" s="34">
        <v>2604.0615750000002</v>
      </c>
      <c r="K53" s="34">
        <v>2604.0615750000002</v>
      </c>
      <c r="L53" s="34">
        <v>2604.0615750000002</v>
      </c>
      <c r="M53" s="34">
        <v>2604.0615750000002</v>
      </c>
      <c r="N53" s="34">
        <v>2604.0615750000002</v>
      </c>
      <c r="O53" s="34">
        <v>2604.0615750000002</v>
      </c>
      <c r="P53" s="34">
        <v>2604.0615750000002</v>
      </c>
      <c r="Q53" s="34">
        <v>2604.0615750000002</v>
      </c>
      <c r="R53" s="34">
        <v>2604.0615750000002</v>
      </c>
      <c r="S53" s="34">
        <v>2604.0615750000002</v>
      </c>
    </row>
    <row r="54" spans="1:19" ht="15.95">
      <c r="A54" s="30">
        <v>53</v>
      </c>
      <c r="B54" s="31" t="s">
        <v>135</v>
      </c>
      <c r="C54" s="31" t="s">
        <v>242</v>
      </c>
      <c r="D54" s="31" t="s">
        <v>356</v>
      </c>
      <c r="E54" s="32" t="s">
        <v>357</v>
      </c>
      <c r="F54" s="30" t="s">
        <v>407</v>
      </c>
      <c r="G54" s="33">
        <f t="shared" si="0"/>
        <v>22850.1</v>
      </c>
      <c r="H54" s="34">
        <v>2538.9</v>
      </c>
      <c r="I54" s="34">
        <v>2538.9</v>
      </c>
      <c r="J54" s="34">
        <v>1777.23</v>
      </c>
      <c r="K54" s="34">
        <v>1777.23</v>
      </c>
      <c r="L54" s="34">
        <v>1777.23</v>
      </c>
      <c r="M54" s="34">
        <v>1777.23</v>
      </c>
      <c r="N54" s="34">
        <v>1777.23</v>
      </c>
      <c r="O54" s="34">
        <v>1777.23</v>
      </c>
      <c r="P54" s="34">
        <v>1777.23</v>
      </c>
      <c r="Q54" s="34">
        <v>1777.23</v>
      </c>
      <c r="R54" s="34">
        <v>1777.23</v>
      </c>
      <c r="S54" s="34">
        <v>1777.23</v>
      </c>
    </row>
    <row r="55" spans="1:19" ht="15.95">
      <c r="A55" s="30">
        <v>54</v>
      </c>
      <c r="B55" s="31" t="s">
        <v>133</v>
      </c>
      <c r="C55" s="31" t="s">
        <v>242</v>
      </c>
      <c r="D55" s="31" t="s">
        <v>356</v>
      </c>
      <c r="E55" s="32" t="s">
        <v>357</v>
      </c>
      <c r="F55" s="30" t="s">
        <v>408</v>
      </c>
      <c r="G55" s="33">
        <f t="shared" si="0"/>
        <v>29517.069059999994</v>
      </c>
      <c r="H55" s="34">
        <v>2459.7557550000001</v>
      </c>
      <c r="I55" s="34">
        <v>2459.7557550000001</v>
      </c>
      <c r="J55" s="34">
        <v>2459.7557550000001</v>
      </c>
      <c r="K55" s="34">
        <v>2459.7557550000001</v>
      </c>
      <c r="L55" s="34">
        <v>2459.7557550000001</v>
      </c>
      <c r="M55" s="34">
        <v>2459.7557550000001</v>
      </c>
      <c r="N55" s="34">
        <v>2459.7557550000001</v>
      </c>
      <c r="O55" s="34">
        <v>2459.7557550000001</v>
      </c>
      <c r="P55" s="34">
        <v>2459.7557550000001</v>
      </c>
      <c r="Q55" s="34">
        <v>2459.7557550000001</v>
      </c>
      <c r="R55" s="34">
        <v>2459.7557550000001</v>
      </c>
      <c r="S55" s="34">
        <v>2459.7557550000001</v>
      </c>
    </row>
    <row r="56" spans="1:19" ht="15.95">
      <c r="A56" s="30">
        <v>55</v>
      </c>
      <c r="B56" s="31" t="s">
        <v>133</v>
      </c>
      <c r="C56" s="31" t="s">
        <v>242</v>
      </c>
      <c r="D56" s="31" t="s">
        <v>356</v>
      </c>
      <c r="E56" s="32" t="s">
        <v>357</v>
      </c>
      <c r="F56" s="30" t="s">
        <v>409</v>
      </c>
      <c r="G56" s="33">
        <f t="shared" si="0"/>
        <v>4914.8108100000009</v>
      </c>
      <c r="H56" s="34">
        <v>2457.4054050000004</v>
      </c>
      <c r="I56" s="34">
        <v>2457.4054050000004</v>
      </c>
      <c r="J56" s="51"/>
      <c r="K56" s="51"/>
      <c r="L56" s="51"/>
      <c r="M56" s="51"/>
      <c r="N56" s="51"/>
      <c r="O56" s="51"/>
      <c r="P56" s="51"/>
      <c r="Q56" s="51"/>
      <c r="R56" s="51"/>
      <c r="S56" s="51"/>
    </row>
    <row r="57" spans="1:19" ht="15.95">
      <c r="A57" s="30">
        <v>56</v>
      </c>
      <c r="B57" s="31" t="s">
        <v>133</v>
      </c>
      <c r="C57" s="31" t="s">
        <v>180</v>
      </c>
      <c r="D57" s="31" t="s">
        <v>356</v>
      </c>
      <c r="E57" s="32" t="s">
        <v>357</v>
      </c>
      <c r="F57" s="30" t="s">
        <v>410</v>
      </c>
      <c r="G57" s="33">
        <f t="shared" si="0"/>
        <v>29163.116880000005</v>
      </c>
      <c r="H57" s="34">
        <v>2430.25974</v>
      </c>
      <c r="I57" s="34">
        <v>2430.25974</v>
      </c>
      <c r="J57" s="34">
        <v>2430.25974</v>
      </c>
      <c r="K57" s="34">
        <v>2430.25974</v>
      </c>
      <c r="L57" s="34">
        <v>2430.25974</v>
      </c>
      <c r="M57" s="34">
        <v>2430.25974</v>
      </c>
      <c r="N57" s="34">
        <v>2430.25974</v>
      </c>
      <c r="O57" s="34">
        <v>2430.25974</v>
      </c>
      <c r="P57" s="34">
        <v>2430.25974</v>
      </c>
      <c r="Q57" s="34">
        <v>2430.25974</v>
      </c>
      <c r="R57" s="34">
        <v>2430.25974</v>
      </c>
      <c r="S57" s="34">
        <v>2430.25974</v>
      </c>
    </row>
    <row r="58" spans="1:19" ht="15.95">
      <c r="A58" s="30">
        <v>57</v>
      </c>
      <c r="B58" s="31" t="s">
        <v>133</v>
      </c>
      <c r="C58" s="31" t="s">
        <v>242</v>
      </c>
      <c r="D58" s="31" t="s">
        <v>356</v>
      </c>
      <c r="E58" s="32" t="s">
        <v>357</v>
      </c>
      <c r="F58" s="30" t="s">
        <v>411</v>
      </c>
      <c r="G58" s="33">
        <f t="shared" si="0"/>
        <v>28050.272459999996</v>
      </c>
      <c r="H58" s="34">
        <v>2337.5227050000003</v>
      </c>
      <c r="I58" s="34">
        <v>2337.5227050000003</v>
      </c>
      <c r="J58" s="34">
        <v>2337.5227050000003</v>
      </c>
      <c r="K58" s="34">
        <v>2337.5227050000003</v>
      </c>
      <c r="L58" s="34">
        <v>2337.5227050000003</v>
      </c>
      <c r="M58" s="34">
        <v>2337.5227050000003</v>
      </c>
      <c r="N58" s="34">
        <v>2337.5227050000003</v>
      </c>
      <c r="O58" s="34">
        <v>2337.5227050000003</v>
      </c>
      <c r="P58" s="34">
        <v>2337.5227050000003</v>
      </c>
      <c r="Q58" s="34">
        <v>2337.5227050000003</v>
      </c>
      <c r="R58" s="34">
        <v>2337.5227050000003</v>
      </c>
      <c r="S58" s="34">
        <v>2337.5227050000003</v>
      </c>
    </row>
    <row r="59" spans="1:19" ht="15.95">
      <c r="A59" s="30">
        <v>58</v>
      </c>
      <c r="B59" s="31" t="s">
        <v>133</v>
      </c>
      <c r="C59" s="31" t="s">
        <v>132</v>
      </c>
      <c r="D59" s="31" t="s">
        <v>356</v>
      </c>
      <c r="E59" s="32" t="s">
        <v>357</v>
      </c>
      <c r="F59" s="30" t="s">
        <v>412</v>
      </c>
      <c r="G59" s="33">
        <f t="shared" si="0"/>
        <v>27806.399279999998</v>
      </c>
      <c r="H59" s="34">
        <v>2317.1999400000004</v>
      </c>
      <c r="I59" s="34">
        <v>2317.1999400000004</v>
      </c>
      <c r="J59" s="34">
        <v>2317.1999400000004</v>
      </c>
      <c r="K59" s="34">
        <v>2317.1999400000004</v>
      </c>
      <c r="L59" s="34">
        <v>2317.1999400000004</v>
      </c>
      <c r="M59" s="34">
        <v>2317.1999400000004</v>
      </c>
      <c r="N59" s="34">
        <v>2317.1999400000004</v>
      </c>
      <c r="O59" s="34">
        <v>2317.1999400000004</v>
      </c>
      <c r="P59" s="34">
        <v>2317.1999400000004</v>
      </c>
      <c r="Q59" s="34">
        <v>2317.1999400000004</v>
      </c>
      <c r="R59" s="34">
        <v>2317.1999400000004</v>
      </c>
      <c r="S59" s="34">
        <v>2317.1999400000004</v>
      </c>
    </row>
    <row r="60" spans="1:19" ht="15.95">
      <c r="A60" s="30">
        <v>59</v>
      </c>
      <c r="B60" s="31" t="s">
        <v>138</v>
      </c>
      <c r="C60" s="31" t="s">
        <v>10</v>
      </c>
      <c r="D60" s="31" t="s">
        <v>356</v>
      </c>
      <c r="E60" s="32" t="s">
        <v>357</v>
      </c>
      <c r="F60" s="30" t="s">
        <v>413</v>
      </c>
      <c r="G60" s="33">
        <f t="shared" si="0"/>
        <v>27405.216</v>
      </c>
      <c r="H60" s="34">
        <v>2283.768</v>
      </c>
      <c r="I60" s="34">
        <v>2283.768</v>
      </c>
      <c r="J60" s="34">
        <v>2283.768</v>
      </c>
      <c r="K60" s="34">
        <v>2283.768</v>
      </c>
      <c r="L60" s="34">
        <v>2283.768</v>
      </c>
      <c r="M60" s="34">
        <v>2283.768</v>
      </c>
      <c r="N60" s="34">
        <v>2283.768</v>
      </c>
      <c r="O60" s="34">
        <v>2283.768</v>
      </c>
      <c r="P60" s="34">
        <v>2283.768</v>
      </c>
      <c r="Q60" s="34">
        <v>2283.768</v>
      </c>
      <c r="R60" s="34">
        <v>2283.768</v>
      </c>
      <c r="S60" s="34">
        <v>2283.768</v>
      </c>
    </row>
    <row r="61" spans="1:19" ht="15.95">
      <c r="A61" s="30">
        <v>60</v>
      </c>
      <c r="B61" s="31" t="s">
        <v>133</v>
      </c>
      <c r="C61" s="31" t="s">
        <v>242</v>
      </c>
      <c r="D61" s="31" t="s">
        <v>356</v>
      </c>
      <c r="E61" s="32" t="s">
        <v>357</v>
      </c>
      <c r="F61" s="47" t="s">
        <v>414</v>
      </c>
      <c r="G61" s="33">
        <f t="shared" si="0"/>
        <v>4347.6118200000001</v>
      </c>
      <c r="H61" s="34">
        <v>2173.80591</v>
      </c>
      <c r="I61" s="34">
        <v>2173.80591</v>
      </c>
      <c r="J61" s="51"/>
      <c r="K61" s="51"/>
      <c r="L61" s="51"/>
      <c r="M61" s="51"/>
      <c r="N61" s="51"/>
      <c r="O61" s="51"/>
      <c r="P61" s="51"/>
      <c r="Q61" s="51"/>
      <c r="R61" s="51"/>
      <c r="S61" s="51"/>
    </row>
    <row r="62" spans="1:19" ht="15.95">
      <c r="A62" s="30">
        <v>61</v>
      </c>
      <c r="B62" s="31" t="s">
        <v>133</v>
      </c>
      <c r="C62" s="31" t="s">
        <v>10</v>
      </c>
      <c r="D62" s="31" t="s">
        <v>356</v>
      </c>
      <c r="E62" s="32" t="s">
        <v>357</v>
      </c>
      <c r="F62" s="30" t="s">
        <v>415</v>
      </c>
      <c r="G62" s="33">
        <f t="shared" si="0"/>
        <v>22800</v>
      </c>
      <c r="H62" s="34">
        <v>1900</v>
      </c>
      <c r="I62" s="34">
        <v>1900</v>
      </c>
      <c r="J62" s="34">
        <v>1900</v>
      </c>
      <c r="K62" s="34">
        <v>1900</v>
      </c>
      <c r="L62" s="34">
        <v>1900</v>
      </c>
      <c r="M62" s="34">
        <v>1900</v>
      </c>
      <c r="N62" s="34">
        <v>1900</v>
      </c>
      <c r="O62" s="34">
        <v>1900</v>
      </c>
      <c r="P62" s="34">
        <v>1900</v>
      </c>
      <c r="Q62" s="34">
        <v>1900</v>
      </c>
      <c r="R62" s="34">
        <v>1900</v>
      </c>
      <c r="S62" s="34">
        <v>1900</v>
      </c>
    </row>
    <row r="63" spans="1:19" ht="15.95">
      <c r="A63" s="30">
        <v>62</v>
      </c>
      <c r="B63" s="31" t="s">
        <v>133</v>
      </c>
      <c r="C63" s="31" t="s">
        <v>242</v>
      </c>
      <c r="D63" s="31" t="s">
        <v>356</v>
      </c>
      <c r="E63" s="32" t="s">
        <v>357</v>
      </c>
      <c r="F63" s="30" t="s">
        <v>416</v>
      </c>
      <c r="G63" s="33">
        <f t="shared" si="0"/>
        <v>25960.028580000009</v>
      </c>
      <c r="H63" s="34">
        <v>2163.3357150000002</v>
      </c>
      <c r="I63" s="34">
        <v>2163.3357150000002</v>
      </c>
      <c r="J63" s="34">
        <v>2163.3357150000002</v>
      </c>
      <c r="K63" s="34">
        <v>2163.3357150000002</v>
      </c>
      <c r="L63" s="34">
        <v>2163.3357150000002</v>
      </c>
      <c r="M63" s="34">
        <v>2163.3357150000002</v>
      </c>
      <c r="N63" s="34">
        <v>2163.3357150000002</v>
      </c>
      <c r="O63" s="34">
        <v>2163.3357150000002</v>
      </c>
      <c r="P63" s="34">
        <v>2163.3357150000002</v>
      </c>
      <c r="Q63" s="34">
        <v>2163.3357150000002</v>
      </c>
      <c r="R63" s="34">
        <v>2163.3357150000002</v>
      </c>
      <c r="S63" s="34">
        <v>2163.3357150000002</v>
      </c>
    </row>
    <row r="64" spans="1:19" ht="15.95">
      <c r="A64" s="30">
        <v>63</v>
      </c>
      <c r="B64" s="31" t="s">
        <v>135</v>
      </c>
      <c r="C64" s="31" t="s">
        <v>10</v>
      </c>
      <c r="D64" s="31" t="s">
        <v>356</v>
      </c>
      <c r="E64" s="32" t="s">
        <v>357</v>
      </c>
      <c r="F64" s="30" t="s">
        <v>417</v>
      </c>
      <c r="G64" s="33">
        <f t="shared" si="0"/>
        <v>25240.800000000007</v>
      </c>
      <c r="H64" s="34">
        <v>2103.4</v>
      </c>
      <c r="I64" s="34">
        <v>2103.4</v>
      </c>
      <c r="J64" s="34">
        <v>2103.4</v>
      </c>
      <c r="K64" s="34">
        <v>2103.4</v>
      </c>
      <c r="L64" s="34">
        <v>2103.4</v>
      </c>
      <c r="M64" s="34">
        <v>2103.4</v>
      </c>
      <c r="N64" s="34">
        <v>2103.4</v>
      </c>
      <c r="O64" s="34">
        <v>2103.4</v>
      </c>
      <c r="P64" s="34">
        <v>2103.4</v>
      </c>
      <c r="Q64" s="34">
        <v>2103.4</v>
      </c>
      <c r="R64" s="34">
        <v>2103.4</v>
      </c>
      <c r="S64" s="34">
        <v>2103.4</v>
      </c>
    </row>
    <row r="65" spans="1:19" ht="15.95">
      <c r="A65" s="30">
        <v>64</v>
      </c>
      <c r="B65" s="31" t="s">
        <v>133</v>
      </c>
      <c r="C65" s="31" t="s">
        <v>132</v>
      </c>
      <c r="D65" s="31" t="s">
        <v>356</v>
      </c>
      <c r="E65" s="32" t="s">
        <v>357</v>
      </c>
      <c r="F65" s="30" t="s">
        <v>418</v>
      </c>
      <c r="G65" s="33">
        <f t="shared" si="0"/>
        <v>24790.310820000002</v>
      </c>
      <c r="H65" s="34">
        <v>2065.8592350000004</v>
      </c>
      <c r="I65" s="34">
        <v>2065.8592350000004</v>
      </c>
      <c r="J65" s="34">
        <v>2065.8592350000004</v>
      </c>
      <c r="K65" s="34">
        <v>2065.8592350000004</v>
      </c>
      <c r="L65" s="34">
        <v>2065.8592350000004</v>
      </c>
      <c r="M65" s="34">
        <v>2065.8592350000004</v>
      </c>
      <c r="N65" s="34">
        <v>2065.8592350000004</v>
      </c>
      <c r="O65" s="34">
        <v>2065.8592350000004</v>
      </c>
      <c r="P65" s="34">
        <v>2065.8592350000004</v>
      </c>
      <c r="Q65" s="34">
        <v>2065.8592350000004</v>
      </c>
      <c r="R65" s="34">
        <v>2065.8592350000004</v>
      </c>
      <c r="S65" s="34">
        <v>2065.8592350000004</v>
      </c>
    </row>
    <row r="66" spans="1:19" ht="15.95">
      <c r="A66" s="30">
        <v>65</v>
      </c>
      <c r="B66" s="31" t="s">
        <v>135</v>
      </c>
      <c r="C66" s="31" t="s">
        <v>242</v>
      </c>
      <c r="D66" s="31" t="s">
        <v>356</v>
      </c>
      <c r="E66" s="32" t="s">
        <v>357</v>
      </c>
      <c r="F66" s="30" t="s">
        <v>419</v>
      </c>
      <c r="G66" s="33">
        <f t="shared" ref="G66:G93" si="1">+SUM(H66:S66)</f>
        <v>24304.800000000003</v>
      </c>
      <c r="H66" s="34">
        <v>2025.4</v>
      </c>
      <c r="I66" s="34">
        <v>2025.4</v>
      </c>
      <c r="J66" s="34">
        <v>2025.4</v>
      </c>
      <c r="K66" s="34">
        <v>2025.4</v>
      </c>
      <c r="L66" s="34">
        <v>2025.4</v>
      </c>
      <c r="M66" s="34">
        <v>2025.4</v>
      </c>
      <c r="N66" s="34">
        <v>2025.4</v>
      </c>
      <c r="O66" s="34">
        <v>2025.4</v>
      </c>
      <c r="P66" s="34">
        <v>2025.4</v>
      </c>
      <c r="Q66" s="34">
        <v>2025.4</v>
      </c>
      <c r="R66" s="34">
        <v>2025.4</v>
      </c>
      <c r="S66" s="34">
        <v>2025.4</v>
      </c>
    </row>
    <row r="67" spans="1:19" ht="15.95">
      <c r="A67" s="30">
        <v>66</v>
      </c>
      <c r="B67" s="31" t="s">
        <v>133</v>
      </c>
      <c r="C67" s="31" t="s">
        <v>242</v>
      </c>
      <c r="D67" s="31" t="s">
        <v>356</v>
      </c>
      <c r="E67" s="32" t="s">
        <v>357</v>
      </c>
      <c r="F67" s="30" t="s">
        <v>420</v>
      </c>
      <c r="G67" s="33">
        <f t="shared" si="1"/>
        <v>24279.761340000001</v>
      </c>
      <c r="H67" s="34">
        <v>2023.3134450000002</v>
      </c>
      <c r="I67" s="34">
        <v>2023.3134450000002</v>
      </c>
      <c r="J67" s="34">
        <v>2023.3134450000002</v>
      </c>
      <c r="K67" s="34">
        <v>2023.3134450000002</v>
      </c>
      <c r="L67" s="34">
        <v>2023.3134450000002</v>
      </c>
      <c r="M67" s="34">
        <v>2023.3134450000002</v>
      </c>
      <c r="N67" s="34">
        <v>2023.3134450000002</v>
      </c>
      <c r="O67" s="34">
        <v>2023.3134450000002</v>
      </c>
      <c r="P67" s="34">
        <v>2023.3134450000002</v>
      </c>
      <c r="Q67" s="34">
        <v>2023.3134450000002</v>
      </c>
      <c r="R67" s="34">
        <v>2023.3134450000002</v>
      </c>
      <c r="S67" s="34">
        <v>2023.3134450000002</v>
      </c>
    </row>
    <row r="68" spans="1:19" ht="15.95">
      <c r="A68" s="30">
        <v>67</v>
      </c>
      <c r="B68" s="31" t="s">
        <v>133</v>
      </c>
      <c r="C68" s="31" t="s">
        <v>242</v>
      </c>
      <c r="D68" s="31" t="s">
        <v>356</v>
      </c>
      <c r="E68" s="32" t="s">
        <v>357</v>
      </c>
      <c r="F68" s="30" t="s">
        <v>421</v>
      </c>
      <c r="G68" s="33">
        <f t="shared" si="1"/>
        <v>4042.1311200000005</v>
      </c>
      <c r="H68" s="34">
        <v>2021.0655600000002</v>
      </c>
      <c r="I68" s="34">
        <v>2021.0655600000002</v>
      </c>
      <c r="J68" s="34">
        <v>0</v>
      </c>
      <c r="K68" s="34">
        <v>0</v>
      </c>
      <c r="L68" s="34">
        <v>0</v>
      </c>
      <c r="M68" s="34">
        <v>0</v>
      </c>
      <c r="N68" s="34">
        <v>0</v>
      </c>
      <c r="O68" s="34">
        <v>0</v>
      </c>
      <c r="P68" s="34">
        <v>0</v>
      </c>
      <c r="Q68" s="34">
        <v>0</v>
      </c>
      <c r="R68" s="34">
        <v>0</v>
      </c>
      <c r="S68" s="34">
        <v>0</v>
      </c>
    </row>
    <row r="69" spans="1:19" ht="15.95">
      <c r="A69" s="30">
        <v>68</v>
      </c>
      <c r="B69" s="31" t="s">
        <v>133</v>
      </c>
      <c r="C69" s="31" t="s">
        <v>180</v>
      </c>
      <c r="D69" s="31" t="s">
        <v>356</v>
      </c>
      <c r="E69" s="32" t="s">
        <v>357</v>
      </c>
      <c r="F69" s="30" t="s">
        <v>422</v>
      </c>
      <c r="G69" s="33">
        <f t="shared" si="1"/>
        <v>24214.992120000006</v>
      </c>
      <c r="H69" s="34">
        <v>2017.9160100000001</v>
      </c>
      <c r="I69" s="34">
        <v>2017.9160100000001</v>
      </c>
      <c r="J69" s="34">
        <v>2017.9160100000001</v>
      </c>
      <c r="K69" s="34">
        <v>2017.9160100000001</v>
      </c>
      <c r="L69" s="34">
        <v>2017.9160100000001</v>
      </c>
      <c r="M69" s="34">
        <v>2017.9160100000001</v>
      </c>
      <c r="N69" s="34">
        <v>2017.9160100000001</v>
      </c>
      <c r="O69" s="34">
        <v>2017.9160100000001</v>
      </c>
      <c r="P69" s="34">
        <v>2017.9160100000001</v>
      </c>
      <c r="Q69" s="34">
        <v>2017.9160100000001</v>
      </c>
      <c r="R69" s="34">
        <v>2017.9160100000001</v>
      </c>
      <c r="S69" s="34">
        <v>2017.9160100000001</v>
      </c>
    </row>
    <row r="70" spans="1:19" ht="15.95">
      <c r="A70" s="30">
        <v>69</v>
      </c>
      <c r="B70" s="31" t="s">
        <v>133</v>
      </c>
      <c r="C70" s="31" t="s">
        <v>242</v>
      </c>
      <c r="D70" s="31" t="s">
        <v>356</v>
      </c>
      <c r="E70" s="32" t="s">
        <v>357</v>
      </c>
      <c r="F70" s="47" t="s">
        <v>423</v>
      </c>
      <c r="G70" s="33">
        <f t="shared" si="1"/>
        <v>1919.8537650000003</v>
      </c>
      <c r="H70" s="34">
        <v>1919.8537650000003</v>
      </c>
      <c r="I70" s="51"/>
      <c r="J70" s="51"/>
      <c r="K70" s="51"/>
      <c r="L70" s="51"/>
      <c r="M70" s="51"/>
      <c r="N70" s="51"/>
      <c r="O70" s="51"/>
      <c r="P70" s="51"/>
      <c r="Q70" s="51"/>
      <c r="R70" s="51"/>
      <c r="S70" s="51"/>
    </row>
    <row r="71" spans="1:19" ht="15.95">
      <c r="A71" s="30">
        <v>70</v>
      </c>
      <c r="B71" s="31" t="s">
        <v>133</v>
      </c>
      <c r="C71" s="31" t="s">
        <v>242</v>
      </c>
      <c r="D71" s="31" t="s">
        <v>356</v>
      </c>
      <c r="E71" s="32" t="s">
        <v>357</v>
      </c>
      <c r="F71" s="30" t="s">
        <v>424</v>
      </c>
      <c r="G71" s="33">
        <f t="shared" si="1"/>
        <v>23019.911640000006</v>
      </c>
      <c r="H71" s="34">
        <v>1918.3259700000001</v>
      </c>
      <c r="I71" s="34">
        <v>1918.3259700000001</v>
      </c>
      <c r="J71" s="34">
        <v>1918.3259700000001</v>
      </c>
      <c r="K71" s="34">
        <v>1918.3259700000001</v>
      </c>
      <c r="L71" s="34">
        <v>1918.3259700000001</v>
      </c>
      <c r="M71" s="34">
        <v>1918.3259700000001</v>
      </c>
      <c r="N71" s="34">
        <v>1918.3259700000001</v>
      </c>
      <c r="O71" s="34">
        <v>1918.3259700000001</v>
      </c>
      <c r="P71" s="34">
        <v>1918.3259700000001</v>
      </c>
      <c r="Q71" s="34">
        <v>1918.3259700000001</v>
      </c>
      <c r="R71" s="34">
        <v>1918.3259700000001</v>
      </c>
      <c r="S71" s="34">
        <v>1918.3259700000001</v>
      </c>
    </row>
    <row r="72" spans="1:19" ht="15.95">
      <c r="A72" s="30">
        <v>71</v>
      </c>
      <c r="B72" s="31" t="s">
        <v>135</v>
      </c>
      <c r="C72" s="31" t="s">
        <v>242</v>
      </c>
      <c r="D72" s="31" t="s">
        <v>356</v>
      </c>
      <c r="E72" s="32" t="s">
        <v>357</v>
      </c>
      <c r="F72" s="30" t="s">
        <v>425</v>
      </c>
      <c r="G72" s="33">
        <f t="shared" si="1"/>
        <v>22620</v>
      </c>
      <c r="H72" s="34">
        <v>1885</v>
      </c>
      <c r="I72" s="34">
        <v>1885</v>
      </c>
      <c r="J72" s="34">
        <v>1885</v>
      </c>
      <c r="K72" s="34">
        <v>1885</v>
      </c>
      <c r="L72" s="34">
        <v>1885</v>
      </c>
      <c r="M72" s="34">
        <v>1885</v>
      </c>
      <c r="N72" s="34">
        <v>1885</v>
      </c>
      <c r="O72" s="34">
        <v>1885</v>
      </c>
      <c r="P72" s="34">
        <v>1885</v>
      </c>
      <c r="Q72" s="34">
        <v>1885</v>
      </c>
      <c r="R72" s="34">
        <v>1885</v>
      </c>
      <c r="S72" s="34">
        <v>1885</v>
      </c>
    </row>
    <row r="73" spans="1:19" ht="15.95">
      <c r="A73" s="30">
        <v>72</v>
      </c>
      <c r="B73" s="31" t="s">
        <v>133</v>
      </c>
      <c r="C73" s="31" t="s">
        <v>242</v>
      </c>
      <c r="D73" s="31" t="s">
        <v>356</v>
      </c>
      <c r="E73" s="32" t="s">
        <v>357</v>
      </c>
      <c r="F73" s="30" t="s">
        <v>426</v>
      </c>
      <c r="G73" s="33">
        <f t="shared" si="1"/>
        <v>21966.019020000007</v>
      </c>
      <c r="H73" s="34">
        <v>1830.5015850000002</v>
      </c>
      <c r="I73" s="34">
        <v>1830.5015850000002</v>
      </c>
      <c r="J73" s="34">
        <v>1830.5015850000002</v>
      </c>
      <c r="K73" s="34">
        <v>1830.5015850000002</v>
      </c>
      <c r="L73" s="34">
        <v>1830.5015850000002</v>
      </c>
      <c r="M73" s="34">
        <v>1830.5015850000002</v>
      </c>
      <c r="N73" s="34">
        <v>1830.5015850000002</v>
      </c>
      <c r="O73" s="34">
        <v>1830.5015850000002</v>
      </c>
      <c r="P73" s="34">
        <v>1830.5015850000002</v>
      </c>
      <c r="Q73" s="34">
        <v>1830.5015850000002</v>
      </c>
      <c r="R73" s="34">
        <v>1830.5015850000002</v>
      </c>
      <c r="S73" s="34">
        <v>1830.5015850000002</v>
      </c>
    </row>
    <row r="74" spans="1:19" ht="15.95">
      <c r="A74" s="30">
        <v>73</v>
      </c>
      <c r="B74" s="31" t="s">
        <v>133</v>
      </c>
      <c r="C74" s="31" t="s">
        <v>10</v>
      </c>
      <c r="D74" s="31" t="s">
        <v>356</v>
      </c>
      <c r="E74" s="32" t="s">
        <v>357</v>
      </c>
      <c r="F74" s="30" t="s">
        <v>136</v>
      </c>
      <c r="G74" s="33">
        <f t="shared" si="1"/>
        <v>30780</v>
      </c>
      <c r="H74" s="34">
        <v>2565</v>
      </c>
      <c r="I74" s="34">
        <v>2565</v>
      </c>
      <c r="J74" s="34">
        <v>2565</v>
      </c>
      <c r="K74" s="34">
        <v>2565</v>
      </c>
      <c r="L74" s="34">
        <v>2565</v>
      </c>
      <c r="M74" s="34">
        <v>2565</v>
      </c>
      <c r="N74" s="34">
        <v>2565</v>
      </c>
      <c r="O74" s="34">
        <v>2565</v>
      </c>
      <c r="P74" s="34">
        <v>2565</v>
      </c>
      <c r="Q74" s="34">
        <v>2565</v>
      </c>
      <c r="R74" s="34">
        <v>2565</v>
      </c>
      <c r="S74" s="34">
        <v>2565</v>
      </c>
    </row>
    <row r="75" spans="1:19" ht="15.95">
      <c r="A75" s="30">
        <v>74</v>
      </c>
      <c r="B75" s="31" t="s">
        <v>135</v>
      </c>
      <c r="C75" s="31" t="s">
        <v>180</v>
      </c>
      <c r="D75" s="31" t="s">
        <v>356</v>
      </c>
      <c r="E75" s="32" t="s">
        <v>357</v>
      </c>
      <c r="F75" s="30" t="s">
        <v>427</v>
      </c>
      <c r="G75" s="33">
        <f t="shared" si="1"/>
        <v>21184.800000000003</v>
      </c>
      <c r="H75" s="34">
        <v>1765.4</v>
      </c>
      <c r="I75" s="34">
        <v>1765.4</v>
      </c>
      <c r="J75" s="34">
        <v>1765.4</v>
      </c>
      <c r="K75" s="34">
        <v>1765.4</v>
      </c>
      <c r="L75" s="34">
        <v>1765.4</v>
      </c>
      <c r="M75" s="34">
        <v>1765.4</v>
      </c>
      <c r="N75" s="34">
        <v>1765.4</v>
      </c>
      <c r="O75" s="34">
        <v>1765.4</v>
      </c>
      <c r="P75" s="34">
        <v>1765.4</v>
      </c>
      <c r="Q75" s="34">
        <v>1765.4</v>
      </c>
      <c r="R75" s="34">
        <v>1765.4</v>
      </c>
      <c r="S75" s="34">
        <v>1765.4</v>
      </c>
    </row>
    <row r="76" spans="1:19" ht="15.95">
      <c r="A76" s="30">
        <v>75</v>
      </c>
      <c r="B76" s="31" t="s">
        <v>135</v>
      </c>
      <c r="C76" s="31" t="s">
        <v>242</v>
      </c>
      <c r="D76" s="31" t="s">
        <v>356</v>
      </c>
      <c r="E76" s="32" t="s">
        <v>357</v>
      </c>
      <c r="F76" s="30" t="s">
        <v>428</v>
      </c>
      <c r="G76" s="33">
        <f t="shared" si="1"/>
        <v>20950.800000000003</v>
      </c>
      <c r="H76" s="34">
        <v>1745.9</v>
      </c>
      <c r="I76" s="34">
        <v>1745.9</v>
      </c>
      <c r="J76" s="34">
        <v>1745.9</v>
      </c>
      <c r="K76" s="34">
        <v>1745.9</v>
      </c>
      <c r="L76" s="34">
        <v>1745.9</v>
      </c>
      <c r="M76" s="34">
        <v>1745.9</v>
      </c>
      <c r="N76" s="34">
        <v>1745.9</v>
      </c>
      <c r="O76" s="34">
        <v>1745.9</v>
      </c>
      <c r="P76" s="34">
        <v>1745.9</v>
      </c>
      <c r="Q76" s="34">
        <v>1745.9</v>
      </c>
      <c r="R76" s="34">
        <v>1745.9</v>
      </c>
      <c r="S76" s="34">
        <v>1745.9</v>
      </c>
    </row>
    <row r="77" spans="1:19" ht="15.95">
      <c r="A77" s="30">
        <v>76</v>
      </c>
      <c r="B77" s="31" t="s">
        <v>133</v>
      </c>
      <c r="C77" s="31" t="s">
        <v>242</v>
      </c>
      <c r="D77" s="31" t="s">
        <v>356</v>
      </c>
      <c r="E77" s="32" t="s">
        <v>357</v>
      </c>
      <c r="F77" s="30" t="s">
        <v>429</v>
      </c>
      <c r="G77" s="33">
        <f t="shared" si="1"/>
        <v>19076.664779999999</v>
      </c>
      <c r="H77" s="34">
        <v>1589.7220649999999</v>
      </c>
      <c r="I77" s="34">
        <v>1589.7220649999999</v>
      </c>
      <c r="J77" s="34">
        <v>1589.7220649999999</v>
      </c>
      <c r="K77" s="34">
        <v>1589.7220649999999</v>
      </c>
      <c r="L77" s="34">
        <v>1589.7220649999999</v>
      </c>
      <c r="M77" s="34">
        <v>1589.7220649999999</v>
      </c>
      <c r="N77" s="34">
        <v>1589.7220649999999</v>
      </c>
      <c r="O77" s="34">
        <v>1589.7220649999999</v>
      </c>
      <c r="P77" s="34">
        <v>1589.7220649999999</v>
      </c>
      <c r="Q77" s="34">
        <v>1589.7220649999999</v>
      </c>
      <c r="R77" s="34">
        <v>1589.7220649999999</v>
      </c>
      <c r="S77" s="34">
        <v>1589.7220649999999</v>
      </c>
    </row>
    <row r="78" spans="1:19" ht="15.95">
      <c r="A78" s="30">
        <v>77</v>
      </c>
      <c r="B78" s="32" t="s">
        <v>135</v>
      </c>
      <c r="C78" s="32" t="s">
        <v>242</v>
      </c>
      <c r="D78" s="31" t="s">
        <v>356</v>
      </c>
      <c r="E78" s="32" t="s">
        <v>357</v>
      </c>
      <c r="F78" s="30" t="s">
        <v>430</v>
      </c>
      <c r="G78" s="33">
        <f t="shared" si="1"/>
        <v>3078.4</v>
      </c>
      <c r="H78" s="34">
        <v>1539.2</v>
      </c>
      <c r="I78" s="34">
        <v>1539.2</v>
      </c>
      <c r="J78" s="51"/>
      <c r="K78" s="51"/>
      <c r="L78" s="51"/>
      <c r="M78" s="51"/>
      <c r="N78" s="51"/>
      <c r="O78" s="51"/>
      <c r="P78" s="51"/>
      <c r="Q78" s="51"/>
      <c r="R78" s="51"/>
      <c r="S78" s="51"/>
    </row>
    <row r="79" spans="1:19" ht="15.95">
      <c r="A79" s="30">
        <v>78</v>
      </c>
      <c r="B79" s="32" t="s">
        <v>133</v>
      </c>
      <c r="C79" s="32" t="s">
        <v>242</v>
      </c>
      <c r="D79" s="31" t="s">
        <v>356</v>
      </c>
      <c r="E79" s="32" t="s">
        <v>357</v>
      </c>
      <c r="F79" s="30" t="s">
        <v>431</v>
      </c>
      <c r="G79" s="33">
        <f t="shared" si="1"/>
        <v>1486.7544600000001</v>
      </c>
      <c r="H79" s="34">
        <v>1486.7544600000001</v>
      </c>
      <c r="I79" s="51"/>
      <c r="J79" s="51"/>
      <c r="K79" s="51"/>
      <c r="L79" s="51"/>
      <c r="M79" s="51"/>
      <c r="N79" s="51"/>
      <c r="O79" s="51"/>
      <c r="P79" s="51"/>
      <c r="Q79" s="51"/>
      <c r="R79" s="51"/>
      <c r="S79" s="51"/>
    </row>
    <row r="80" spans="1:19" ht="15.95">
      <c r="A80" s="30">
        <v>79</v>
      </c>
      <c r="B80" s="32" t="s">
        <v>135</v>
      </c>
      <c r="C80" s="32" t="s">
        <v>180</v>
      </c>
      <c r="D80" s="31" t="s">
        <v>356</v>
      </c>
      <c r="E80" s="32" t="s">
        <v>357</v>
      </c>
      <c r="F80" s="30" t="s">
        <v>432</v>
      </c>
      <c r="G80" s="33">
        <f t="shared" si="1"/>
        <v>17612.400000000005</v>
      </c>
      <c r="H80" s="34">
        <v>1467.7</v>
      </c>
      <c r="I80" s="34">
        <v>1467.7</v>
      </c>
      <c r="J80" s="34">
        <v>1467.7</v>
      </c>
      <c r="K80" s="34">
        <v>1467.7</v>
      </c>
      <c r="L80" s="34">
        <v>1467.7</v>
      </c>
      <c r="M80" s="34">
        <v>1467.7</v>
      </c>
      <c r="N80" s="34">
        <v>1467.7</v>
      </c>
      <c r="O80" s="34">
        <v>1467.7</v>
      </c>
      <c r="P80" s="34">
        <v>1467.7</v>
      </c>
      <c r="Q80" s="34">
        <v>1467.7</v>
      </c>
      <c r="R80" s="34">
        <v>1467.7</v>
      </c>
      <c r="S80" s="34">
        <v>1467.7</v>
      </c>
    </row>
    <row r="81" spans="1:19" ht="15.95">
      <c r="A81" s="30">
        <v>80</v>
      </c>
      <c r="B81" s="32" t="s">
        <v>133</v>
      </c>
      <c r="C81" s="32" t="s">
        <v>10</v>
      </c>
      <c r="D81" s="31" t="s">
        <v>356</v>
      </c>
      <c r="E81" s="32" t="s">
        <v>357</v>
      </c>
      <c r="F81" s="30" t="s">
        <v>433</v>
      </c>
      <c r="G81" s="33">
        <f t="shared" si="1"/>
        <v>13904.575019999998</v>
      </c>
      <c r="H81" s="34">
        <v>1158.7145850000002</v>
      </c>
      <c r="I81" s="34">
        <v>1158.7145850000002</v>
      </c>
      <c r="J81" s="34">
        <v>1158.7145850000002</v>
      </c>
      <c r="K81" s="34">
        <v>1158.7145850000002</v>
      </c>
      <c r="L81" s="34">
        <v>1158.7145850000002</v>
      </c>
      <c r="M81" s="34">
        <v>1158.7145850000002</v>
      </c>
      <c r="N81" s="34">
        <v>1158.7145850000002</v>
      </c>
      <c r="O81" s="34">
        <v>1158.7145850000002</v>
      </c>
      <c r="P81" s="34">
        <v>1158.7145850000002</v>
      </c>
      <c r="Q81" s="34">
        <v>1158.7145850000002</v>
      </c>
      <c r="R81" s="34">
        <v>1158.7145850000002</v>
      </c>
      <c r="S81" s="34">
        <v>1158.7145850000002</v>
      </c>
    </row>
    <row r="82" spans="1:19" ht="15.95">
      <c r="A82" s="30">
        <v>81</v>
      </c>
      <c r="B82" s="32" t="s">
        <v>135</v>
      </c>
      <c r="C82" s="32" t="s">
        <v>242</v>
      </c>
      <c r="D82" s="31" t="s">
        <v>356</v>
      </c>
      <c r="E82" s="32" t="s">
        <v>357</v>
      </c>
      <c r="F82" s="30" t="s">
        <v>434</v>
      </c>
      <c r="G82" s="33">
        <f t="shared" si="1"/>
        <v>22142.400000000001</v>
      </c>
      <c r="H82" s="34">
        <v>1071.2</v>
      </c>
      <c r="I82" s="34">
        <v>1071.2</v>
      </c>
      <c r="J82" s="34">
        <v>2000</v>
      </c>
      <c r="K82" s="34">
        <v>2000</v>
      </c>
      <c r="L82" s="34">
        <v>2000</v>
      </c>
      <c r="M82" s="34">
        <v>2000</v>
      </c>
      <c r="N82" s="34">
        <v>2000</v>
      </c>
      <c r="O82" s="34">
        <v>2000</v>
      </c>
      <c r="P82" s="34">
        <v>2000</v>
      </c>
      <c r="Q82" s="34">
        <v>2000</v>
      </c>
      <c r="R82" s="34">
        <v>2000</v>
      </c>
      <c r="S82" s="34">
        <v>2000</v>
      </c>
    </row>
    <row r="83" spans="1:19" ht="15.95">
      <c r="A83" s="30">
        <v>82</v>
      </c>
      <c r="B83" s="32" t="s">
        <v>133</v>
      </c>
      <c r="C83" s="32" t="s">
        <v>132</v>
      </c>
      <c r="D83" s="31" t="s">
        <v>356</v>
      </c>
      <c r="E83" s="32" t="s">
        <v>357</v>
      </c>
      <c r="F83" s="30" t="s">
        <v>435</v>
      </c>
      <c r="G83" s="33">
        <f t="shared" si="1"/>
        <v>86684.301360000012</v>
      </c>
      <c r="H83" s="34">
        <v>7223.691780000001</v>
      </c>
      <c r="I83" s="34">
        <v>7223.691780000001</v>
      </c>
      <c r="J83" s="34">
        <v>7223.691780000001</v>
      </c>
      <c r="K83" s="34">
        <v>7223.691780000001</v>
      </c>
      <c r="L83" s="34">
        <v>7223.691780000001</v>
      </c>
      <c r="M83" s="34">
        <v>7223.691780000001</v>
      </c>
      <c r="N83" s="34">
        <v>7223.691780000001</v>
      </c>
      <c r="O83" s="34">
        <v>7223.691780000001</v>
      </c>
      <c r="P83" s="34">
        <v>7223.691780000001</v>
      </c>
      <c r="Q83" s="34">
        <v>7223.691780000001</v>
      </c>
      <c r="R83" s="34">
        <v>7223.691780000001</v>
      </c>
      <c r="S83" s="34">
        <v>7223.691780000001</v>
      </c>
    </row>
    <row r="84" spans="1:19" ht="15.95">
      <c r="A84" s="30">
        <v>83</v>
      </c>
      <c r="B84" s="32" t="s">
        <v>135</v>
      </c>
      <c r="C84" s="32" t="s">
        <v>180</v>
      </c>
      <c r="D84" s="31" t="s">
        <v>356</v>
      </c>
      <c r="E84" s="32" t="s">
        <v>357</v>
      </c>
      <c r="F84" s="30" t="s">
        <v>436</v>
      </c>
      <c r="G84" s="33">
        <f t="shared" si="1"/>
        <v>14400</v>
      </c>
      <c r="H84" s="34">
        <v>1200</v>
      </c>
      <c r="I84" s="34">
        <v>1200</v>
      </c>
      <c r="J84" s="34">
        <v>1200</v>
      </c>
      <c r="K84" s="34">
        <v>1200</v>
      </c>
      <c r="L84" s="34">
        <v>1200</v>
      </c>
      <c r="M84" s="34">
        <v>1200</v>
      </c>
      <c r="N84" s="34">
        <v>1200</v>
      </c>
      <c r="O84" s="34">
        <v>1200</v>
      </c>
      <c r="P84" s="34">
        <v>1200</v>
      </c>
      <c r="Q84" s="34">
        <v>1200</v>
      </c>
      <c r="R84" s="34">
        <v>1200</v>
      </c>
      <c r="S84" s="34">
        <v>1200</v>
      </c>
    </row>
    <row r="85" spans="1:19" ht="15.95">
      <c r="A85" s="30">
        <v>84</v>
      </c>
      <c r="B85" s="32" t="s">
        <v>141</v>
      </c>
      <c r="C85" s="32" t="s">
        <v>10</v>
      </c>
      <c r="D85" s="31" t="s">
        <v>356</v>
      </c>
      <c r="E85" s="32" t="s">
        <v>357</v>
      </c>
      <c r="F85" s="30" t="s">
        <v>437</v>
      </c>
      <c r="G85" s="33">
        <f t="shared" si="1"/>
        <v>16000</v>
      </c>
      <c r="H85" s="34">
        <v>1000</v>
      </c>
      <c r="I85" s="34">
        <v>2000</v>
      </c>
      <c r="J85" s="34">
        <v>1500</v>
      </c>
      <c r="K85" s="34">
        <v>1500</v>
      </c>
      <c r="L85" s="34">
        <v>1000</v>
      </c>
      <c r="M85" s="34">
        <v>1000</v>
      </c>
      <c r="N85" s="34">
        <v>1000</v>
      </c>
      <c r="O85" s="34">
        <v>1000</v>
      </c>
      <c r="P85" s="34">
        <v>1000</v>
      </c>
      <c r="Q85" s="34">
        <v>3000</v>
      </c>
      <c r="R85" s="34">
        <v>1000</v>
      </c>
      <c r="S85" s="34">
        <v>1000</v>
      </c>
    </row>
    <row r="86" spans="1:19" ht="15.95">
      <c r="A86" s="30">
        <v>85</v>
      </c>
      <c r="B86" s="32" t="s">
        <v>135</v>
      </c>
      <c r="C86" s="32" t="s">
        <v>132</v>
      </c>
      <c r="D86" s="31" t="s">
        <v>356</v>
      </c>
      <c r="E86" s="32" t="s">
        <v>357</v>
      </c>
      <c r="F86" s="30" t="s">
        <v>438</v>
      </c>
      <c r="G86" s="33">
        <f t="shared" si="1"/>
        <v>36000</v>
      </c>
      <c r="H86" s="34">
        <v>3000</v>
      </c>
      <c r="I86" s="34">
        <v>3000</v>
      </c>
      <c r="J86" s="34">
        <v>3000</v>
      </c>
      <c r="K86" s="34">
        <v>3000</v>
      </c>
      <c r="L86" s="34">
        <v>3000</v>
      </c>
      <c r="M86" s="34">
        <v>3000</v>
      </c>
      <c r="N86" s="34">
        <v>3000</v>
      </c>
      <c r="O86" s="34">
        <v>3000</v>
      </c>
      <c r="P86" s="34">
        <v>3000</v>
      </c>
      <c r="Q86" s="34">
        <v>3000</v>
      </c>
      <c r="R86" s="34">
        <v>3000</v>
      </c>
      <c r="S86" s="34">
        <v>3000</v>
      </c>
    </row>
    <row r="87" spans="1:19" ht="15.95">
      <c r="A87" s="30">
        <v>86</v>
      </c>
      <c r="B87" s="32" t="s">
        <v>135</v>
      </c>
      <c r="C87" s="32" t="s">
        <v>180</v>
      </c>
      <c r="D87" s="31" t="s">
        <v>356</v>
      </c>
      <c r="E87" s="32" t="s">
        <v>357</v>
      </c>
      <c r="F87" s="30" t="s">
        <v>439</v>
      </c>
      <c r="G87" s="33">
        <f t="shared" si="1"/>
        <v>45888</v>
      </c>
      <c r="H87" s="34">
        <v>3824</v>
      </c>
      <c r="I87" s="34">
        <v>3824</v>
      </c>
      <c r="J87" s="34">
        <v>3824</v>
      </c>
      <c r="K87" s="34">
        <v>3824</v>
      </c>
      <c r="L87" s="34">
        <v>3824</v>
      </c>
      <c r="M87" s="34">
        <v>3824</v>
      </c>
      <c r="N87" s="34">
        <v>3824</v>
      </c>
      <c r="O87" s="34">
        <v>3824</v>
      </c>
      <c r="P87" s="34">
        <v>3824</v>
      </c>
      <c r="Q87" s="34">
        <v>3824</v>
      </c>
      <c r="R87" s="34">
        <v>3824</v>
      </c>
      <c r="S87" s="34">
        <v>3824</v>
      </c>
    </row>
    <row r="88" spans="1:19" ht="15.95">
      <c r="A88" s="30">
        <v>87</v>
      </c>
      <c r="B88" s="32" t="s">
        <v>135</v>
      </c>
      <c r="C88" s="32" t="s">
        <v>180</v>
      </c>
      <c r="D88" s="31" t="s">
        <v>356</v>
      </c>
      <c r="E88" s="32" t="s">
        <v>357</v>
      </c>
      <c r="F88" s="30" t="s">
        <v>440</v>
      </c>
      <c r="G88" s="33">
        <f t="shared" si="1"/>
        <v>7428</v>
      </c>
      <c r="H88" s="34">
        <v>2476</v>
      </c>
      <c r="I88" s="34">
        <v>2476</v>
      </c>
      <c r="J88" s="34">
        <v>2476</v>
      </c>
      <c r="K88" s="51"/>
      <c r="L88" s="51"/>
      <c r="M88" s="51"/>
      <c r="N88" s="51"/>
      <c r="O88" s="51"/>
      <c r="P88" s="51"/>
      <c r="Q88" s="51"/>
      <c r="R88" s="51"/>
      <c r="S88" s="51"/>
    </row>
    <row r="89" spans="1:19" ht="15.95">
      <c r="A89" s="30">
        <v>88</v>
      </c>
      <c r="B89" s="38" t="s">
        <v>133</v>
      </c>
      <c r="C89" s="38" t="s">
        <v>10</v>
      </c>
      <c r="D89" s="39" t="s">
        <v>356</v>
      </c>
      <c r="E89" s="38" t="s">
        <v>357</v>
      </c>
      <c r="F89" s="61" t="s">
        <v>441</v>
      </c>
      <c r="G89" s="33">
        <f t="shared" si="1"/>
        <v>700</v>
      </c>
      <c r="H89" s="51"/>
      <c r="I89" s="34">
        <v>500</v>
      </c>
      <c r="J89" s="51"/>
      <c r="K89" s="51"/>
      <c r="L89" s="51"/>
      <c r="M89" s="51"/>
      <c r="N89" s="51"/>
      <c r="O89" s="51"/>
      <c r="P89" s="34">
        <v>200</v>
      </c>
      <c r="Q89" s="51"/>
      <c r="R89" s="51"/>
      <c r="S89" s="51"/>
    </row>
    <row r="90" spans="1:19" ht="15.95">
      <c r="A90" s="30">
        <v>89</v>
      </c>
      <c r="B90" s="32" t="s">
        <v>133</v>
      </c>
      <c r="C90" s="32" t="s">
        <v>242</v>
      </c>
      <c r="D90" s="31" t="s">
        <v>356</v>
      </c>
      <c r="E90" s="32" t="s">
        <v>357</v>
      </c>
      <c r="F90" s="30" t="s">
        <v>442</v>
      </c>
      <c r="G90" s="33">
        <f t="shared" si="1"/>
        <v>97572.60000000002</v>
      </c>
      <c r="H90" s="41">
        <v>8131.05</v>
      </c>
      <c r="I90" s="41">
        <v>8131.05</v>
      </c>
      <c r="J90" s="41">
        <v>8131.05</v>
      </c>
      <c r="K90" s="41">
        <v>8131.05</v>
      </c>
      <c r="L90" s="41">
        <v>8131.05</v>
      </c>
      <c r="M90" s="41">
        <v>8131.05</v>
      </c>
      <c r="N90" s="41">
        <v>8131.05</v>
      </c>
      <c r="O90" s="41">
        <v>8131.05</v>
      </c>
      <c r="P90" s="41">
        <v>8131.05</v>
      </c>
      <c r="Q90" s="41">
        <v>8131.05</v>
      </c>
      <c r="R90" s="41">
        <v>8131.05</v>
      </c>
      <c r="S90" s="41">
        <v>8131.05</v>
      </c>
    </row>
    <row r="91" spans="1:19" ht="15.95">
      <c r="A91" s="30">
        <v>90</v>
      </c>
      <c r="B91" s="38" t="s">
        <v>133</v>
      </c>
      <c r="C91" s="38" t="s">
        <v>132</v>
      </c>
      <c r="D91" s="39" t="s">
        <v>356</v>
      </c>
      <c r="E91" s="38" t="s">
        <v>357</v>
      </c>
      <c r="F91" s="37" t="s">
        <v>443</v>
      </c>
      <c r="G91" s="33">
        <f t="shared" si="1"/>
        <v>0</v>
      </c>
      <c r="H91" s="52"/>
      <c r="I91" s="52"/>
      <c r="J91" s="52"/>
      <c r="K91" s="52"/>
      <c r="L91" s="52"/>
      <c r="M91" s="52"/>
      <c r="N91" s="52"/>
      <c r="O91" s="52"/>
      <c r="P91" s="52"/>
      <c r="Q91" s="52"/>
      <c r="R91" s="52"/>
      <c r="S91" s="52"/>
    </row>
    <row r="92" spans="1:19" ht="15.95">
      <c r="A92" s="30">
        <v>91</v>
      </c>
      <c r="B92" s="32" t="s">
        <v>133</v>
      </c>
      <c r="C92" s="32" t="s">
        <v>242</v>
      </c>
      <c r="D92" s="31" t="s">
        <v>356</v>
      </c>
      <c r="E92" s="32" t="s">
        <v>357</v>
      </c>
      <c r="F92" s="30" t="s">
        <v>444</v>
      </c>
      <c r="G92" s="33">
        <f t="shared" si="1"/>
        <v>46000</v>
      </c>
      <c r="H92" s="41">
        <v>2000</v>
      </c>
      <c r="I92" s="41">
        <v>4000</v>
      </c>
      <c r="J92" s="41">
        <v>4000</v>
      </c>
      <c r="K92" s="41">
        <v>4000</v>
      </c>
      <c r="L92" s="41">
        <v>4000</v>
      </c>
      <c r="M92" s="41">
        <v>4000</v>
      </c>
      <c r="N92" s="41">
        <v>4000</v>
      </c>
      <c r="O92" s="41">
        <v>4000</v>
      </c>
      <c r="P92" s="41">
        <v>4000</v>
      </c>
      <c r="Q92" s="41">
        <v>4000</v>
      </c>
      <c r="R92" s="41">
        <v>4000</v>
      </c>
      <c r="S92" s="41">
        <v>4000</v>
      </c>
    </row>
    <row r="93" spans="1:19" ht="15.95">
      <c r="A93" s="30">
        <v>92</v>
      </c>
      <c r="B93" s="38" t="s">
        <v>133</v>
      </c>
      <c r="C93" s="38" t="s">
        <v>316</v>
      </c>
      <c r="D93" s="39" t="s">
        <v>356</v>
      </c>
      <c r="E93" s="38" t="s">
        <v>357</v>
      </c>
      <c r="F93" s="37" t="s">
        <v>445</v>
      </c>
      <c r="G93" s="33">
        <f t="shared" si="1"/>
        <v>25000</v>
      </c>
      <c r="H93" s="52"/>
      <c r="I93" s="52"/>
      <c r="J93" s="41">
        <v>2500</v>
      </c>
      <c r="K93" s="41">
        <v>2500</v>
      </c>
      <c r="L93" s="41">
        <v>2500</v>
      </c>
      <c r="M93" s="41">
        <v>2500</v>
      </c>
      <c r="N93" s="41">
        <v>2500</v>
      </c>
      <c r="O93" s="41">
        <v>2500</v>
      </c>
      <c r="P93" s="41">
        <v>2500</v>
      </c>
      <c r="Q93" s="41">
        <v>2500</v>
      </c>
      <c r="R93" s="41">
        <v>2500</v>
      </c>
      <c r="S93" s="41">
        <v>2500</v>
      </c>
    </row>
    <row r="94" spans="1:19" ht="15.95">
      <c r="A94" s="30">
        <v>93</v>
      </c>
      <c r="B94" s="38" t="s">
        <v>133</v>
      </c>
      <c r="C94" s="38" t="s">
        <v>180</v>
      </c>
      <c r="D94" s="39" t="s">
        <v>356</v>
      </c>
      <c r="E94" s="38" t="s">
        <v>357</v>
      </c>
      <c r="F94" s="37" t="s">
        <v>446</v>
      </c>
      <c r="G94" s="40">
        <f t="shared" ref="G94:G114" si="2">+SUM(H94:S94)</f>
        <v>29163.116880000005</v>
      </c>
      <c r="H94" s="34">
        <v>2430.25974</v>
      </c>
      <c r="I94" s="34">
        <v>2430.25974</v>
      </c>
      <c r="J94" s="34">
        <v>2430.25974</v>
      </c>
      <c r="K94" s="34">
        <v>2430.25974</v>
      </c>
      <c r="L94" s="34">
        <v>2430.25974</v>
      </c>
      <c r="M94" s="34">
        <v>2430.25974</v>
      </c>
      <c r="N94" s="34">
        <v>2430.25974</v>
      </c>
      <c r="O94" s="34">
        <v>2430.25974</v>
      </c>
      <c r="P94" s="34">
        <v>2430.25974</v>
      </c>
      <c r="Q94" s="34">
        <v>2430.25974</v>
      </c>
      <c r="R94" s="34">
        <v>2430.25974</v>
      </c>
      <c r="S94" s="34">
        <v>2430.25974</v>
      </c>
    </row>
    <row r="95" spans="1:19" ht="15.95">
      <c r="A95" s="30">
        <v>94</v>
      </c>
      <c r="B95" s="38" t="s">
        <v>133</v>
      </c>
      <c r="C95" s="38" t="s">
        <v>242</v>
      </c>
      <c r="D95" s="39" t="s">
        <v>356</v>
      </c>
      <c r="E95" s="38" t="s">
        <v>357</v>
      </c>
      <c r="F95" s="37" t="s">
        <v>447</v>
      </c>
      <c r="G95" s="40">
        <f t="shared" si="2"/>
        <v>85000</v>
      </c>
      <c r="H95" s="41"/>
      <c r="I95" s="41"/>
      <c r="J95" s="41">
        <v>8500</v>
      </c>
      <c r="K95" s="41">
        <v>8500</v>
      </c>
      <c r="L95" s="41">
        <v>8500</v>
      </c>
      <c r="M95" s="41">
        <v>8500</v>
      </c>
      <c r="N95" s="41">
        <v>8500</v>
      </c>
      <c r="O95" s="41">
        <v>8500</v>
      </c>
      <c r="P95" s="41">
        <v>8500</v>
      </c>
      <c r="Q95" s="41">
        <v>8500</v>
      </c>
      <c r="R95" s="41">
        <v>8500</v>
      </c>
      <c r="S95" s="41">
        <v>8500</v>
      </c>
    </row>
    <row r="96" spans="1:19" ht="15.95">
      <c r="A96" s="30">
        <v>95</v>
      </c>
      <c r="B96" s="38" t="s">
        <v>133</v>
      </c>
      <c r="C96" s="38" t="s">
        <v>242</v>
      </c>
      <c r="D96" s="39" t="s">
        <v>356</v>
      </c>
      <c r="E96" s="38" t="s">
        <v>357</v>
      </c>
      <c r="F96" s="37" t="s">
        <v>448</v>
      </c>
      <c r="G96" s="40">
        <f t="shared" si="2"/>
        <v>76500</v>
      </c>
      <c r="H96" s="41"/>
      <c r="I96" s="41"/>
      <c r="J96" s="52"/>
      <c r="K96" s="41">
        <v>8500</v>
      </c>
      <c r="L96" s="41">
        <v>8500</v>
      </c>
      <c r="M96" s="41">
        <v>8500</v>
      </c>
      <c r="N96" s="41">
        <v>8500</v>
      </c>
      <c r="O96" s="41">
        <v>8500</v>
      </c>
      <c r="P96" s="41">
        <v>8500</v>
      </c>
      <c r="Q96" s="41">
        <v>8500</v>
      </c>
      <c r="R96" s="41">
        <v>8500</v>
      </c>
      <c r="S96" s="41">
        <v>8500</v>
      </c>
    </row>
    <row r="97" spans="1:20" ht="15.95">
      <c r="A97" s="30">
        <v>96</v>
      </c>
      <c r="B97" s="38" t="s">
        <v>133</v>
      </c>
      <c r="C97" s="38" t="s">
        <v>242</v>
      </c>
      <c r="D97" s="39" t="s">
        <v>356</v>
      </c>
      <c r="E97" s="38" t="s">
        <v>357</v>
      </c>
      <c r="F97" s="37" t="s">
        <v>449</v>
      </c>
      <c r="G97" s="40">
        <f t="shared" si="2"/>
        <v>76500</v>
      </c>
      <c r="H97" s="41"/>
      <c r="I97" s="41"/>
      <c r="J97" s="52"/>
      <c r="K97" s="41">
        <v>8500</v>
      </c>
      <c r="L97" s="41">
        <v>8500</v>
      </c>
      <c r="M97" s="41">
        <v>8500</v>
      </c>
      <c r="N97" s="41">
        <v>8500</v>
      </c>
      <c r="O97" s="41">
        <v>8500</v>
      </c>
      <c r="P97" s="41">
        <v>8500</v>
      </c>
      <c r="Q97" s="41">
        <v>8500</v>
      </c>
      <c r="R97" s="41">
        <v>8500</v>
      </c>
      <c r="S97" s="41">
        <v>8500</v>
      </c>
    </row>
    <row r="98" spans="1:20" ht="15.95">
      <c r="A98" s="30">
        <v>97</v>
      </c>
      <c r="B98" s="38" t="s">
        <v>133</v>
      </c>
      <c r="C98" s="38" t="s">
        <v>242</v>
      </c>
      <c r="D98" s="39" t="s">
        <v>356</v>
      </c>
      <c r="E98" s="38" t="s">
        <v>357</v>
      </c>
      <c r="F98" s="37" t="s">
        <v>450</v>
      </c>
      <c r="G98" s="33">
        <f t="shared" si="2"/>
        <v>54000</v>
      </c>
      <c r="H98" s="34"/>
      <c r="I98" s="34"/>
      <c r="J98" s="34"/>
      <c r="K98" s="34">
        <v>6000</v>
      </c>
      <c r="L98" s="34">
        <v>6000</v>
      </c>
      <c r="M98" s="34">
        <v>6000</v>
      </c>
      <c r="N98" s="34">
        <v>6000</v>
      </c>
      <c r="O98" s="34">
        <v>6000</v>
      </c>
      <c r="P98" s="34">
        <v>6000</v>
      </c>
      <c r="Q98" s="34">
        <v>6000</v>
      </c>
      <c r="R98" s="34">
        <v>6000</v>
      </c>
      <c r="S98" s="34">
        <v>6000</v>
      </c>
    </row>
    <row r="99" spans="1:20" ht="15.95">
      <c r="A99" s="30">
        <v>98</v>
      </c>
      <c r="B99" s="38" t="s">
        <v>133</v>
      </c>
      <c r="C99" s="38" t="s">
        <v>242</v>
      </c>
      <c r="D99" s="39" t="s">
        <v>356</v>
      </c>
      <c r="E99" s="38" t="s">
        <v>357</v>
      </c>
      <c r="F99" s="37" t="s">
        <v>451</v>
      </c>
      <c r="G99" s="33">
        <f t="shared" si="2"/>
        <v>54000</v>
      </c>
      <c r="J99" s="34"/>
      <c r="K99" s="34">
        <v>6000</v>
      </c>
      <c r="L99" s="34">
        <v>6000</v>
      </c>
      <c r="M99" s="34">
        <v>6000</v>
      </c>
      <c r="N99" s="34">
        <v>6000</v>
      </c>
      <c r="O99" s="34">
        <v>6000</v>
      </c>
      <c r="P99" s="34">
        <v>6000</v>
      </c>
      <c r="Q99" s="34">
        <v>6000</v>
      </c>
      <c r="R99" s="34">
        <v>6000</v>
      </c>
      <c r="S99" s="34">
        <v>6000</v>
      </c>
    </row>
    <row r="100" spans="1:20" ht="15.95">
      <c r="A100" s="30">
        <v>99</v>
      </c>
      <c r="B100" s="38" t="s">
        <v>133</v>
      </c>
      <c r="C100" s="38" t="s">
        <v>242</v>
      </c>
      <c r="D100" s="39" t="s">
        <v>356</v>
      </c>
      <c r="E100" s="38" t="s">
        <v>357</v>
      </c>
      <c r="F100" s="37" t="s">
        <v>452</v>
      </c>
      <c r="G100" s="33">
        <f t="shared" si="2"/>
        <v>54000</v>
      </c>
      <c r="J100" s="34"/>
      <c r="K100" s="34">
        <v>6000</v>
      </c>
      <c r="L100" s="34">
        <v>6000</v>
      </c>
      <c r="M100" s="34">
        <v>6000</v>
      </c>
      <c r="N100" s="34">
        <v>6000</v>
      </c>
      <c r="O100" s="34">
        <v>6000</v>
      </c>
      <c r="P100" s="34">
        <v>6000</v>
      </c>
      <c r="Q100" s="34">
        <v>6000</v>
      </c>
      <c r="R100" s="34">
        <v>6000</v>
      </c>
      <c r="S100" s="34">
        <v>6000</v>
      </c>
    </row>
    <row r="101" spans="1:20" ht="15.95">
      <c r="A101" s="30">
        <v>100</v>
      </c>
      <c r="B101" s="38" t="s">
        <v>135</v>
      </c>
      <c r="C101" s="38" t="s">
        <v>242</v>
      </c>
      <c r="D101" s="39" t="s">
        <v>356</v>
      </c>
      <c r="E101" s="38" t="s">
        <v>357</v>
      </c>
      <c r="F101" s="37" t="s">
        <v>453</v>
      </c>
      <c r="G101" s="33">
        <f t="shared" si="2"/>
        <v>40500</v>
      </c>
      <c r="J101" s="34"/>
      <c r="K101" s="34">
        <v>4500</v>
      </c>
      <c r="L101" s="34">
        <v>4500</v>
      </c>
      <c r="M101" s="34">
        <v>4500</v>
      </c>
      <c r="N101" s="34">
        <v>4500</v>
      </c>
      <c r="O101" s="34">
        <v>4500</v>
      </c>
      <c r="P101" s="34">
        <v>4500</v>
      </c>
      <c r="Q101" s="34">
        <v>4500</v>
      </c>
      <c r="R101" s="34">
        <v>4500</v>
      </c>
      <c r="S101" s="34">
        <v>4500</v>
      </c>
      <c r="T101" s="59"/>
    </row>
    <row r="102" spans="1:20" ht="15.95">
      <c r="A102" s="30">
        <v>101</v>
      </c>
      <c r="B102" s="38" t="s">
        <v>135</v>
      </c>
      <c r="C102" s="38" t="s">
        <v>242</v>
      </c>
      <c r="D102" s="39" t="s">
        <v>356</v>
      </c>
      <c r="E102" s="38" t="s">
        <v>357</v>
      </c>
      <c r="F102" s="37" t="s">
        <v>454</v>
      </c>
      <c r="G102" s="33">
        <f t="shared" si="2"/>
        <v>40500</v>
      </c>
      <c r="J102" s="34"/>
      <c r="K102" s="34">
        <v>4500</v>
      </c>
      <c r="L102" s="34">
        <v>4500</v>
      </c>
      <c r="M102" s="34">
        <v>4500</v>
      </c>
      <c r="N102" s="34">
        <v>4500</v>
      </c>
      <c r="O102" s="34">
        <v>4500</v>
      </c>
      <c r="P102" s="34">
        <v>4500</v>
      </c>
      <c r="Q102" s="34">
        <v>4500</v>
      </c>
      <c r="R102" s="34">
        <v>4500</v>
      </c>
      <c r="S102" s="34">
        <v>4500</v>
      </c>
    </row>
    <row r="103" spans="1:20" ht="15.95">
      <c r="A103" s="30">
        <v>102</v>
      </c>
      <c r="B103" s="38" t="s">
        <v>133</v>
      </c>
      <c r="C103" s="38" t="s">
        <v>242</v>
      </c>
      <c r="D103" s="39" t="s">
        <v>356</v>
      </c>
      <c r="E103" s="38" t="s">
        <v>357</v>
      </c>
      <c r="F103" s="37" t="s">
        <v>455</v>
      </c>
      <c r="G103" s="33">
        <f t="shared" si="2"/>
        <v>36000</v>
      </c>
      <c r="J103" s="34"/>
      <c r="K103" s="34">
        <v>4000</v>
      </c>
      <c r="L103" s="34">
        <v>4000</v>
      </c>
      <c r="M103" s="34">
        <v>4000</v>
      </c>
      <c r="N103" s="34">
        <v>4000</v>
      </c>
      <c r="O103" s="34">
        <v>4000</v>
      </c>
      <c r="P103" s="34">
        <v>4000</v>
      </c>
      <c r="Q103" s="34">
        <v>4000</v>
      </c>
      <c r="R103" s="34">
        <v>4000</v>
      </c>
      <c r="S103" s="34">
        <v>4000</v>
      </c>
    </row>
    <row r="104" spans="1:20" ht="15.95">
      <c r="A104" s="30">
        <v>103</v>
      </c>
      <c r="B104" s="38" t="s">
        <v>133</v>
      </c>
      <c r="C104" s="38" t="s">
        <v>242</v>
      </c>
      <c r="D104" s="39" t="s">
        <v>356</v>
      </c>
      <c r="E104" s="38" t="s">
        <v>357</v>
      </c>
      <c r="F104" s="37" t="s">
        <v>456</v>
      </c>
      <c r="G104" s="33">
        <f t="shared" si="2"/>
        <v>36000</v>
      </c>
      <c r="J104" s="34"/>
      <c r="K104" s="34">
        <v>4000</v>
      </c>
      <c r="L104" s="34">
        <v>4000</v>
      </c>
      <c r="M104" s="34">
        <v>4000</v>
      </c>
      <c r="N104" s="34">
        <v>4000</v>
      </c>
      <c r="O104" s="34">
        <v>4000</v>
      </c>
      <c r="P104" s="34">
        <v>4000</v>
      </c>
      <c r="Q104" s="34">
        <v>4000</v>
      </c>
      <c r="R104" s="34">
        <v>4000</v>
      </c>
      <c r="S104" s="34">
        <v>4000</v>
      </c>
    </row>
    <row r="105" spans="1:20" ht="15.95">
      <c r="A105" s="30">
        <v>104</v>
      </c>
      <c r="B105" s="38" t="s">
        <v>133</v>
      </c>
      <c r="C105" s="38" t="s">
        <v>242</v>
      </c>
      <c r="D105" s="39" t="s">
        <v>356</v>
      </c>
      <c r="E105" s="38" t="s">
        <v>357</v>
      </c>
      <c r="F105" s="37" t="s">
        <v>457</v>
      </c>
      <c r="G105" s="33">
        <f t="shared" si="2"/>
        <v>36000</v>
      </c>
      <c r="H105" s="1"/>
      <c r="I105" s="1"/>
      <c r="J105" s="1"/>
      <c r="K105" s="34">
        <v>4000</v>
      </c>
      <c r="L105" s="34">
        <v>4000</v>
      </c>
      <c r="M105" s="34">
        <v>4000</v>
      </c>
      <c r="N105" s="34">
        <v>4000</v>
      </c>
      <c r="O105" s="34">
        <v>4000</v>
      </c>
      <c r="P105" s="34">
        <v>4000</v>
      </c>
      <c r="Q105" s="34">
        <v>4000</v>
      </c>
      <c r="R105" s="34">
        <v>4000</v>
      </c>
      <c r="S105" s="34">
        <v>4000</v>
      </c>
    </row>
    <row r="106" spans="1:20" ht="15.95">
      <c r="A106" s="30">
        <v>105</v>
      </c>
      <c r="B106" s="38" t="s">
        <v>135</v>
      </c>
      <c r="C106" s="38" t="s">
        <v>242</v>
      </c>
      <c r="D106" s="39" t="s">
        <v>356</v>
      </c>
      <c r="E106" s="38" t="s">
        <v>357</v>
      </c>
      <c r="F106" s="37" t="s">
        <v>458</v>
      </c>
      <c r="G106" s="33">
        <f t="shared" si="2"/>
        <v>22500</v>
      </c>
      <c r="K106" s="34">
        <v>2500</v>
      </c>
      <c r="L106" s="34">
        <v>2500</v>
      </c>
      <c r="M106" s="34">
        <v>2500</v>
      </c>
      <c r="N106" s="34">
        <v>2500</v>
      </c>
      <c r="O106" s="34">
        <v>2500</v>
      </c>
      <c r="P106" s="34">
        <v>2500</v>
      </c>
      <c r="Q106" s="34">
        <v>2500</v>
      </c>
      <c r="R106" s="34">
        <v>2500</v>
      </c>
      <c r="S106" s="34">
        <v>2500</v>
      </c>
    </row>
    <row r="107" spans="1:20" ht="15.95">
      <c r="A107" s="30">
        <v>106</v>
      </c>
      <c r="B107" s="38" t="s">
        <v>135</v>
      </c>
      <c r="C107" s="38" t="s">
        <v>242</v>
      </c>
      <c r="D107" s="39" t="s">
        <v>356</v>
      </c>
      <c r="E107" s="38" t="s">
        <v>357</v>
      </c>
      <c r="F107" s="37" t="s">
        <v>459</v>
      </c>
      <c r="G107" s="33">
        <f t="shared" si="2"/>
        <v>22500</v>
      </c>
      <c r="H107" s="59"/>
      <c r="I107" s="59"/>
      <c r="J107" s="59"/>
      <c r="K107" s="34">
        <v>2500</v>
      </c>
      <c r="L107" s="34">
        <v>2500</v>
      </c>
      <c r="M107" s="34">
        <v>2500</v>
      </c>
      <c r="N107" s="34">
        <v>2500</v>
      </c>
      <c r="O107" s="34">
        <v>2500</v>
      </c>
      <c r="P107" s="34">
        <v>2500</v>
      </c>
      <c r="Q107" s="34">
        <v>2500</v>
      </c>
      <c r="R107" s="34">
        <v>2500</v>
      </c>
      <c r="S107" s="34">
        <v>2500</v>
      </c>
    </row>
    <row r="108" spans="1:20" ht="15.95">
      <c r="A108" s="30">
        <v>107</v>
      </c>
      <c r="B108" s="38" t="s">
        <v>133</v>
      </c>
      <c r="C108" s="38" t="s">
        <v>242</v>
      </c>
      <c r="D108" s="39" t="s">
        <v>356</v>
      </c>
      <c r="E108" s="38" t="s">
        <v>357</v>
      </c>
      <c r="F108" s="37" t="s">
        <v>460</v>
      </c>
      <c r="G108" s="33">
        <f t="shared" si="2"/>
        <v>24300</v>
      </c>
      <c r="K108" s="34">
        <v>2700</v>
      </c>
      <c r="L108" s="34">
        <v>2700</v>
      </c>
      <c r="M108" s="34">
        <v>2700</v>
      </c>
      <c r="N108" s="34">
        <v>2700</v>
      </c>
      <c r="O108" s="34">
        <v>2700</v>
      </c>
      <c r="P108" s="34">
        <v>2700</v>
      </c>
      <c r="Q108" s="34">
        <v>2700</v>
      </c>
      <c r="R108" s="34">
        <v>2700</v>
      </c>
      <c r="S108" s="34">
        <v>2700</v>
      </c>
    </row>
    <row r="109" spans="1:20" ht="15.95">
      <c r="A109" s="30">
        <v>108</v>
      </c>
      <c r="B109" s="38" t="s">
        <v>133</v>
      </c>
      <c r="C109" s="38" t="s">
        <v>242</v>
      </c>
      <c r="D109" s="39" t="s">
        <v>356</v>
      </c>
      <c r="E109" s="38" t="s">
        <v>357</v>
      </c>
      <c r="F109" s="37" t="s">
        <v>461</v>
      </c>
      <c r="G109" s="33">
        <f t="shared" si="2"/>
        <v>24300</v>
      </c>
      <c r="K109" s="34">
        <v>2700</v>
      </c>
      <c r="L109" s="34">
        <v>2700</v>
      </c>
      <c r="M109" s="34">
        <v>2700</v>
      </c>
      <c r="N109" s="34">
        <v>2700</v>
      </c>
      <c r="O109" s="34">
        <v>2700</v>
      </c>
      <c r="P109" s="34">
        <v>2700</v>
      </c>
      <c r="Q109" s="34">
        <v>2700</v>
      </c>
      <c r="R109" s="34">
        <v>2700</v>
      </c>
      <c r="S109" s="34">
        <v>2700</v>
      </c>
    </row>
    <row r="110" spans="1:20" ht="15.95">
      <c r="A110" s="30">
        <v>109</v>
      </c>
      <c r="B110" s="38" t="s">
        <v>133</v>
      </c>
      <c r="C110" s="38" t="s">
        <v>242</v>
      </c>
      <c r="D110" s="39" t="s">
        <v>356</v>
      </c>
      <c r="E110" s="38" t="s">
        <v>357</v>
      </c>
      <c r="F110" s="37" t="s">
        <v>462</v>
      </c>
      <c r="G110" s="33">
        <f t="shared" si="2"/>
        <v>24300</v>
      </c>
      <c r="K110" s="34">
        <v>2700</v>
      </c>
      <c r="L110" s="34">
        <v>2700</v>
      </c>
      <c r="M110" s="34">
        <v>2700</v>
      </c>
      <c r="N110" s="34">
        <v>2700</v>
      </c>
      <c r="O110" s="34">
        <v>2700</v>
      </c>
      <c r="P110" s="34">
        <v>2700</v>
      </c>
      <c r="Q110" s="34">
        <v>2700</v>
      </c>
      <c r="R110" s="34">
        <v>2700</v>
      </c>
      <c r="S110" s="34">
        <v>2700</v>
      </c>
    </row>
    <row r="111" spans="1:20" ht="15.95">
      <c r="A111" s="30">
        <v>110</v>
      </c>
      <c r="B111" s="38" t="s">
        <v>135</v>
      </c>
      <c r="C111" s="38" t="s">
        <v>242</v>
      </c>
      <c r="D111" s="39" t="s">
        <v>356</v>
      </c>
      <c r="E111" s="38" t="s">
        <v>357</v>
      </c>
      <c r="F111" s="37" t="s">
        <v>463</v>
      </c>
      <c r="G111" s="33">
        <f t="shared" si="2"/>
        <v>13500</v>
      </c>
      <c r="K111" s="34">
        <v>1500</v>
      </c>
      <c r="L111" s="34">
        <v>1500</v>
      </c>
      <c r="M111" s="34">
        <v>1500</v>
      </c>
      <c r="N111" s="34">
        <v>1500</v>
      </c>
      <c r="O111" s="34">
        <v>1500</v>
      </c>
      <c r="P111" s="34">
        <v>1500</v>
      </c>
      <c r="Q111" s="34">
        <v>1500</v>
      </c>
      <c r="R111" s="34">
        <v>1500</v>
      </c>
      <c r="S111" s="34">
        <v>1500</v>
      </c>
    </row>
    <row r="112" spans="1:20" ht="15.95">
      <c r="A112" s="30">
        <v>111</v>
      </c>
      <c r="B112" s="38" t="s">
        <v>135</v>
      </c>
      <c r="C112" s="38" t="s">
        <v>242</v>
      </c>
      <c r="D112" s="39" t="s">
        <v>356</v>
      </c>
      <c r="E112" s="38" t="s">
        <v>357</v>
      </c>
      <c r="F112" s="37" t="s">
        <v>464</v>
      </c>
      <c r="G112" s="33">
        <f t="shared" si="2"/>
        <v>3000</v>
      </c>
      <c r="K112" s="51"/>
      <c r="L112" s="51"/>
      <c r="M112" s="51"/>
      <c r="N112" s="51"/>
      <c r="O112" s="34">
        <v>1500</v>
      </c>
      <c r="P112" s="34">
        <v>1500</v>
      </c>
      <c r="Q112" s="51"/>
      <c r="R112" s="51"/>
      <c r="S112" s="51"/>
    </row>
    <row r="113" spans="1:20" ht="15.95">
      <c r="A113" s="30">
        <v>112</v>
      </c>
      <c r="B113" s="38" t="s">
        <v>135</v>
      </c>
      <c r="C113" s="38" t="s">
        <v>242</v>
      </c>
      <c r="D113" s="39" t="s">
        <v>356</v>
      </c>
      <c r="E113" s="38" t="s">
        <v>357</v>
      </c>
      <c r="F113" s="37" t="s">
        <v>465</v>
      </c>
      <c r="G113" s="33">
        <f t="shared" si="2"/>
        <v>3000</v>
      </c>
      <c r="K113" s="51"/>
      <c r="L113" s="51"/>
      <c r="M113" s="51"/>
      <c r="N113" s="51"/>
      <c r="O113" s="34">
        <v>1500</v>
      </c>
      <c r="P113" s="34">
        <v>1500</v>
      </c>
      <c r="Q113" s="51"/>
      <c r="R113" s="51"/>
      <c r="S113" s="51"/>
    </row>
    <row r="114" spans="1:20" ht="15.95">
      <c r="A114" s="30">
        <v>113</v>
      </c>
      <c r="B114" s="38" t="s">
        <v>135</v>
      </c>
      <c r="C114" s="38" t="s">
        <v>242</v>
      </c>
      <c r="D114" s="39" t="s">
        <v>356</v>
      </c>
      <c r="E114" s="38" t="s">
        <v>357</v>
      </c>
      <c r="F114" s="37" t="s">
        <v>466</v>
      </c>
      <c r="G114" s="33">
        <f t="shared" si="2"/>
        <v>3000</v>
      </c>
      <c r="K114" s="51"/>
      <c r="L114" s="51"/>
      <c r="M114" s="51"/>
      <c r="N114" s="51"/>
      <c r="O114" s="34">
        <v>1500</v>
      </c>
      <c r="P114" s="34">
        <v>1500</v>
      </c>
      <c r="Q114" s="51"/>
      <c r="R114" s="51"/>
      <c r="S114" s="51"/>
    </row>
    <row r="116" spans="1:20">
      <c r="G116" t="s">
        <v>467</v>
      </c>
      <c r="H116" s="65">
        <v>46023</v>
      </c>
      <c r="I116" s="65">
        <v>46054</v>
      </c>
      <c r="J116" s="65">
        <v>46082</v>
      </c>
      <c r="K116" s="65">
        <v>46113</v>
      </c>
      <c r="L116" s="65">
        <v>46143</v>
      </c>
      <c r="M116" s="65">
        <v>46174</v>
      </c>
      <c r="N116" s="65">
        <v>46204</v>
      </c>
      <c r="O116" s="65">
        <v>46235</v>
      </c>
      <c r="P116" s="65">
        <v>46266</v>
      </c>
      <c r="Q116" s="65">
        <v>46296</v>
      </c>
      <c r="R116" s="65">
        <v>46327</v>
      </c>
      <c r="S116" s="65">
        <v>46357</v>
      </c>
    </row>
    <row r="117" spans="1:20">
      <c r="G117" t="s">
        <v>242</v>
      </c>
      <c r="H117">
        <f>+COUNTIFS(GastoSueldos[[Proceso]:[Proceso]],$G117,GastoSueldos[ene-26],"&lt;&gt;")</f>
        <v>53</v>
      </c>
      <c r="I117">
        <f>+COUNTIFS(GastoSueldos[[Proceso]:[Proceso]],$G117,GastoSueldos[feb-26],"&lt;&gt;")</f>
        <v>46</v>
      </c>
      <c r="J117">
        <f>+COUNTIFS(GastoSueldos[[Proceso]:[Proceso]],$G117,GastoSueldos[mar-26],"&lt;&gt;")</f>
        <v>38</v>
      </c>
      <c r="K117">
        <f>+COUNTIFS(GastoSueldos[[Proceso]:[Proceso]],$G117,GastoSueldos[abr-26],"&lt;&gt;")</f>
        <v>54</v>
      </c>
      <c r="L117">
        <f>+COUNTIFS(GastoSueldos[[Proceso]:[Proceso]],$G117,GastoSueldos[may-26],"&lt;&gt;")</f>
        <v>54</v>
      </c>
      <c r="M117">
        <f>+COUNTIFS(GastoSueldos[[Proceso]:[Proceso]],$G117,GastoSueldos[jun-26],"&lt;&gt;")</f>
        <v>54</v>
      </c>
      <c r="N117">
        <f>+COUNTIFS(GastoSueldos[[Proceso]:[Proceso]],$G117,GastoSueldos[jul-26],"&lt;&gt;")</f>
        <v>54</v>
      </c>
      <c r="O117">
        <f>+COUNTIFS(GastoSueldos[[Proceso]:[Proceso]],$G117,GastoSueldos[ago-26],"&lt;&gt;")</f>
        <v>57</v>
      </c>
      <c r="P117">
        <f>+COUNTIFS(GastoSueldos[[Proceso]:[Proceso]],$G117,GastoSueldos[sept-26],"&lt;&gt;")</f>
        <v>57</v>
      </c>
      <c r="Q117">
        <f>+COUNTIFS(GastoSueldos[[Proceso]:[Proceso]],$G117,GastoSueldos[oct-26],"&lt;&gt;")</f>
        <v>54</v>
      </c>
      <c r="R117">
        <f>+COUNTIFS(GastoSueldos[[Proceso]:[Proceso]],$G117,GastoSueldos[nov-26],"&lt;&gt;")</f>
        <v>54</v>
      </c>
      <c r="S117">
        <f>+COUNTIFS(GastoSueldos[[Proceso]:[Proceso]],$G117,GastoSueldos[dic-26],"&lt;&gt;")</f>
        <v>54</v>
      </c>
      <c r="T117" s="16">
        <f>+AVERAGE(H117:S117)</f>
        <v>52.416666666666664</v>
      </c>
    </row>
    <row r="118" spans="1:20">
      <c r="G118" t="s">
        <v>180</v>
      </c>
      <c r="H118">
        <f>+COUNTIFS(GastoSueldos[[Proceso]:[Proceso]],$G118,GastoSueldos[ene-26],"&lt;&gt;")</f>
        <v>16</v>
      </c>
      <c r="I118">
        <f>+COUNTIFS(GastoSueldos[[Proceso]:[Proceso]],$G118,GastoSueldos[feb-26],"&lt;&gt;")</f>
        <v>17</v>
      </c>
      <c r="J118">
        <f>+COUNTIFS(GastoSueldos[[Proceso]:[Proceso]],$G118,GastoSueldos[mar-26],"&lt;&gt;")</f>
        <v>17</v>
      </c>
      <c r="K118">
        <f>+COUNTIFS(GastoSueldos[[Proceso]:[Proceso]],$G118,GastoSueldos[abr-26],"&lt;&gt;")</f>
        <v>14</v>
      </c>
      <c r="L118">
        <f>+COUNTIFS(GastoSueldos[[Proceso]:[Proceso]],$G118,GastoSueldos[may-26],"&lt;&gt;")</f>
        <v>14</v>
      </c>
      <c r="M118">
        <f>+COUNTIFS(GastoSueldos[[Proceso]:[Proceso]],$G118,GastoSueldos[jun-26],"&lt;&gt;")</f>
        <v>14</v>
      </c>
      <c r="N118">
        <f>+COUNTIFS(GastoSueldos[[Proceso]:[Proceso]],$G118,GastoSueldos[jul-26],"&lt;&gt;")</f>
        <v>14</v>
      </c>
      <c r="O118">
        <f>+COUNTIFS(GastoSueldos[[Proceso]:[Proceso]],$G118,GastoSueldos[ago-26],"&lt;&gt;")</f>
        <v>14</v>
      </c>
      <c r="P118">
        <f>+COUNTIFS(GastoSueldos[[Proceso]:[Proceso]],$G118,GastoSueldos[sept-26],"&lt;&gt;")</f>
        <v>14</v>
      </c>
      <c r="Q118">
        <f>+COUNTIFS(GastoSueldos[[Proceso]:[Proceso]],$G118,GastoSueldos[oct-26],"&lt;&gt;")</f>
        <v>14</v>
      </c>
      <c r="R118">
        <f>+COUNTIFS(GastoSueldos[[Proceso]:[Proceso]],$G118,GastoSueldos[nov-26],"&lt;&gt;")</f>
        <v>14</v>
      </c>
      <c r="S118">
        <f>+COUNTIFS(GastoSueldos[[Proceso]:[Proceso]],$G118,GastoSueldos[dic-26],"&lt;&gt;")</f>
        <v>14</v>
      </c>
      <c r="T118" s="16">
        <f>+AVERAGE(H118:S118)</f>
        <v>14.666666666666666</v>
      </c>
    </row>
    <row r="119" spans="1:20">
      <c r="G119" s="84" t="s">
        <v>468</v>
      </c>
      <c r="H119" s="64">
        <f>+SUM(H117:H118)</f>
        <v>69</v>
      </c>
      <c r="I119" s="64">
        <f t="shared" ref="I119:T119" si="3">+SUM(I117:I118)</f>
        <v>63</v>
      </c>
      <c r="J119" s="64">
        <f t="shared" si="3"/>
        <v>55</v>
      </c>
      <c r="K119" s="64">
        <f t="shared" si="3"/>
        <v>68</v>
      </c>
      <c r="L119" s="64">
        <f t="shared" si="3"/>
        <v>68</v>
      </c>
      <c r="M119" s="64">
        <f t="shared" si="3"/>
        <v>68</v>
      </c>
      <c r="N119" s="64">
        <f t="shared" si="3"/>
        <v>68</v>
      </c>
      <c r="O119" s="64">
        <f t="shared" si="3"/>
        <v>71</v>
      </c>
      <c r="P119" s="64">
        <f t="shared" si="3"/>
        <v>71</v>
      </c>
      <c r="Q119" s="64">
        <f t="shared" si="3"/>
        <v>68</v>
      </c>
      <c r="R119" s="64">
        <f t="shared" si="3"/>
        <v>68</v>
      </c>
      <c r="S119" s="64">
        <f t="shared" si="3"/>
        <v>68</v>
      </c>
      <c r="T119" s="86">
        <f t="shared" si="3"/>
        <v>67.083333333333329</v>
      </c>
    </row>
    <row r="120" spans="1:20">
      <c r="G120" t="s">
        <v>469</v>
      </c>
      <c r="H120" s="85">
        <f>+H119-6</f>
        <v>63</v>
      </c>
      <c r="I120" s="85">
        <f t="shared" ref="I120:S120" si="4">+I119-6</f>
        <v>57</v>
      </c>
      <c r="J120" s="85">
        <f t="shared" si="4"/>
        <v>49</v>
      </c>
      <c r="K120" s="85">
        <f t="shared" si="4"/>
        <v>62</v>
      </c>
      <c r="L120" s="85">
        <f t="shared" si="4"/>
        <v>62</v>
      </c>
      <c r="M120" s="85">
        <f t="shared" si="4"/>
        <v>62</v>
      </c>
      <c r="N120" s="85">
        <f t="shared" si="4"/>
        <v>62</v>
      </c>
      <c r="O120" s="85">
        <f t="shared" si="4"/>
        <v>65</v>
      </c>
      <c r="P120" s="85">
        <f t="shared" si="4"/>
        <v>65</v>
      </c>
      <c r="Q120" s="85">
        <f t="shared" si="4"/>
        <v>62</v>
      </c>
      <c r="R120" s="85">
        <f t="shared" si="4"/>
        <v>62</v>
      </c>
      <c r="S120" s="85">
        <f t="shared" si="4"/>
        <v>62</v>
      </c>
    </row>
    <row r="121" spans="1:20">
      <c r="H121" s="85"/>
      <c r="I121" s="85"/>
      <c r="J121" s="85"/>
      <c r="K121" s="85"/>
      <c r="L121" s="85"/>
      <c r="M121" s="85"/>
      <c r="N121" s="85"/>
      <c r="O121" s="85"/>
      <c r="P121" s="85"/>
      <c r="Q121" s="85"/>
      <c r="R121" s="85"/>
      <c r="S121" s="85"/>
    </row>
    <row r="122" spans="1:20">
      <c r="G122" t="s">
        <v>242</v>
      </c>
      <c r="H122" s="87">
        <f>+SUMIF(GastoSueldos[[Proceso]:[Proceso]],$G122,GastoSueldos[ene-26])</f>
        <v>265011.52401249995</v>
      </c>
      <c r="I122" s="87">
        <f>+SUMIF(GastoSueldos[[Proceso]:[Proceso]],$G122,GastoSueldos[feb-26])</f>
        <v>243305.91341999997</v>
      </c>
      <c r="J122" s="87">
        <f>+SUMIF(GastoSueldos[[Proceso]:[Proceso]],$G122,GastoSueldos[mar-26])</f>
        <v>214016.74460500001</v>
      </c>
      <c r="K122" s="87">
        <f>+SUMIF(GastoSueldos[[Proceso]:[Proceso]],$G122,GastoSueldos[abr-26])</f>
        <v>284616.74460500001</v>
      </c>
      <c r="L122" s="87">
        <f>+SUMIF(GastoSueldos[[Proceso]:[Proceso]],$G122,GastoSueldos[may-26])</f>
        <v>284616.74460500001</v>
      </c>
      <c r="M122" s="87">
        <f>+SUMIF(GastoSueldos[[Proceso]:[Proceso]],$G122,GastoSueldos[jun-26])</f>
        <v>284616.74460500001</v>
      </c>
      <c r="N122" s="87">
        <f>+SUMIF(GastoSueldos[[Proceso]:[Proceso]],$G122,GastoSueldos[jul-26])</f>
        <v>284616.74460500001</v>
      </c>
      <c r="O122" s="87">
        <f>+SUMIF(GastoSueldos[[Proceso]:[Proceso]],$G122,GastoSueldos[ago-26])</f>
        <v>289116.74460500001</v>
      </c>
      <c r="P122" s="87">
        <f>+SUMIF(GastoSueldos[[Proceso]:[Proceso]],$G122,GastoSueldos[sept-26])</f>
        <v>289116.74460500001</v>
      </c>
      <c r="Q122" s="87">
        <f>+SUMIF(GastoSueldos[[Proceso]:[Proceso]],$G122,GastoSueldos[oct-26])</f>
        <v>284616.74460500001</v>
      </c>
      <c r="R122" s="87">
        <f>+SUMIF(GastoSueldos[[Proceso]:[Proceso]],$G122,GastoSueldos[nov-26])</f>
        <v>284616.74460500001</v>
      </c>
      <c r="S122" s="87">
        <f>+SUMIF(GastoSueldos[[Proceso]:[Proceso]],$G122,GastoSueldos[dic-26])</f>
        <v>284616.74460500001</v>
      </c>
      <c r="T122" s="16">
        <f>+SUM(H122:S122)</f>
        <v>3292884.8834825009</v>
      </c>
    </row>
    <row r="123" spans="1:20">
      <c r="G123" t="s">
        <v>180</v>
      </c>
      <c r="H123" s="87">
        <f>+SUMIF(GastoSueldos[[Proceso]:[Proceso]],$G123,GastoSueldos[ene-26])</f>
        <v>63879.967210000017</v>
      </c>
      <c r="I123" s="87">
        <f>+SUMIF(GastoSueldos[[Proceso]:[Proceso]],$G123,GastoSueldos[feb-26])</f>
        <v>72379.967210000017</v>
      </c>
      <c r="J123" s="87">
        <f>+SUMIF(GastoSueldos[[Proceso]:[Proceso]],$G123,GastoSueldos[mar-26])</f>
        <v>72379.967210000017</v>
      </c>
      <c r="K123" s="87">
        <f>+SUMIF(GastoSueldos[[Proceso]:[Proceso]],$G123,GastoSueldos[abr-26])</f>
        <v>58008.353520000011</v>
      </c>
      <c r="L123" s="87">
        <f>+SUMIF(GastoSueldos[[Proceso]:[Proceso]],$G123,GastoSueldos[may-26])</f>
        <v>58008.353520000011</v>
      </c>
      <c r="M123" s="87">
        <f>+SUMIF(GastoSueldos[[Proceso]:[Proceso]],$G123,GastoSueldos[jun-26])</f>
        <v>58008.353520000011</v>
      </c>
      <c r="N123" s="87">
        <f>+SUMIF(GastoSueldos[[Proceso]:[Proceso]],$G123,GastoSueldos[jul-26])</f>
        <v>58008.353520000011</v>
      </c>
      <c r="O123" s="87">
        <f>+SUMIF(GastoSueldos[[Proceso]:[Proceso]],$G123,GastoSueldos[ago-26])</f>
        <v>58008.353520000011</v>
      </c>
      <c r="P123" s="87">
        <f>+SUMIF(GastoSueldos[[Proceso]:[Proceso]],$G123,GastoSueldos[sept-26])</f>
        <v>58008.353520000011</v>
      </c>
      <c r="Q123" s="87">
        <f>+SUMIF(GastoSueldos[[Proceso]:[Proceso]],$G123,GastoSueldos[oct-26])</f>
        <v>58008.353520000011</v>
      </c>
      <c r="R123" s="87">
        <f>+SUMIF(GastoSueldos[[Proceso]:[Proceso]],$G123,GastoSueldos[nov-26])</f>
        <v>58008.353520000011</v>
      </c>
      <c r="S123" s="87">
        <f>+SUMIF(GastoSueldos[[Proceso]:[Proceso]],$G123,GastoSueldos[dic-26])</f>
        <v>58008.353520000011</v>
      </c>
      <c r="T123" s="16">
        <f>+SUM(H123:S123)</f>
        <v>730715.08331000013</v>
      </c>
    </row>
    <row r="124" spans="1:20">
      <c r="G124" t="s">
        <v>468</v>
      </c>
      <c r="H124" s="87">
        <f>+SUM(H122:H123)</f>
        <v>328891.49122249999</v>
      </c>
      <c r="I124" s="87">
        <f t="shared" ref="I124:T124" si="5">+SUM(I122:I123)</f>
        <v>315685.88062999997</v>
      </c>
      <c r="J124" s="87">
        <f t="shared" si="5"/>
        <v>286396.71181500005</v>
      </c>
      <c r="K124" s="87">
        <f t="shared" si="5"/>
        <v>342625.09812500002</v>
      </c>
      <c r="L124" s="87">
        <f t="shared" si="5"/>
        <v>342625.09812500002</v>
      </c>
      <c r="M124" s="87">
        <f t="shared" si="5"/>
        <v>342625.09812500002</v>
      </c>
      <c r="N124" s="87">
        <f t="shared" si="5"/>
        <v>342625.09812500002</v>
      </c>
      <c r="O124" s="87">
        <f t="shared" si="5"/>
        <v>347125.09812500002</v>
      </c>
      <c r="P124" s="87">
        <f t="shared" si="5"/>
        <v>347125.09812500002</v>
      </c>
      <c r="Q124" s="87">
        <f t="shared" si="5"/>
        <v>342625.09812500002</v>
      </c>
      <c r="R124" s="87">
        <f t="shared" si="5"/>
        <v>342625.09812500002</v>
      </c>
      <c r="S124" s="87">
        <f t="shared" si="5"/>
        <v>342625.09812500002</v>
      </c>
      <c r="T124" s="87">
        <f t="shared" si="5"/>
        <v>4023599.966792501</v>
      </c>
    </row>
    <row r="125" spans="1:20">
      <c r="H125" s="85"/>
      <c r="I125" s="85"/>
      <c r="J125" s="85"/>
      <c r="K125" s="85"/>
      <c r="L125" s="85"/>
      <c r="M125" s="85"/>
      <c r="N125" s="85"/>
      <c r="O125" s="85"/>
      <c r="P125" s="85"/>
      <c r="Q125" s="85"/>
      <c r="R125" s="85"/>
      <c r="S125" s="85"/>
    </row>
    <row r="126" spans="1:20">
      <c r="G126" t="s">
        <v>132</v>
      </c>
      <c r="H126" s="85"/>
      <c r="I126" s="85"/>
      <c r="J126" s="85"/>
      <c r="K126" s="85"/>
      <c r="L126" s="85"/>
      <c r="M126" s="85"/>
      <c r="N126" s="85"/>
      <c r="O126" s="85"/>
      <c r="P126" s="85"/>
      <c r="Q126" s="85"/>
      <c r="R126" s="85"/>
      <c r="S126" s="85"/>
    </row>
    <row r="127" spans="1:20">
      <c r="H127" s="85"/>
      <c r="I127" s="85"/>
      <c r="J127" s="85"/>
      <c r="K127" s="85"/>
      <c r="L127" s="85"/>
      <c r="M127" s="85"/>
      <c r="N127" s="85"/>
      <c r="O127" s="85"/>
      <c r="P127" s="85"/>
      <c r="Q127" s="85"/>
      <c r="R127" s="85"/>
      <c r="S127" s="85"/>
    </row>
    <row r="128" spans="1:20">
      <c r="G128" t="s">
        <v>132</v>
      </c>
      <c r="H128">
        <f>+COUNTIFS(GastoSueldos[[Proceso]:[Proceso]],$G128,GastoSueldos[ene-26],"&lt;&gt;")</f>
        <v>9</v>
      </c>
      <c r="I128">
        <f>+COUNTIFS(GastoSueldos[[Proceso]:[Proceso]],$G128,GastoSueldos[feb-26],"&lt;&gt;")</f>
        <v>9</v>
      </c>
      <c r="J128">
        <f>+COUNTIFS(GastoSueldos[[Proceso]:[Proceso]],$G128,GastoSueldos[mar-26],"&lt;&gt;")</f>
        <v>9</v>
      </c>
      <c r="K128">
        <f>+COUNTIFS(GastoSueldos[[Proceso]:[Proceso]],$G128,GastoSueldos[abr-26],"&lt;&gt;")</f>
        <v>9</v>
      </c>
      <c r="L128">
        <f>+COUNTIFS(GastoSueldos[[Proceso]:[Proceso]],$G128,GastoSueldos[may-26],"&lt;&gt;")</f>
        <v>9</v>
      </c>
      <c r="M128">
        <f>+COUNTIFS(GastoSueldos[[Proceso]:[Proceso]],$G128,GastoSueldos[jun-26],"&lt;&gt;")</f>
        <v>9</v>
      </c>
      <c r="N128">
        <f>+COUNTIFS(GastoSueldos[[Proceso]:[Proceso]],$G128,GastoSueldos[jul-26],"&lt;&gt;")</f>
        <v>9</v>
      </c>
      <c r="O128">
        <f>+COUNTIFS(GastoSueldos[[Proceso]:[Proceso]],$G128,GastoSueldos[ago-26],"&lt;&gt;")</f>
        <v>9</v>
      </c>
      <c r="P128">
        <f>+COUNTIFS(GastoSueldos[[Proceso]:[Proceso]],$G128,GastoSueldos[sept-26],"&lt;&gt;")</f>
        <v>9</v>
      </c>
      <c r="Q128">
        <f>+COUNTIFS(GastoSueldos[[Proceso]:[Proceso]],$G128,GastoSueldos[oct-26],"&lt;&gt;")</f>
        <v>9</v>
      </c>
      <c r="R128">
        <f>+COUNTIFS(GastoSueldos[[Proceso]:[Proceso]],$G128,GastoSueldos[nov-26],"&lt;&gt;")</f>
        <v>9</v>
      </c>
      <c r="S128">
        <f>+COUNTIFS(GastoSueldos[[Proceso]:[Proceso]],$G128,GastoSueldos[dic-26],"&lt;&gt;")</f>
        <v>9</v>
      </c>
      <c r="T128">
        <f t="shared" ref="T128:T129" si="6">+AVERAGE(H128:S128)</f>
        <v>9</v>
      </c>
    </row>
    <row r="129" spans="7:31">
      <c r="G129" t="s">
        <v>10</v>
      </c>
      <c r="H129">
        <f>+COUNTIFS(GastoSueldos[[Proceso]:[Proceso]],$G129,GastoSueldos[ene-26],"&lt;&gt;")</f>
        <v>8</v>
      </c>
      <c r="I129">
        <f>+COUNTIFS(GastoSueldos[[Proceso]:[Proceso]],$G129,GastoSueldos[feb-26],"&lt;&gt;")</f>
        <v>9</v>
      </c>
      <c r="J129">
        <f>+COUNTIFS(GastoSueldos[[Proceso]:[Proceso]],$G129,GastoSueldos[mar-26],"&lt;&gt;")</f>
        <v>8</v>
      </c>
      <c r="K129">
        <f>+COUNTIFS(GastoSueldos[[Proceso]:[Proceso]],$G129,GastoSueldos[abr-26],"&lt;&gt;")</f>
        <v>8</v>
      </c>
      <c r="L129">
        <f>+COUNTIFS(GastoSueldos[[Proceso]:[Proceso]],$G129,GastoSueldos[may-26],"&lt;&gt;")</f>
        <v>8</v>
      </c>
      <c r="M129">
        <f>+COUNTIFS(GastoSueldos[[Proceso]:[Proceso]],$G129,GastoSueldos[jun-26],"&lt;&gt;")</f>
        <v>8</v>
      </c>
      <c r="N129">
        <f>+COUNTIFS(GastoSueldos[[Proceso]:[Proceso]],$G129,GastoSueldos[jul-26],"&lt;&gt;")</f>
        <v>8</v>
      </c>
      <c r="O129">
        <f>+COUNTIFS(GastoSueldos[[Proceso]:[Proceso]],$G129,GastoSueldos[ago-26],"&lt;&gt;")</f>
        <v>8</v>
      </c>
      <c r="P129">
        <f>+COUNTIFS(GastoSueldos[[Proceso]:[Proceso]],$G129,GastoSueldos[sept-26],"&lt;&gt;")</f>
        <v>9</v>
      </c>
      <c r="Q129">
        <f>+COUNTIFS(GastoSueldos[[Proceso]:[Proceso]],$G129,GastoSueldos[oct-26],"&lt;&gt;")</f>
        <v>8</v>
      </c>
      <c r="R129">
        <f>+COUNTIFS(GastoSueldos[[Proceso]:[Proceso]],$G129,GastoSueldos[nov-26],"&lt;&gt;")</f>
        <v>8</v>
      </c>
      <c r="S129">
        <f>+COUNTIFS(GastoSueldos[[Proceso]:[Proceso]],$G129,GastoSueldos[dic-26],"&lt;&gt;")</f>
        <v>8</v>
      </c>
      <c r="T129">
        <f t="shared" si="6"/>
        <v>8.1666666666666661</v>
      </c>
    </row>
    <row r="130" spans="7:31">
      <c r="G130" t="s">
        <v>470</v>
      </c>
      <c r="H130" s="85">
        <f>+H119</f>
        <v>69</v>
      </c>
      <c r="I130" s="85">
        <f t="shared" ref="I130:S130" si="7">+I119</f>
        <v>63</v>
      </c>
      <c r="J130" s="85">
        <f t="shared" si="7"/>
        <v>55</v>
      </c>
      <c r="K130" s="85">
        <f t="shared" si="7"/>
        <v>68</v>
      </c>
      <c r="L130" s="85">
        <f t="shared" si="7"/>
        <v>68</v>
      </c>
      <c r="M130" s="85">
        <f t="shared" si="7"/>
        <v>68</v>
      </c>
      <c r="N130" s="85">
        <f t="shared" si="7"/>
        <v>68</v>
      </c>
      <c r="O130" s="85">
        <f t="shared" si="7"/>
        <v>71</v>
      </c>
      <c r="P130" s="85">
        <f t="shared" si="7"/>
        <v>71</v>
      </c>
      <c r="Q130" s="85">
        <f t="shared" si="7"/>
        <v>68</v>
      </c>
      <c r="R130" s="85">
        <f t="shared" si="7"/>
        <v>68</v>
      </c>
      <c r="S130" s="85">
        <f t="shared" si="7"/>
        <v>68</v>
      </c>
      <c r="T130">
        <f>+SUM(T128:T129)</f>
        <v>17.166666666666664</v>
      </c>
    </row>
    <row r="131" spans="7:31">
      <c r="G131" t="s">
        <v>316</v>
      </c>
      <c r="H131">
        <f>+COUNTIFS(GastoSueldos[[Proceso]:[Proceso]],$G131,GastoSueldos[ene-26],"&lt;&gt;")</f>
        <v>3</v>
      </c>
      <c r="I131">
        <f>+COUNTIFS(GastoSueldos[[Proceso]:[Proceso]],$G131,GastoSueldos[ene-26],"&lt;&gt;")</f>
        <v>3</v>
      </c>
      <c r="J131">
        <f>+COUNTIFS(GastoSueldos[[Proceso]:[Proceso]],$G131,GastoSueldos[mar-26],"&lt;&gt;")</f>
        <v>3</v>
      </c>
      <c r="K131">
        <f>+COUNTIFS(GastoSueldos[[Proceso]:[Proceso]],$G131,GastoSueldos[abr-26],"&lt;&gt;")</f>
        <v>3</v>
      </c>
      <c r="L131">
        <f>+COUNTIFS(GastoSueldos[[Proceso]:[Proceso]],$G131,GastoSueldos[may-26],"&lt;&gt;")</f>
        <v>3</v>
      </c>
      <c r="M131">
        <f>+COUNTIFS(GastoSueldos[[Proceso]:[Proceso]],$G131,GastoSueldos[jun-26],"&lt;&gt;")</f>
        <v>3</v>
      </c>
      <c r="N131">
        <f>+COUNTIFS(GastoSueldos[[Proceso]:[Proceso]],$G131,GastoSueldos[jul-26],"&lt;&gt;")</f>
        <v>3</v>
      </c>
      <c r="O131">
        <f>+COUNTIFS(GastoSueldos[[Proceso]:[Proceso]],$G131,GastoSueldos[ago-26],"&lt;&gt;")</f>
        <v>3</v>
      </c>
      <c r="P131">
        <f>+COUNTIFS(GastoSueldos[[Proceso]:[Proceso]],$G131,GastoSueldos[sept-26],"&lt;&gt;")</f>
        <v>3</v>
      </c>
      <c r="Q131">
        <f>+COUNTIFS(GastoSueldos[[Proceso]:[Proceso]],$G131,GastoSueldos[oct-26],"&lt;&gt;")</f>
        <v>3</v>
      </c>
      <c r="R131">
        <f>+COUNTIFS(GastoSueldos[[Proceso]:[Proceso]],$G131,GastoSueldos[nov-26],"&lt;&gt;")</f>
        <v>3</v>
      </c>
      <c r="S131">
        <f>+COUNTIFS(GastoSueldos[[Proceso]:[Proceso]],$G131,GastoSueldos[dic-26],"&lt;&gt;")</f>
        <v>3</v>
      </c>
    </row>
    <row r="132" spans="7:31">
      <c r="G132" t="s">
        <v>468</v>
      </c>
      <c r="H132" s="85">
        <f>+SUM(H128:H131)</f>
        <v>89</v>
      </c>
      <c r="I132" s="85">
        <f t="shared" ref="I132:S132" si="8">+SUM(I128:I131)</f>
        <v>84</v>
      </c>
      <c r="J132" s="85">
        <f t="shared" si="8"/>
        <v>75</v>
      </c>
      <c r="K132" s="85">
        <f t="shared" si="8"/>
        <v>88</v>
      </c>
      <c r="L132" s="85">
        <f t="shared" si="8"/>
        <v>88</v>
      </c>
      <c r="M132" s="85">
        <f t="shared" si="8"/>
        <v>88</v>
      </c>
      <c r="N132" s="85">
        <f t="shared" si="8"/>
        <v>88</v>
      </c>
      <c r="O132" s="85">
        <f t="shared" si="8"/>
        <v>91</v>
      </c>
      <c r="P132" s="85">
        <f t="shared" si="8"/>
        <v>92</v>
      </c>
      <c r="Q132" s="85">
        <f t="shared" si="8"/>
        <v>88</v>
      </c>
      <c r="R132" s="85">
        <f t="shared" si="8"/>
        <v>88</v>
      </c>
      <c r="S132" s="85">
        <f t="shared" si="8"/>
        <v>88</v>
      </c>
    </row>
    <row r="133" spans="7:31">
      <c r="H133" s="91">
        <f t="shared" ref="H133:S133" si="9">+(H128+H129)/H132</f>
        <v>0.19101123595505617</v>
      </c>
      <c r="I133" s="91">
        <f t="shared" si="9"/>
        <v>0.21428571428571427</v>
      </c>
      <c r="J133" s="91">
        <f t="shared" si="9"/>
        <v>0.22666666666666666</v>
      </c>
      <c r="K133" s="91">
        <f t="shared" si="9"/>
        <v>0.19318181818181818</v>
      </c>
      <c r="L133" s="91">
        <f t="shared" si="9"/>
        <v>0.19318181818181818</v>
      </c>
      <c r="M133" s="91">
        <f t="shared" si="9"/>
        <v>0.19318181818181818</v>
      </c>
      <c r="N133" s="91">
        <f t="shared" si="9"/>
        <v>0.19318181818181818</v>
      </c>
      <c r="O133" s="91">
        <f t="shared" si="9"/>
        <v>0.18681318681318682</v>
      </c>
      <c r="P133" s="91">
        <f t="shared" si="9"/>
        <v>0.19565217391304349</v>
      </c>
      <c r="Q133" s="91">
        <f t="shared" si="9"/>
        <v>0.19318181818181818</v>
      </c>
      <c r="R133" s="91">
        <f t="shared" si="9"/>
        <v>0.19318181818181818</v>
      </c>
      <c r="S133" s="91">
        <f t="shared" si="9"/>
        <v>0.19318181818181818</v>
      </c>
    </row>
    <row r="136" spans="7:31">
      <c r="S136" s="63"/>
      <c r="T136" s="92">
        <v>46023</v>
      </c>
      <c r="U136" s="92">
        <v>46054</v>
      </c>
      <c r="V136" s="92">
        <v>46082</v>
      </c>
      <c r="W136" s="92">
        <v>46113</v>
      </c>
      <c r="X136" s="92">
        <v>46143</v>
      </c>
      <c r="Y136" s="92">
        <v>46174</v>
      </c>
      <c r="Z136" s="92">
        <v>46204</v>
      </c>
      <c r="AA136" s="92">
        <v>46235</v>
      </c>
      <c r="AB136" s="92">
        <v>46266</v>
      </c>
      <c r="AC136" s="92">
        <v>46296</v>
      </c>
      <c r="AD136" s="92">
        <v>46327</v>
      </c>
      <c r="AE136" s="92">
        <v>46357</v>
      </c>
    </row>
    <row r="137" spans="7:31">
      <c r="S137" s="63" t="s">
        <v>471</v>
      </c>
      <c r="T137" s="63">
        <f t="shared" ref="T137:AE137" si="10">+H128+H129</f>
        <v>17</v>
      </c>
      <c r="U137" s="63">
        <f t="shared" si="10"/>
        <v>18</v>
      </c>
      <c r="V137" s="63">
        <f t="shared" si="10"/>
        <v>17</v>
      </c>
      <c r="W137" s="63">
        <f t="shared" si="10"/>
        <v>17</v>
      </c>
      <c r="X137" s="63">
        <f t="shared" si="10"/>
        <v>17</v>
      </c>
      <c r="Y137" s="63">
        <f t="shared" si="10"/>
        <v>17</v>
      </c>
      <c r="Z137" s="63">
        <f t="shared" si="10"/>
        <v>17</v>
      </c>
      <c r="AA137" s="63">
        <f t="shared" si="10"/>
        <v>17</v>
      </c>
      <c r="AB137" s="63">
        <f t="shared" si="10"/>
        <v>18</v>
      </c>
      <c r="AC137" s="63">
        <f t="shared" si="10"/>
        <v>17</v>
      </c>
      <c r="AD137" s="63">
        <f t="shared" si="10"/>
        <v>17</v>
      </c>
      <c r="AE137" s="63">
        <f t="shared" si="10"/>
        <v>17</v>
      </c>
    </row>
    <row r="138" spans="7:31">
      <c r="S138" s="63" t="s">
        <v>472</v>
      </c>
      <c r="T138" s="63">
        <f t="shared" ref="T138:AE138" si="11">+H130+H131</f>
        <v>72</v>
      </c>
      <c r="U138" s="63">
        <f t="shared" si="11"/>
        <v>66</v>
      </c>
      <c r="V138" s="63">
        <f t="shared" si="11"/>
        <v>58</v>
      </c>
      <c r="W138" s="63">
        <f t="shared" si="11"/>
        <v>71</v>
      </c>
      <c r="X138" s="63">
        <f t="shared" si="11"/>
        <v>71</v>
      </c>
      <c r="Y138" s="63">
        <f t="shared" si="11"/>
        <v>71</v>
      </c>
      <c r="Z138" s="63">
        <f t="shared" si="11"/>
        <v>71</v>
      </c>
      <c r="AA138" s="63">
        <f t="shared" si="11"/>
        <v>74</v>
      </c>
      <c r="AB138" s="63">
        <f t="shared" si="11"/>
        <v>74</v>
      </c>
      <c r="AC138" s="63">
        <f t="shared" si="11"/>
        <v>71</v>
      </c>
      <c r="AD138" s="63">
        <f t="shared" si="11"/>
        <v>71</v>
      </c>
      <c r="AE138" s="63">
        <f t="shared" si="11"/>
        <v>71</v>
      </c>
    </row>
    <row r="139" spans="7:31">
      <c r="T139">
        <f>+SUM(T137:T138)</f>
        <v>89</v>
      </c>
      <c r="U139">
        <f t="shared" ref="U139:AE139" si="12">+SUM(U137:U138)</f>
        <v>84</v>
      </c>
      <c r="V139">
        <f t="shared" si="12"/>
        <v>75</v>
      </c>
      <c r="W139">
        <f t="shared" si="12"/>
        <v>88</v>
      </c>
      <c r="X139">
        <f t="shared" si="12"/>
        <v>88</v>
      </c>
      <c r="Y139">
        <f t="shared" si="12"/>
        <v>88</v>
      </c>
      <c r="Z139">
        <f t="shared" si="12"/>
        <v>88</v>
      </c>
      <c r="AA139">
        <f t="shared" si="12"/>
        <v>91</v>
      </c>
      <c r="AB139">
        <f t="shared" si="12"/>
        <v>92</v>
      </c>
      <c r="AC139">
        <f t="shared" si="12"/>
        <v>88</v>
      </c>
      <c r="AD139">
        <f t="shared" si="12"/>
        <v>88</v>
      </c>
      <c r="AE139">
        <f t="shared" si="12"/>
        <v>88</v>
      </c>
    </row>
    <row r="150" spans="7:7">
      <c r="G150" t="s">
        <v>473</v>
      </c>
    </row>
  </sheetData>
  <phoneticPr fontId="7" type="noConversion"/>
  <pageMargins left="0.7" right="0.7" top="0.75" bottom="0.75" header="0.3" footer="0.3"/>
  <drawing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1991AD-32CF-480A-9E7B-CE9229A75980}">
  <dimension ref="A1:S11"/>
  <sheetViews>
    <sheetView zoomScale="80" zoomScaleNormal="80" workbookViewId="0">
      <selection activeCell="H2" sqref="H2"/>
    </sheetView>
  </sheetViews>
  <sheetFormatPr defaultColWidth="10.7109375" defaultRowHeight="15.95"/>
  <cols>
    <col min="1" max="1" width="4.28515625" style="48" customWidth="1"/>
    <col min="2" max="3" width="10.7109375" style="48"/>
    <col min="4" max="4" width="16.5703125" style="48" customWidth="1"/>
    <col min="5" max="5" width="11.42578125" style="48" customWidth="1"/>
    <col min="6" max="6" width="27.7109375" style="48" bestFit="1" customWidth="1"/>
    <col min="7" max="7" width="12" style="48" customWidth="1"/>
    <col min="8" max="16384" width="10.7109375" style="48"/>
  </cols>
  <sheetData>
    <row r="1" spans="1:19">
      <c r="A1" s="26" t="s">
        <v>208</v>
      </c>
      <c r="B1" s="27" t="s">
        <v>153</v>
      </c>
      <c r="C1" s="28" t="s">
        <v>209</v>
      </c>
      <c r="D1" s="28" t="s">
        <v>210</v>
      </c>
      <c r="E1" s="28" t="s">
        <v>1</v>
      </c>
      <c r="F1" s="26" t="s">
        <v>211</v>
      </c>
      <c r="G1" s="27" t="s">
        <v>206</v>
      </c>
      <c r="H1" s="29" t="s">
        <v>212</v>
      </c>
      <c r="I1" s="29" t="s">
        <v>213</v>
      </c>
      <c r="J1" s="29" t="s">
        <v>214</v>
      </c>
      <c r="K1" s="29" t="s">
        <v>215</v>
      </c>
      <c r="L1" s="29" t="s">
        <v>216</v>
      </c>
      <c r="M1" s="29" t="s">
        <v>217</v>
      </c>
      <c r="N1" s="29" t="s">
        <v>218</v>
      </c>
      <c r="O1" s="29" t="s">
        <v>219</v>
      </c>
      <c r="P1" s="29" t="s">
        <v>220</v>
      </c>
      <c r="Q1" s="29" t="s">
        <v>221</v>
      </c>
      <c r="R1" s="29" t="s">
        <v>222</v>
      </c>
      <c r="S1" s="29" t="s">
        <v>223</v>
      </c>
    </row>
    <row r="2" spans="1:19">
      <c r="A2" s="48">
        <v>1</v>
      </c>
      <c r="B2" s="48" t="s">
        <v>133</v>
      </c>
      <c r="C2" s="48" t="s">
        <v>179</v>
      </c>
      <c r="D2" s="48" t="s">
        <v>474</v>
      </c>
      <c r="E2" s="48" t="s">
        <v>475</v>
      </c>
      <c r="F2" s="48" t="s">
        <v>476</v>
      </c>
      <c r="G2" s="49">
        <f>+SUM(H2:S2)</f>
        <v>395000</v>
      </c>
      <c r="H2" s="50">
        <v>295000</v>
      </c>
      <c r="I2" s="50">
        <v>0</v>
      </c>
      <c r="J2" s="50">
        <v>0</v>
      </c>
      <c r="K2" s="50">
        <v>0</v>
      </c>
      <c r="L2" s="50">
        <v>0</v>
      </c>
      <c r="M2" s="50">
        <v>0</v>
      </c>
      <c r="N2" s="50">
        <v>0</v>
      </c>
      <c r="O2" s="50">
        <v>0</v>
      </c>
      <c r="P2" s="50">
        <v>0</v>
      </c>
      <c r="Q2" s="50">
        <v>0</v>
      </c>
      <c r="R2" s="50">
        <v>0</v>
      </c>
      <c r="S2" s="83">
        <v>100000</v>
      </c>
    </row>
    <row r="3" spans="1:19">
      <c r="A3" s="48">
        <v>2</v>
      </c>
      <c r="B3" s="48" t="s">
        <v>133</v>
      </c>
      <c r="C3" s="48" t="s">
        <v>179</v>
      </c>
      <c r="D3" s="48" t="s">
        <v>474</v>
      </c>
      <c r="E3" s="48" t="s">
        <v>477</v>
      </c>
      <c r="F3" s="48" t="s">
        <v>477</v>
      </c>
      <c r="G3" s="49">
        <f>+SUM(H3:S3)</f>
        <v>40000</v>
      </c>
      <c r="H3" s="50">
        <v>0</v>
      </c>
      <c r="I3" s="50">
        <v>0</v>
      </c>
      <c r="J3" s="50">
        <v>0</v>
      </c>
      <c r="K3" s="50">
        <v>0</v>
      </c>
      <c r="L3" s="50">
        <v>0</v>
      </c>
      <c r="M3" s="50">
        <v>0</v>
      </c>
      <c r="N3" s="50">
        <v>0</v>
      </c>
      <c r="O3" s="50">
        <v>0</v>
      </c>
      <c r="P3" s="50">
        <v>20000</v>
      </c>
      <c r="Q3" s="50">
        <v>0</v>
      </c>
      <c r="R3" s="50">
        <v>0</v>
      </c>
      <c r="S3" s="50">
        <v>20000</v>
      </c>
    </row>
    <row r="4" spans="1:19">
      <c r="A4" s="48">
        <v>3</v>
      </c>
      <c r="B4" s="48" t="s">
        <v>138</v>
      </c>
      <c r="C4" s="48" t="s">
        <v>179</v>
      </c>
      <c r="D4" s="48" t="s">
        <v>478</v>
      </c>
      <c r="E4" s="48" t="s">
        <v>478</v>
      </c>
      <c r="F4" s="48" t="s">
        <v>478</v>
      </c>
      <c r="G4" s="49">
        <f t="shared" ref="G4:G7" si="0">+SUM(H4:S4)</f>
        <v>0</v>
      </c>
      <c r="H4" s="48">
        <v>0</v>
      </c>
      <c r="I4" s="48">
        <v>0</v>
      </c>
      <c r="J4" s="48">
        <v>0</v>
      </c>
      <c r="K4" s="48">
        <v>0</v>
      </c>
      <c r="L4" s="48">
        <v>0</v>
      </c>
      <c r="M4" s="48">
        <v>0</v>
      </c>
      <c r="N4" s="48">
        <v>0</v>
      </c>
      <c r="O4" s="48">
        <v>0</v>
      </c>
      <c r="P4" s="48">
        <v>0</v>
      </c>
      <c r="Q4" s="48">
        <v>0</v>
      </c>
      <c r="R4" s="48">
        <v>0</v>
      </c>
      <c r="S4" s="48">
        <v>0</v>
      </c>
    </row>
    <row r="5" spans="1:19">
      <c r="A5" s="48">
        <v>4</v>
      </c>
      <c r="B5" s="48" t="s">
        <v>141</v>
      </c>
      <c r="C5" s="48" t="s">
        <v>179</v>
      </c>
      <c r="D5" s="48" t="s">
        <v>478</v>
      </c>
      <c r="E5" s="48" t="s">
        <v>478</v>
      </c>
      <c r="F5" s="48" t="s">
        <v>478</v>
      </c>
      <c r="G5" s="49">
        <f t="shared" si="0"/>
        <v>0</v>
      </c>
      <c r="H5" s="48">
        <v>0</v>
      </c>
      <c r="I5" s="48">
        <v>0</v>
      </c>
      <c r="J5" s="48">
        <v>0</v>
      </c>
      <c r="K5" s="48">
        <v>0</v>
      </c>
      <c r="L5" s="48">
        <v>0</v>
      </c>
      <c r="M5" s="48">
        <v>0</v>
      </c>
      <c r="N5" s="48">
        <v>0</v>
      </c>
      <c r="O5" s="48">
        <v>0</v>
      </c>
      <c r="P5" s="48">
        <v>0</v>
      </c>
      <c r="Q5" s="48">
        <v>0</v>
      </c>
      <c r="R5" s="48">
        <v>0</v>
      </c>
      <c r="S5" s="48">
        <v>0</v>
      </c>
    </row>
    <row r="6" spans="1:19">
      <c r="A6" s="48">
        <v>5</v>
      </c>
      <c r="B6" s="48" t="s">
        <v>135</v>
      </c>
      <c r="C6" s="48" t="s">
        <v>179</v>
      </c>
      <c r="D6" s="48" t="s">
        <v>478</v>
      </c>
      <c r="E6" s="48" t="s">
        <v>478</v>
      </c>
      <c r="F6" s="48" t="s">
        <v>478</v>
      </c>
      <c r="G6" s="49">
        <f t="shared" si="0"/>
        <v>0</v>
      </c>
      <c r="H6" s="48">
        <v>0</v>
      </c>
      <c r="I6" s="48">
        <v>0</v>
      </c>
      <c r="J6" s="48">
        <v>0</v>
      </c>
      <c r="K6" s="48">
        <v>0</v>
      </c>
      <c r="L6" s="48">
        <v>0</v>
      </c>
      <c r="M6" s="48">
        <v>0</v>
      </c>
      <c r="N6" s="48">
        <v>0</v>
      </c>
      <c r="O6" s="48">
        <v>0</v>
      </c>
      <c r="P6" s="48">
        <v>0</v>
      </c>
      <c r="Q6" s="48">
        <v>0</v>
      </c>
      <c r="R6" s="48">
        <v>0</v>
      </c>
      <c r="S6" s="48">
        <v>0</v>
      </c>
    </row>
    <row r="7" spans="1:19">
      <c r="A7" s="48">
        <v>6</v>
      </c>
      <c r="B7" s="48" t="s">
        <v>133</v>
      </c>
      <c r="C7" s="48" t="s">
        <v>179</v>
      </c>
      <c r="D7" s="48" t="s">
        <v>478</v>
      </c>
      <c r="E7" s="48" t="s">
        <v>478</v>
      </c>
      <c r="F7" s="48" t="s">
        <v>478</v>
      </c>
      <c r="G7" s="49">
        <f t="shared" si="0"/>
        <v>0</v>
      </c>
      <c r="H7" s="48">
        <v>0</v>
      </c>
      <c r="I7" s="48">
        <v>0</v>
      </c>
      <c r="J7" s="48">
        <v>0</v>
      </c>
      <c r="K7" s="48">
        <v>0</v>
      </c>
      <c r="L7" s="48">
        <v>0</v>
      </c>
      <c r="M7" s="48">
        <v>0</v>
      </c>
      <c r="N7" s="48">
        <v>0</v>
      </c>
      <c r="O7" s="48">
        <v>0</v>
      </c>
      <c r="P7" s="48">
        <v>0</v>
      </c>
      <c r="Q7" s="48">
        <v>0</v>
      </c>
      <c r="R7" s="48">
        <v>0</v>
      </c>
      <c r="S7" s="48">
        <v>0</v>
      </c>
    </row>
    <row r="8" spans="1:19">
      <c r="A8" s="48">
        <v>7</v>
      </c>
    </row>
    <row r="9" spans="1:19">
      <c r="A9" s="48">
        <v>8</v>
      </c>
    </row>
    <row r="10" spans="1:19">
      <c r="A10" s="48">
        <v>9</v>
      </c>
    </row>
    <row r="11" spans="1:19">
      <c r="A11" s="48">
        <v>10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02A2DD-CA53-4BEE-8698-43F0E3DD128D}">
  <dimension ref="A1:AI117"/>
  <sheetViews>
    <sheetView topLeftCell="B89" zoomScale="80" zoomScaleNormal="80" workbookViewId="0">
      <selection activeCell="W10" sqref="W10:AH10"/>
    </sheetView>
  </sheetViews>
  <sheetFormatPr defaultColWidth="11.42578125" defaultRowHeight="14.45"/>
  <cols>
    <col min="1" max="1" width="4.28515625" customWidth="1"/>
    <col min="2" max="2" width="6.7109375" customWidth="1"/>
    <col min="3" max="3" width="21.7109375" bestFit="1" customWidth="1"/>
    <col min="4" max="4" width="17.7109375" customWidth="1"/>
    <col min="5" max="5" width="12.28515625" customWidth="1"/>
    <col min="6" max="6" width="27.28515625" bestFit="1" customWidth="1"/>
    <col min="7" max="7" width="27.28515625" customWidth="1"/>
    <col min="8" max="8" width="17" bestFit="1" customWidth="1"/>
    <col min="9" max="9" width="20.85546875" bestFit="1" customWidth="1"/>
    <col min="22" max="22" width="24.140625" bestFit="1" customWidth="1"/>
  </cols>
  <sheetData>
    <row r="1" spans="1:35" ht="15.95">
      <c r="A1" s="26" t="s">
        <v>208</v>
      </c>
      <c r="B1" s="27" t="s">
        <v>153</v>
      </c>
      <c r="C1" s="28" t="s">
        <v>209</v>
      </c>
      <c r="D1" s="28" t="s">
        <v>210</v>
      </c>
      <c r="E1" s="28" t="s">
        <v>1</v>
      </c>
      <c r="F1" s="26" t="s">
        <v>211</v>
      </c>
      <c r="G1" s="26" t="s">
        <v>479</v>
      </c>
      <c r="H1" s="27" t="s">
        <v>206</v>
      </c>
      <c r="I1" s="29" t="s">
        <v>212</v>
      </c>
      <c r="J1" s="29" t="s">
        <v>213</v>
      </c>
      <c r="K1" s="29" t="s">
        <v>214</v>
      </c>
      <c r="L1" s="29" t="s">
        <v>215</v>
      </c>
      <c r="M1" s="29" t="s">
        <v>216</v>
      </c>
      <c r="N1" s="29" t="s">
        <v>217</v>
      </c>
      <c r="O1" s="29" t="s">
        <v>218</v>
      </c>
      <c r="P1" s="29" t="s">
        <v>219</v>
      </c>
      <c r="Q1" s="29" t="s">
        <v>220</v>
      </c>
      <c r="R1" s="29" t="s">
        <v>221</v>
      </c>
      <c r="S1" s="29" t="s">
        <v>222</v>
      </c>
      <c r="T1" s="29" t="s">
        <v>223</v>
      </c>
      <c r="W1" s="65">
        <v>46023</v>
      </c>
      <c r="X1" s="65">
        <v>46054</v>
      </c>
      <c r="Y1" s="65">
        <v>46082</v>
      </c>
      <c r="Z1" s="65">
        <v>46113</v>
      </c>
      <c r="AA1" s="65">
        <v>46143</v>
      </c>
      <c r="AB1" s="65">
        <v>46174</v>
      </c>
      <c r="AC1" s="65">
        <v>46204</v>
      </c>
      <c r="AD1" s="65">
        <v>46235</v>
      </c>
      <c r="AE1" s="65">
        <v>46266</v>
      </c>
      <c r="AF1" s="65">
        <v>46296</v>
      </c>
      <c r="AG1" s="65">
        <v>46327</v>
      </c>
      <c r="AH1" s="65">
        <v>46357</v>
      </c>
    </row>
    <row r="2" spans="1:35" ht="15.95">
      <c r="A2" s="30">
        <v>1</v>
      </c>
      <c r="B2" s="31" t="s">
        <v>141</v>
      </c>
      <c r="C2" s="71"/>
      <c r="D2" s="31" t="s">
        <v>356</v>
      </c>
      <c r="E2" s="32" t="s">
        <v>357</v>
      </c>
      <c r="F2" s="68" t="s">
        <v>358</v>
      </c>
      <c r="G2" s="68" t="str">
        <f>+_xlfn.XLOOKUP(GastoSueldos34[[#This Row],[Detalle del Gasto]],Personas_Cargos!C:C,Personas_Cargos!F:F,0,0,1)</f>
        <v>Country Manager</v>
      </c>
      <c r="H2" s="33">
        <f t="shared" ref="H2:H65" si="0">+SUM(I2:T2)</f>
        <v>384000</v>
      </c>
      <c r="I2" s="34">
        <v>32000</v>
      </c>
      <c r="J2" s="34">
        <v>32000</v>
      </c>
      <c r="K2" s="34">
        <v>32000</v>
      </c>
      <c r="L2" s="34">
        <v>32000</v>
      </c>
      <c r="M2" s="34">
        <v>32000</v>
      </c>
      <c r="N2" s="34">
        <v>32000</v>
      </c>
      <c r="O2" s="34">
        <v>32000</v>
      </c>
      <c r="P2" s="34">
        <v>32000</v>
      </c>
      <c r="Q2" s="34">
        <v>32000</v>
      </c>
      <c r="R2" s="34">
        <v>32000</v>
      </c>
      <c r="S2" s="34">
        <v>32000</v>
      </c>
      <c r="T2" s="34">
        <v>32000</v>
      </c>
      <c r="V2" t="s">
        <v>480</v>
      </c>
      <c r="W2">
        <f>+COUNTIFS(GastoSueldos34[[Rol II]:[Rol II]],$V2,GastoSueldos34[ene-26],"&lt;&gt;")</f>
        <v>4</v>
      </c>
      <c r="X2">
        <f>+COUNTIFS(GastoSueldos34[[Rol II]:[Rol II]],$V2,GastoSueldos34[feb-26],"&lt;&gt;")</f>
        <v>4</v>
      </c>
      <c r="Y2">
        <f>+COUNTIFS(GastoSueldos34[[Rol II]:[Rol II]],$V2,GastoSueldos34[feb-26],"&lt;&gt;")</f>
        <v>4</v>
      </c>
      <c r="Z2">
        <f>+COUNTIFS(GastoSueldos34[[Rol II]:[Rol II]],$V2,GastoSueldos34[mar-26],"&lt;&gt;")</f>
        <v>4</v>
      </c>
      <c r="AA2">
        <f>+COUNTIFS(GastoSueldos34[[Rol II]:[Rol II]],$V2,GastoSueldos34[mar-26],"&lt;&gt;")</f>
        <v>4</v>
      </c>
      <c r="AB2">
        <f>+COUNTIFS(GastoSueldos34[[Rol II]:[Rol II]],$V2,GastoSueldos34[abr-26],"&lt;&gt;")</f>
        <v>4</v>
      </c>
      <c r="AC2">
        <f>+COUNTIFS(GastoSueldos34[[Rol II]:[Rol II]],$V2,GastoSueldos34[abr-26],"&lt;&gt;")</f>
        <v>4</v>
      </c>
      <c r="AD2">
        <f>+COUNTIFS(GastoSueldos34[[Rol II]:[Rol II]],$V2,GastoSueldos34[may-26],"&lt;&gt;")</f>
        <v>4</v>
      </c>
      <c r="AE2">
        <f>+COUNTIFS(GastoSueldos34[[Rol II]:[Rol II]],$V2,GastoSueldos34[may-26],"&lt;&gt;")</f>
        <v>4</v>
      </c>
      <c r="AF2">
        <f>+COUNTIFS(GastoSueldos34[[Rol II]:[Rol II]],$V2,GastoSueldos34[jun-26],"&lt;&gt;")</f>
        <v>4</v>
      </c>
      <c r="AG2">
        <f>+COUNTIFS(GastoSueldos34[[Rol II]:[Rol II]],$V2,GastoSueldos34[jun-26],"&lt;&gt;")</f>
        <v>4</v>
      </c>
      <c r="AH2">
        <f>+COUNTIFS(GastoSueldos34[[Rol II]:[Rol II]],$V2,GastoSueldos34[jul-26],"&lt;&gt;")</f>
        <v>4</v>
      </c>
    </row>
    <row r="3" spans="1:35" ht="15.95">
      <c r="A3" s="30">
        <v>2</v>
      </c>
      <c r="B3" s="31" t="s">
        <v>133</v>
      </c>
      <c r="C3" s="31" t="s">
        <v>132</v>
      </c>
      <c r="D3" s="31" t="s">
        <v>356</v>
      </c>
      <c r="E3" s="32" t="s">
        <v>357</v>
      </c>
      <c r="F3" s="30" t="s">
        <v>131</v>
      </c>
      <c r="G3" s="30">
        <f>+_xlfn.XLOOKUP(GastoSueldos34[[#This Row],[Detalle del Gasto]],Personas_Cargos!C:C,Personas_Cargos!F:F,0,0,1)</f>
        <v>0</v>
      </c>
      <c r="H3" s="33">
        <f t="shared" si="0"/>
        <v>194400.00000000003</v>
      </c>
      <c r="I3" s="34">
        <v>16200.000000000002</v>
      </c>
      <c r="J3" s="34">
        <v>16200.000000000002</v>
      </c>
      <c r="K3" s="34">
        <v>16200.000000000002</v>
      </c>
      <c r="L3" s="34">
        <v>16200.000000000002</v>
      </c>
      <c r="M3" s="34">
        <v>16200.000000000002</v>
      </c>
      <c r="N3" s="34">
        <v>16200.000000000002</v>
      </c>
      <c r="O3" s="34">
        <v>16200.000000000002</v>
      </c>
      <c r="P3" s="34">
        <v>16200.000000000002</v>
      </c>
      <c r="Q3" s="34">
        <v>16200.000000000002</v>
      </c>
      <c r="R3" s="34">
        <v>16200.000000000002</v>
      </c>
      <c r="S3" s="34">
        <v>16200.000000000002</v>
      </c>
      <c r="T3" s="34">
        <v>16200.000000000002</v>
      </c>
      <c r="V3" t="s">
        <v>481</v>
      </c>
      <c r="W3">
        <f>+COUNTIFS(GastoSueldos34[[Rol II]:[Rol II]],$V3,GastoSueldos34[ene-26],"&lt;&gt;")</f>
        <v>8</v>
      </c>
      <c r="X3">
        <f>+COUNTIFS(GastoSueldos34[[Rol II]:[Rol II]],$V3,GastoSueldos34[feb-26],"&lt;&gt;")</f>
        <v>8</v>
      </c>
      <c r="Y3">
        <f>+COUNTIFS(GastoSueldos34[[Rol II]:[Rol II]],$V3,GastoSueldos34[feb-26],"&lt;&gt;")</f>
        <v>8</v>
      </c>
      <c r="Z3">
        <f>+COUNTIFS(GastoSueldos34[[Rol II]:[Rol II]],$V3,GastoSueldos34[mar-26],"&lt;&gt;")</f>
        <v>8</v>
      </c>
      <c r="AA3">
        <f>+COUNTIFS(GastoSueldos34[[Rol II]:[Rol II]],$V3,GastoSueldos34[mar-26],"&lt;&gt;")</f>
        <v>8</v>
      </c>
      <c r="AB3">
        <f>+COUNTIFS(GastoSueldos34[[Rol II]:[Rol II]],$V3,GastoSueldos34[abr-26],"&lt;&gt;")</f>
        <v>8</v>
      </c>
      <c r="AC3">
        <f>+COUNTIFS(GastoSueldos34[[Rol II]:[Rol II]],$V3,GastoSueldos34[abr-26],"&lt;&gt;")</f>
        <v>8</v>
      </c>
      <c r="AD3">
        <f>+COUNTIFS(GastoSueldos34[[Rol II]:[Rol II]],$V3,GastoSueldos34[may-26],"&lt;&gt;")</f>
        <v>8</v>
      </c>
      <c r="AE3">
        <f>+COUNTIFS(GastoSueldos34[[Rol II]:[Rol II]],$V3,GastoSueldos34[may-26],"&lt;&gt;")</f>
        <v>8</v>
      </c>
      <c r="AF3">
        <f>+COUNTIFS(GastoSueldos34[[Rol II]:[Rol II]],$V3,GastoSueldos34[jun-26],"&lt;&gt;")</f>
        <v>8</v>
      </c>
      <c r="AG3">
        <f>+COUNTIFS(GastoSueldos34[[Rol II]:[Rol II]],$V3,GastoSueldos34[jun-26],"&lt;&gt;")</f>
        <v>8</v>
      </c>
      <c r="AH3">
        <f>+COUNTIFS(GastoSueldos34[[Rol II]:[Rol II]],$V3,GastoSueldos34[jul-26],"&lt;&gt;")</f>
        <v>8</v>
      </c>
    </row>
    <row r="4" spans="1:35" ht="15.95">
      <c r="A4" s="30">
        <v>3</v>
      </c>
      <c r="B4" s="31" t="s">
        <v>133</v>
      </c>
      <c r="C4" s="31"/>
      <c r="D4" s="31" t="s">
        <v>356</v>
      </c>
      <c r="E4" s="32" t="s">
        <v>357</v>
      </c>
      <c r="F4" s="68" t="s">
        <v>359</v>
      </c>
      <c r="G4" s="68" t="str">
        <f>+_xlfn.XLOOKUP(GastoSueldos34[[#This Row],[Detalle del Gasto]],Personas_Cargos!C:C,Personas_Cargos!F:F,0,0,1)</f>
        <v>Gerente</v>
      </c>
      <c r="H4" s="33">
        <f t="shared" si="0"/>
        <v>194400.00000000003</v>
      </c>
      <c r="I4" s="34">
        <v>16200.000000000002</v>
      </c>
      <c r="J4" s="34">
        <v>16200.000000000002</v>
      </c>
      <c r="K4" s="34">
        <v>16200.000000000002</v>
      </c>
      <c r="L4" s="34">
        <v>16200.000000000002</v>
      </c>
      <c r="M4" s="34">
        <v>16200.000000000002</v>
      </c>
      <c r="N4" s="34">
        <v>16200.000000000002</v>
      </c>
      <c r="O4" s="34">
        <v>16200.000000000002</v>
      </c>
      <c r="P4" s="34">
        <v>16200.000000000002</v>
      </c>
      <c r="Q4" s="34">
        <v>16200.000000000002</v>
      </c>
      <c r="R4" s="34">
        <v>16200.000000000002</v>
      </c>
      <c r="S4" s="34">
        <v>16200.000000000002</v>
      </c>
      <c r="T4" s="34">
        <v>16200.000000000002</v>
      </c>
      <c r="V4" t="s">
        <v>482</v>
      </c>
      <c r="W4">
        <f>+COUNTIFS(GastoSueldos34[[Rol II]:[Rol II]],$V4,GastoSueldos34[ene-26],"&lt;&gt;")</f>
        <v>54</v>
      </c>
      <c r="X4">
        <f>+COUNTIFS(GastoSueldos34[[Rol II]:[Rol II]],$V4,GastoSueldos34[feb-26],"&lt;&gt;")</f>
        <v>48</v>
      </c>
      <c r="Y4">
        <f>+COUNTIFS(GastoSueldos34[[Rol II]:[Rol II]],$V4,GastoSueldos34[feb-26],"&lt;&gt;")</f>
        <v>48</v>
      </c>
      <c r="Z4">
        <f>+COUNTIFS(GastoSueldos34[[Rol II]:[Rol II]],$V4,GastoSueldos34[mar-26],"&lt;&gt;")</f>
        <v>39</v>
      </c>
      <c r="AA4">
        <f>+COUNTIFS(GastoSueldos34[[Rol II]:[Rol II]],$V4,GastoSueldos34[mar-26],"&lt;&gt;")</f>
        <v>39</v>
      </c>
      <c r="AB4">
        <f>+COUNTIFS(GastoSueldos34[[Rol II]:[Rol II]],$V4,GastoSueldos34[abr-26],"&lt;&gt;")</f>
        <v>36</v>
      </c>
      <c r="AC4">
        <f>+COUNTIFS(GastoSueldos34[[Rol II]:[Rol II]],$V4,GastoSueldos34[abr-26],"&lt;&gt;")</f>
        <v>36</v>
      </c>
      <c r="AD4">
        <f>+COUNTIFS(GastoSueldos34[[Rol II]:[Rol II]],$V4,GastoSueldos34[may-26],"&lt;&gt;")</f>
        <v>36</v>
      </c>
      <c r="AE4">
        <f>+COUNTIFS(GastoSueldos34[[Rol II]:[Rol II]],$V4,GastoSueldos34[may-26],"&lt;&gt;")</f>
        <v>36</v>
      </c>
      <c r="AF4">
        <f>+COUNTIFS(GastoSueldos34[[Rol II]:[Rol II]],$V4,GastoSueldos34[jun-26],"&lt;&gt;")</f>
        <v>36</v>
      </c>
      <c r="AG4">
        <f>+COUNTIFS(GastoSueldos34[[Rol II]:[Rol II]],$V4,GastoSueldos34[jun-26],"&lt;&gt;")</f>
        <v>36</v>
      </c>
      <c r="AH4">
        <f>+COUNTIFS(GastoSueldos34[[Rol II]:[Rol II]],$V4,GastoSueldos34[jul-26],"&lt;&gt;")</f>
        <v>36</v>
      </c>
    </row>
    <row r="5" spans="1:35" ht="15.95">
      <c r="A5" s="30">
        <v>4</v>
      </c>
      <c r="B5" s="31" t="s">
        <v>133</v>
      </c>
      <c r="C5" s="31"/>
      <c r="D5" s="31" t="s">
        <v>356</v>
      </c>
      <c r="E5" s="32" t="s">
        <v>357</v>
      </c>
      <c r="F5" s="68" t="s">
        <v>360</v>
      </c>
      <c r="G5" s="68" t="str">
        <f>+_xlfn.XLOOKUP(GastoSueldos34[[#This Row],[Detalle del Gasto]],Personas_Cargos!C:C,Personas_Cargos!F:F,0,0,1)</f>
        <v>Gerente</v>
      </c>
      <c r="H5" s="33">
        <f t="shared" si="0"/>
        <v>162000</v>
      </c>
      <c r="I5" s="34">
        <v>13500</v>
      </c>
      <c r="J5" s="34">
        <v>13500</v>
      </c>
      <c r="K5" s="34">
        <v>13500</v>
      </c>
      <c r="L5" s="34">
        <v>13500</v>
      </c>
      <c r="M5" s="34">
        <v>13500</v>
      </c>
      <c r="N5" s="34">
        <v>13500</v>
      </c>
      <c r="O5" s="34">
        <v>13500</v>
      </c>
      <c r="P5" s="34">
        <v>13500</v>
      </c>
      <c r="Q5" s="34">
        <v>13500</v>
      </c>
      <c r="R5" s="34">
        <v>13500</v>
      </c>
      <c r="S5" s="34">
        <v>13500</v>
      </c>
      <c r="T5" s="34">
        <v>13500</v>
      </c>
      <c r="V5" s="1" t="s">
        <v>483</v>
      </c>
      <c r="W5" s="1">
        <f>SUM(W2:W4)</f>
        <v>66</v>
      </c>
      <c r="X5" s="1">
        <f t="shared" ref="X5:AH5" si="1">SUM(X2:X4)</f>
        <v>60</v>
      </c>
      <c r="Y5" s="1">
        <f t="shared" si="1"/>
        <v>60</v>
      </c>
      <c r="Z5" s="1">
        <f t="shared" si="1"/>
        <v>51</v>
      </c>
      <c r="AA5" s="1">
        <f t="shared" si="1"/>
        <v>51</v>
      </c>
      <c r="AB5" s="1">
        <f t="shared" si="1"/>
        <v>48</v>
      </c>
      <c r="AC5" s="1">
        <f t="shared" si="1"/>
        <v>48</v>
      </c>
      <c r="AD5" s="1">
        <f t="shared" si="1"/>
        <v>48</v>
      </c>
      <c r="AE5" s="1">
        <f t="shared" si="1"/>
        <v>48</v>
      </c>
      <c r="AF5" s="1">
        <f t="shared" si="1"/>
        <v>48</v>
      </c>
      <c r="AG5" s="1">
        <f t="shared" si="1"/>
        <v>48</v>
      </c>
      <c r="AH5" s="1">
        <f t="shared" si="1"/>
        <v>48</v>
      </c>
      <c r="AI5">
        <f>SUM(W5:AH5)</f>
        <v>624</v>
      </c>
    </row>
    <row r="6" spans="1:35" ht="15.95">
      <c r="A6" s="30">
        <v>5</v>
      </c>
      <c r="B6" s="31" t="s">
        <v>133</v>
      </c>
      <c r="C6" s="31" t="s">
        <v>242</v>
      </c>
      <c r="D6" s="31" t="s">
        <v>356</v>
      </c>
      <c r="E6" s="32" t="s">
        <v>357</v>
      </c>
      <c r="F6" s="30" t="s">
        <v>361</v>
      </c>
      <c r="G6" s="30" t="str">
        <f>+_xlfn.XLOOKUP(GastoSueldos34[[#This Row],[Detalle del Gasto]],Personas_Cargos!C:C,Personas_Cargos!F:F,0,0,1)</f>
        <v>Ingeniero</v>
      </c>
      <c r="H6" s="33">
        <f t="shared" si="0"/>
        <v>155921.87502000001</v>
      </c>
      <c r="I6" s="34">
        <v>12993.489585000001</v>
      </c>
      <c r="J6" s="34">
        <v>12993.489585000001</v>
      </c>
      <c r="K6" s="34">
        <v>12993.489585000001</v>
      </c>
      <c r="L6" s="34">
        <v>12993.489585000001</v>
      </c>
      <c r="M6" s="34">
        <v>12993.489585000001</v>
      </c>
      <c r="N6" s="34">
        <v>12993.489585000001</v>
      </c>
      <c r="O6" s="34">
        <v>12993.489585000001</v>
      </c>
      <c r="P6" s="34">
        <v>12993.489585000001</v>
      </c>
      <c r="Q6" s="34">
        <v>12993.489585000001</v>
      </c>
      <c r="R6" s="34">
        <v>12993.489585000001</v>
      </c>
      <c r="S6" s="34">
        <v>12993.489585000001</v>
      </c>
      <c r="T6" s="34">
        <v>12993.489585000001</v>
      </c>
    </row>
    <row r="7" spans="1:35" ht="15.95">
      <c r="A7" s="30">
        <v>6</v>
      </c>
      <c r="B7" s="31" t="s">
        <v>133</v>
      </c>
      <c r="C7" s="31"/>
      <c r="D7" s="31" t="s">
        <v>356</v>
      </c>
      <c r="E7" s="32" t="s">
        <v>357</v>
      </c>
      <c r="F7" s="68" t="s">
        <v>147</v>
      </c>
      <c r="G7" s="68" t="str">
        <f>+_xlfn.XLOOKUP(GastoSueldos34[[#This Row],[Detalle del Gasto]],Personas_Cargos!C:C,Personas_Cargos!F:F,0,0,1)</f>
        <v>Gerente</v>
      </c>
      <c r="H7" s="33">
        <f t="shared" si="0"/>
        <v>138810.62664</v>
      </c>
      <c r="I7" s="34">
        <v>11567.55222</v>
      </c>
      <c r="J7" s="34">
        <v>11567.55222</v>
      </c>
      <c r="K7" s="34">
        <v>11567.55222</v>
      </c>
      <c r="L7" s="34">
        <v>11567.55222</v>
      </c>
      <c r="M7" s="34">
        <v>11567.55222</v>
      </c>
      <c r="N7" s="34">
        <v>11567.55222</v>
      </c>
      <c r="O7" s="34">
        <v>11567.55222</v>
      </c>
      <c r="P7" s="34">
        <v>11567.55222</v>
      </c>
      <c r="Q7" s="34">
        <v>11567.55222</v>
      </c>
      <c r="R7" s="34">
        <v>11567.55222</v>
      </c>
      <c r="S7" s="34">
        <v>11567.55222</v>
      </c>
      <c r="T7" s="34">
        <v>11567.55222</v>
      </c>
      <c r="V7" t="s">
        <v>484</v>
      </c>
      <c r="W7" s="59">
        <v>4</v>
      </c>
      <c r="X7" s="59">
        <v>3.2</v>
      </c>
      <c r="Y7" s="59">
        <v>3.6</v>
      </c>
      <c r="Z7" s="59">
        <v>4.2</v>
      </c>
      <c r="AA7" s="59">
        <v>4</v>
      </c>
      <c r="AB7" s="59">
        <v>4</v>
      </c>
      <c r="AC7" s="59">
        <v>4</v>
      </c>
      <c r="AD7" s="59">
        <v>4.2</v>
      </c>
      <c r="AE7" s="59">
        <v>4.2</v>
      </c>
      <c r="AF7" s="59">
        <v>4</v>
      </c>
      <c r="AG7" s="59">
        <v>4</v>
      </c>
      <c r="AH7" s="59">
        <v>4</v>
      </c>
    </row>
    <row r="8" spans="1:35" ht="15.95">
      <c r="A8" s="30">
        <v>7</v>
      </c>
      <c r="B8" s="31" t="s">
        <v>133</v>
      </c>
      <c r="C8" s="31" t="s">
        <v>180</v>
      </c>
      <c r="D8" s="31" t="s">
        <v>356</v>
      </c>
      <c r="E8" s="32" t="s">
        <v>357</v>
      </c>
      <c r="F8" s="30" t="s">
        <v>362</v>
      </c>
      <c r="G8" s="30" t="str">
        <f>+_xlfn.XLOOKUP(GastoSueldos34[[#This Row],[Detalle del Gasto]],Personas_Cargos!C:C,Personas_Cargos!F:F,0,0,1)</f>
        <v>Ingeniero</v>
      </c>
      <c r="H8" s="33">
        <f t="shared" si="0"/>
        <v>121500</v>
      </c>
      <c r="I8" s="34">
        <v>10125</v>
      </c>
      <c r="J8" s="34">
        <v>10125</v>
      </c>
      <c r="K8" s="34">
        <v>10125</v>
      </c>
      <c r="L8" s="34">
        <v>10125</v>
      </c>
      <c r="M8" s="34">
        <v>10125</v>
      </c>
      <c r="N8" s="34">
        <v>10125</v>
      </c>
      <c r="O8" s="34">
        <v>10125</v>
      </c>
      <c r="P8" s="34">
        <v>10125</v>
      </c>
      <c r="Q8" s="34">
        <v>10125</v>
      </c>
      <c r="R8" s="34">
        <v>10125</v>
      </c>
      <c r="S8" s="34">
        <v>10125</v>
      </c>
      <c r="T8" s="34">
        <v>10125</v>
      </c>
      <c r="V8" t="s">
        <v>485</v>
      </c>
      <c r="W8" s="59">
        <v>10</v>
      </c>
      <c r="X8" s="59">
        <v>8</v>
      </c>
      <c r="Y8" s="59">
        <v>9</v>
      </c>
      <c r="Z8" s="59">
        <v>10.5</v>
      </c>
      <c r="AA8" s="59">
        <v>10</v>
      </c>
      <c r="AB8" s="59">
        <v>10</v>
      </c>
      <c r="AC8" s="59">
        <v>10</v>
      </c>
      <c r="AD8" s="59">
        <v>10.5</v>
      </c>
      <c r="AE8" s="59">
        <v>10.5</v>
      </c>
      <c r="AF8" s="59">
        <v>10</v>
      </c>
      <c r="AG8" s="59">
        <v>10</v>
      </c>
      <c r="AH8" s="59">
        <v>10</v>
      </c>
    </row>
    <row r="9" spans="1:35" ht="15.95">
      <c r="A9" s="30">
        <v>8</v>
      </c>
      <c r="B9" s="31" t="s">
        <v>133</v>
      </c>
      <c r="C9" s="31"/>
      <c r="D9" s="31" t="s">
        <v>356</v>
      </c>
      <c r="E9" s="32" t="s">
        <v>357</v>
      </c>
      <c r="F9" s="68" t="s">
        <v>363</v>
      </c>
      <c r="G9" s="68" t="str">
        <f>+_xlfn.XLOOKUP(GastoSueldos34[[#This Row],[Detalle del Gasto]],Personas_Cargos!C:C,Personas_Cargos!F:F,0,0,1)</f>
        <v>Gerente</v>
      </c>
      <c r="H9" s="33">
        <f t="shared" si="0"/>
        <v>121500</v>
      </c>
      <c r="I9" s="34">
        <v>10125</v>
      </c>
      <c r="J9" s="34">
        <v>10125</v>
      </c>
      <c r="K9" s="34">
        <v>10125</v>
      </c>
      <c r="L9" s="34">
        <v>10125</v>
      </c>
      <c r="M9" s="34">
        <v>10125</v>
      </c>
      <c r="N9" s="34">
        <v>10125</v>
      </c>
      <c r="O9" s="34">
        <v>10125</v>
      </c>
      <c r="P9" s="34">
        <v>10125</v>
      </c>
      <c r="Q9" s="34">
        <v>10125</v>
      </c>
      <c r="R9" s="34">
        <v>10125</v>
      </c>
      <c r="S9" s="34">
        <v>10125</v>
      </c>
      <c r="T9" s="34">
        <v>10125</v>
      </c>
      <c r="V9" t="s">
        <v>482</v>
      </c>
      <c r="W9" s="59">
        <v>50</v>
      </c>
      <c r="X9" s="59">
        <v>40</v>
      </c>
      <c r="Y9" s="59">
        <v>45</v>
      </c>
      <c r="Z9" s="59">
        <v>52.5</v>
      </c>
      <c r="AA9" s="59">
        <v>50</v>
      </c>
      <c r="AB9" s="59">
        <v>50</v>
      </c>
      <c r="AC9" s="59">
        <v>50</v>
      </c>
      <c r="AD9" s="59">
        <v>52.5</v>
      </c>
      <c r="AE9" s="59">
        <v>52.5</v>
      </c>
      <c r="AF9" s="59">
        <v>50</v>
      </c>
      <c r="AG9" s="59">
        <v>50</v>
      </c>
      <c r="AH9" s="59">
        <v>50</v>
      </c>
    </row>
    <row r="10" spans="1:35" ht="15.95">
      <c r="A10" s="30">
        <v>9</v>
      </c>
      <c r="B10" s="31" t="s">
        <v>133</v>
      </c>
      <c r="C10" s="31" t="s">
        <v>242</v>
      </c>
      <c r="D10" s="31" t="s">
        <v>356</v>
      </c>
      <c r="E10" s="32" t="s">
        <v>357</v>
      </c>
      <c r="F10" s="47" t="s">
        <v>364</v>
      </c>
      <c r="G10" s="47" t="str">
        <f>+_xlfn.XLOOKUP(GastoSueldos34[[#This Row],[Detalle del Gasto]],Personas_Cargos!C:C,Personas_Cargos!F:F,0,0,1)</f>
        <v>Ingeniero</v>
      </c>
      <c r="H10" s="33">
        <f t="shared" si="0"/>
        <v>19084.951620000003</v>
      </c>
      <c r="I10" s="34">
        <v>9542.4758100000017</v>
      </c>
      <c r="J10" s="34">
        <v>9542.4758100000017</v>
      </c>
      <c r="K10" s="51"/>
      <c r="L10" s="51"/>
      <c r="M10" s="51"/>
      <c r="N10" s="51"/>
      <c r="O10" s="51"/>
      <c r="P10" s="51"/>
      <c r="Q10" s="51"/>
      <c r="R10" s="51"/>
      <c r="S10" s="51"/>
      <c r="T10" s="51"/>
      <c r="V10" s="1" t="s">
        <v>486</v>
      </c>
      <c r="W10" s="73">
        <f>SUM(W7:W9)</f>
        <v>64</v>
      </c>
      <c r="X10" s="73">
        <f t="shared" ref="X10:AH10" si="2">SUM(X7:X9)</f>
        <v>51.2</v>
      </c>
      <c r="Y10" s="73">
        <f t="shared" si="2"/>
        <v>57.6</v>
      </c>
      <c r="Z10" s="73">
        <f t="shared" si="2"/>
        <v>67.2</v>
      </c>
      <c r="AA10" s="73">
        <f t="shared" si="2"/>
        <v>64</v>
      </c>
      <c r="AB10" s="73">
        <f t="shared" si="2"/>
        <v>64</v>
      </c>
      <c r="AC10" s="73">
        <f t="shared" si="2"/>
        <v>64</v>
      </c>
      <c r="AD10" s="73">
        <f t="shared" si="2"/>
        <v>67.2</v>
      </c>
      <c r="AE10" s="73">
        <f t="shared" si="2"/>
        <v>67.2</v>
      </c>
      <c r="AF10" s="73">
        <f t="shared" si="2"/>
        <v>64</v>
      </c>
      <c r="AG10" s="73">
        <f t="shared" si="2"/>
        <v>64</v>
      </c>
      <c r="AH10" s="73">
        <f t="shared" si="2"/>
        <v>64</v>
      </c>
      <c r="AI10" s="59">
        <f>SUM(W10:AH10)</f>
        <v>758.4</v>
      </c>
    </row>
    <row r="11" spans="1:35" ht="15.95">
      <c r="A11" s="30">
        <v>10</v>
      </c>
      <c r="B11" s="31" t="s">
        <v>133</v>
      </c>
      <c r="C11" s="31" t="s">
        <v>242</v>
      </c>
      <c r="D11" s="31" t="s">
        <v>356</v>
      </c>
      <c r="E11" s="32" t="s">
        <v>357</v>
      </c>
      <c r="F11" s="30" t="s">
        <v>365</v>
      </c>
      <c r="G11" s="30" t="str">
        <f>+_xlfn.XLOOKUP(GastoSueldos34[[#This Row],[Detalle del Gasto]],Personas_Cargos!C:C,Personas_Cargos!F:F,0,0,1)</f>
        <v>Jefe de Proyecto</v>
      </c>
      <c r="H11" s="33">
        <f t="shared" si="0"/>
        <v>111966.60132</v>
      </c>
      <c r="I11" s="34">
        <v>9330.550110000002</v>
      </c>
      <c r="J11" s="34">
        <v>9330.550110000002</v>
      </c>
      <c r="K11" s="34">
        <v>9330.550110000002</v>
      </c>
      <c r="L11" s="34">
        <v>9330.550110000002</v>
      </c>
      <c r="M11" s="34">
        <v>9330.550110000002</v>
      </c>
      <c r="N11" s="34">
        <v>9330.550110000002</v>
      </c>
      <c r="O11" s="34">
        <v>9330.550110000002</v>
      </c>
      <c r="P11" s="34">
        <v>9330.550110000002</v>
      </c>
      <c r="Q11" s="34">
        <v>9330.550110000002</v>
      </c>
      <c r="R11" s="34">
        <v>9330.550110000002</v>
      </c>
      <c r="S11" s="34">
        <v>9330.550110000002</v>
      </c>
      <c r="T11" s="34">
        <v>9330.550110000002</v>
      </c>
    </row>
    <row r="12" spans="1:35" ht="15.95">
      <c r="A12" s="30">
        <v>11</v>
      </c>
      <c r="B12" s="31" t="s">
        <v>133</v>
      </c>
      <c r="C12" s="31" t="s">
        <v>180</v>
      </c>
      <c r="D12" s="31" t="s">
        <v>356</v>
      </c>
      <c r="E12" s="32" t="s">
        <v>357</v>
      </c>
      <c r="F12" s="30" t="s">
        <v>366</v>
      </c>
      <c r="G12" s="30" t="str">
        <f>+_xlfn.XLOOKUP(GastoSueldos34[[#This Row],[Detalle del Gasto]],Personas_Cargos!C:C,Personas_Cargos!F:F,0,0,1)</f>
        <v>Ingeniero</v>
      </c>
      <c r="H12" s="33">
        <f t="shared" si="0"/>
        <v>26030.441070000001</v>
      </c>
      <c r="I12" s="34">
        <v>8676.8136900000009</v>
      </c>
      <c r="J12" s="34">
        <v>8676.8136900000009</v>
      </c>
      <c r="K12" s="34">
        <v>8676.8136900000009</v>
      </c>
      <c r="L12" s="51"/>
      <c r="M12" s="51"/>
      <c r="N12" s="51"/>
      <c r="O12" s="51"/>
      <c r="P12" s="51"/>
      <c r="Q12" s="51"/>
      <c r="R12" s="51"/>
      <c r="S12" s="51"/>
      <c r="T12" s="51"/>
    </row>
    <row r="13" spans="1:35" ht="15.95">
      <c r="A13" s="30">
        <v>12</v>
      </c>
      <c r="B13" s="31" t="s">
        <v>133</v>
      </c>
      <c r="C13" s="31" t="s">
        <v>242</v>
      </c>
      <c r="D13" s="31" t="s">
        <v>356</v>
      </c>
      <c r="E13" s="32" t="s">
        <v>357</v>
      </c>
      <c r="F13" s="30" t="s">
        <v>367</v>
      </c>
      <c r="G13" s="30" t="str">
        <f>+_xlfn.XLOOKUP(GastoSueldos34[[#This Row],[Detalle del Gasto]],Personas_Cargos!C:C,Personas_Cargos!F:F,0,0,1)</f>
        <v>Ingeniero</v>
      </c>
      <c r="H13" s="33">
        <f t="shared" si="0"/>
        <v>102953.83014000002</v>
      </c>
      <c r="I13" s="34">
        <v>8579.4858449999992</v>
      </c>
      <c r="J13" s="34">
        <v>8579.4858449999992</v>
      </c>
      <c r="K13" s="34">
        <v>8579.4858449999992</v>
      </c>
      <c r="L13" s="34">
        <v>8579.4858449999992</v>
      </c>
      <c r="M13" s="34">
        <v>8579.4858449999992</v>
      </c>
      <c r="N13" s="34">
        <v>8579.4858449999992</v>
      </c>
      <c r="O13" s="34">
        <v>8579.4858449999992</v>
      </c>
      <c r="P13" s="34">
        <v>8579.4858449999992</v>
      </c>
      <c r="Q13" s="34">
        <v>8579.4858449999992</v>
      </c>
      <c r="R13" s="34">
        <v>8579.4858449999992</v>
      </c>
      <c r="S13" s="34">
        <v>8579.4858449999992</v>
      </c>
      <c r="T13" s="34">
        <v>8579.4858449999992</v>
      </c>
      <c r="V13" t="s">
        <v>487</v>
      </c>
      <c r="W13" s="16">
        <f t="shared" ref="W13:AH13" si="3">+W7-W2</f>
        <v>0</v>
      </c>
      <c r="X13" s="16">
        <f t="shared" si="3"/>
        <v>-0.79999999999999982</v>
      </c>
      <c r="Y13" s="16">
        <f t="shared" si="3"/>
        <v>-0.39999999999999991</v>
      </c>
      <c r="Z13" s="16">
        <f t="shared" si="3"/>
        <v>0.20000000000000018</v>
      </c>
      <c r="AA13" s="16">
        <f t="shared" si="3"/>
        <v>0</v>
      </c>
      <c r="AB13" s="16">
        <f t="shared" si="3"/>
        <v>0</v>
      </c>
      <c r="AC13" s="16">
        <f t="shared" si="3"/>
        <v>0</v>
      </c>
      <c r="AD13" s="16">
        <f t="shared" si="3"/>
        <v>0.20000000000000018</v>
      </c>
      <c r="AE13" s="16">
        <f t="shared" si="3"/>
        <v>0.20000000000000018</v>
      </c>
      <c r="AF13" s="16">
        <f t="shared" si="3"/>
        <v>0</v>
      </c>
      <c r="AG13" s="16">
        <f t="shared" si="3"/>
        <v>0</v>
      </c>
      <c r="AH13" s="16">
        <f t="shared" si="3"/>
        <v>0</v>
      </c>
    </row>
    <row r="14" spans="1:35" ht="15.95">
      <c r="A14" s="30">
        <v>13</v>
      </c>
      <c r="B14" s="31" t="s">
        <v>133</v>
      </c>
      <c r="C14" s="31" t="s">
        <v>242</v>
      </c>
      <c r="D14" s="31" t="s">
        <v>356</v>
      </c>
      <c r="E14" s="32" t="s">
        <v>357</v>
      </c>
      <c r="F14" s="30" t="s">
        <v>368</v>
      </c>
      <c r="G14" s="30" t="str">
        <f>+_xlfn.XLOOKUP(GastoSueldos34[[#This Row],[Detalle del Gasto]],Personas_Cargos!C:C,Personas_Cargos!F:F,0,0,1)</f>
        <v>Jefe de Proyecto</v>
      </c>
      <c r="H14" s="33">
        <f t="shared" si="0"/>
        <v>92093.759999999995</v>
      </c>
      <c r="I14" s="34">
        <v>7674.4800000000005</v>
      </c>
      <c r="J14" s="34">
        <v>7674.4800000000005</v>
      </c>
      <c r="K14" s="34">
        <v>7674.4800000000005</v>
      </c>
      <c r="L14" s="34">
        <v>7674.4800000000005</v>
      </c>
      <c r="M14" s="34">
        <v>7674.4800000000005</v>
      </c>
      <c r="N14" s="34">
        <v>7674.4800000000005</v>
      </c>
      <c r="O14" s="34">
        <v>7674.4800000000005</v>
      </c>
      <c r="P14" s="34">
        <v>7674.4800000000005</v>
      </c>
      <c r="Q14" s="34">
        <v>7674.4800000000005</v>
      </c>
      <c r="R14" s="34">
        <v>7674.4800000000005</v>
      </c>
      <c r="S14" s="34">
        <v>7674.4800000000005</v>
      </c>
      <c r="T14" s="34">
        <v>7674.4800000000005</v>
      </c>
      <c r="V14" t="s">
        <v>488</v>
      </c>
      <c r="W14" s="16">
        <f t="shared" ref="W14:AH14" si="4">+W8-W3</f>
        <v>2</v>
      </c>
      <c r="X14" s="16">
        <f t="shared" si="4"/>
        <v>0</v>
      </c>
      <c r="Y14" s="82">
        <f t="shared" si="4"/>
        <v>1</v>
      </c>
      <c r="Z14" s="82">
        <f t="shared" si="4"/>
        <v>2.5</v>
      </c>
      <c r="AA14" s="16">
        <f t="shared" si="4"/>
        <v>2</v>
      </c>
      <c r="AB14" s="16">
        <f t="shared" si="4"/>
        <v>2</v>
      </c>
      <c r="AC14" s="16">
        <f t="shared" si="4"/>
        <v>2</v>
      </c>
      <c r="AD14" s="16">
        <f t="shared" si="4"/>
        <v>2.5</v>
      </c>
      <c r="AE14" s="16">
        <f t="shared" si="4"/>
        <v>2.5</v>
      </c>
      <c r="AF14" s="16">
        <f t="shared" si="4"/>
        <v>2</v>
      </c>
      <c r="AG14" s="16">
        <f t="shared" si="4"/>
        <v>2</v>
      </c>
      <c r="AH14" s="16">
        <f t="shared" si="4"/>
        <v>2</v>
      </c>
    </row>
    <row r="15" spans="1:35" ht="15.95">
      <c r="A15" s="30">
        <v>14</v>
      </c>
      <c r="B15" s="31" t="s">
        <v>133</v>
      </c>
      <c r="C15" s="31" t="s">
        <v>242</v>
      </c>
      <c r="D15" s="31" t="s">
        <v>356</v>
      </c>
      <c r="E15" s="32" t="s">
        <v>357</v>
      </c>
      <c r="F15" s="30" t="s">
        <v>369</v>
      </c>
      <c r="G15" s="30" t="str">
        <f>+_xlfn.XLOOKUP(GastoSueldos34[[#This Row],[Detalle del Gasto]],Personas_Cargos!C:C,Personas_Cargos!F:F,0,0,1)</f>
        <v>Jefe de Proyecto</v>
      </c>
      <c r="H15" s="33">
        <f t="shared" si="0"/>
        <v>87363.654840000003</v>
      </c>
      <c r="I15" s="34">
        <v>7280.3045700000002</v>
      </c>
      <c r="J15" s="34">
        <v>7280.3045700000002</v>
      </c>
      <c r="K15" s="34">
        <v>7280.3045700000002</v>
      </c>
      <c r="L15" s="34">
        <v>7280.3045700000002</v>
      </c>
      <c r="M15" s="34">
        <v>7280.3045700000002</v>
      </c>
      <c r="N15" s="34">
        <v>7280.3045700000002</v>
      </c>
      <c r="O15" s="34">
        <v>7280.3045700000002</v>
      </c>
      <c r="P15" s="34">
        <v>7280.3045700000002</v>
      </c>
      <c r="Q15" s="34">
        <v>7280.3045700000002</v>
      </c>
      <c r="R15" s="34">
        <v>7280.3045700000002</v>
      </c>
      <c r="S15" s="34">
        <v>7280.3045700000002</v>
      </c>
      <c r="T15" s="34">
        <v>7280.3045700000002</v>
      </c>
      <c r="V15" t="s">
        <v>489</v>
      </c>
      <c r="W15" s="16">
        <f t="shared" ref="W15:AH15" si="5">+W9-W4</f>
        <v>-4</v>
      </c>
      <c r="X15" s="16">
        <f t="shared" si="5"/>
        <v>-8</v>
      </c>
      <c r="Y15" s="16">
        <f t="shared" si="5"/>
        <v>-3</v>
      </c>
      <c r="Z15" s="82">
        <f t="shared" si="5"/>
        <v>13.5</v>
      </c>
      <c r="AA15" s="16">
        <f t="shared" si="5"/>
        <v>11</v>
      </c>
      <c r="AB15" s="16">
        <f t="shared" si="5"/>
        <v>14</v>
      </c>
      <c r="AC15" s="16">
        <f t="shared" si="5"/>
        <v>14</v>
      </c>
      <c r="AD15" s="82">
        <f t="shared" si="5"/>
        <v>16.5</v>
      </c>
      <c r="AE15" s="16">
        <f t="shared" si="5"/>
        <v>16.5</v>
      </c>
      <c r="AF15" s="16">
        <f t="shared" si="5"/>
        <v>14</v>
      </c>
      <c r="AG15" s="16">
        <f t="shared" si="5"/>
        <v>14</v>
      </c>
      <c r="AH15" s="16">
        <f t="shared" si="5"/>
        <v>14</v>
      </c>
    </row>
    <row r="16" spans="1:35" ht="15.95">
      <c r="A16" s="30">
        <v>15</v>
      </c>
      <c r="B16" s="31" t="s">
        <v>133</v>
      </c>
      <c r="C16" s="31" t="s">
        <v>242</v>
      </c>
      <c r="D16" s="31" t="s">
        <v>356</v>
      </c>
      <c r="E16" s="32" t="s">
        <v>357</v>
      </c>
      <c r="F16" s="30" t="s">
        <v>370</v>
      </c>
      <c r="G16" s="30" t="str">
        <f>+_xlfn.XLOOKUP(GastoSueldos34[[#This Row],[Detalle del Gasto]],Personas_Cargos!C:C,Personas_Cargos!F:F,0,0,1)</f>
        <v>Ingeniero</v>
      </c>
      <c r="H16" s="33">
        <f t="shared" si="0"/>
        <v>13681.19457</v>
      </c>
      <c r="I16" s="34">
        <v>6840.5972849999998</v>
      </c>
      <c r="J16" s="34">
        <v>6840.5972849999998</v>
      </c>
      <c r="K16" s="51"/>
      <c r="L16" s="51"/>
      <c r="M16" s="51"/>
      <c r="N16" s="51"/>
      <c r="O16" s="51"/>
      <c r="P16" s="51"/>
      <c r="Q16" s="51"/>
      <c r="R16" s="51"/>
      <c r="S16" s="51"/>
      <c r="T16" s="51"/>
    </row>
    <row r="17" spans="1:20" ht="15.95">
      <c r="A17" s="30">
        <v>16</v>
      </c>
      <c r="B17" s="31" t="s">
        <v>133</v>
      </c>
      <c r="C17" s="71" t="s">
        <v>242</v>
      </c>
      <c r="D17" s="31" t="s">
        <v>356</v>
      </c>
      <c r="E17" s="32" t="s">
        <v>357</v>
      </c>
      <c r="F17" s="69" t="s">
        <v>371</v>
      </c>
      <c r="G17" s="69">
        <f>+_xlfn.XLOOKUP(GastoSueldos34[[#This Row],[Detalle del Gasto]],Personas_Cargos!C:C,Personas_Cargos!F:F,0,0,1)</f>
        <v>0</v>
      </c>
      <c r="H17" s="33">
        <f t="shared" si="0"/>
        <v>6514.3062000000009</v>
      </c>
      <c r="I17" s="34">
        <v>6514.3062000000009</v>
      </c>
      <c r="J17" s="51"/>
      <c r="K17" s="51"/>
      <c r="L17" s="51"/>
      <c r="M17" s="51"/>
      <c r="N17" s="51"/>
      <c r="O17" s="51"/>
      <c r="P17" s="51"/>
      <c r="Q17" s="51"/>
      <c r="R17" s="51"/>
      <c r="S17" s="51"/>
      <c r="T17" s="51"/>
    </row>
    <row r="18" spans="1:20" ht="15.95">
      <c r="A18" s="30">
        <v>17</v>
      </c>
      <c r="B18" s="31" t="s">
        <v>135</v>
      </c>
      <c r="C18" s="31" t="s">
        <v>242</v>
      </c>
      <c r="D18" s="31" t="s">
        <v>356</v>
      </c>
      <c r="E18" s="32" t="s">
        <v>357</v>
      </c>
      <c r="F18" s="30" t="s">
        <v>372</v>
      </c>
      <c r="G18" s="30" t="str">
        <f>+_xlfn.XLOOKUP(GastoSueldos34[[#This Row],[Detalle del Gasto]],Personas_Cargos!C:C,Personas_Cargos!F:F,0,0,1)</f>
        <v>Jefe de Proyecto</v>
      </c>
      <c r="H18" s="33">
        <f t="shared" si="0"/>
        <v>68842.8</v>
      </c>
      <c r="I18" s="34">
        <v>5736.9000000000005</v>
      </c>
      <c r="J18" s="34">
        <v>5736.9000000000005</v>
      </c>
      <c r="K18" s="34">
        <v>5736.9000000000005</v>
      </c>
      <c r="L18" s="34">
        <v>5736.9000000000005</v>
      </c>
      <c r="M18" s="34">
        <v>5736.9000000000005</v>
      </c>
      <c r="N18" s="34">
        <v>5736.9000000000005</v>
      </c>
      <c r="O18" s="34">
        <v>5736.9000000000005</v>
      </c>
      <c r="P18" s="34">
        <v>5736.9000000000005</v>
      </c>
      <c r="Q18" s="34">
        <v>5736.9000000000005</v>
      </c>
      <c r="R18" s="34">
        <v>5736.9000000000005</v>
      </c>
      <c r="S18" s="34">
        <v>5736.9000000000005</v>
      </c>
      <c r="T18" s="34">
        <v>5736.9000000000005</v>
      </c>
    </row>
    <row r="19" spans="1:20" ht="15.95">
      <c r="A19" s="30">
        <v>18</v>
      </c>
      <c r="B19" s="31" t="s">
        <v>141</v>
      </c>
      <c r="C19" s="71"/>
      <c r="D19" s="31" t="s">
        <v>356</v>
      </c>
      <c r="E19" s="32" t="s">
        <v>357</v>
      </c>
      <c r="F19" s="68" t="s">
        <v>373</v>
      </c>
      <c r="G19" s="68">
        <f>+_xlfn.XLOOKUP(GastoSueldos34[[#This Row],[Detalle del Gasto]],Personas_Cargos!C:C,Personas_Cargos!F:F,0,0,1)</f>
        <v>0</v>
      </c>
      <c r="H19" s="33">
        <f t="shared" si="0"/>
        <v>68217.60000000002</v>
      </c>
      <c r="I19" s="34">
        <v>5684.8</v>
      </c>
      <c r="J19" s="34">
        <v>5684.8</v>
      </c>
      <c r="K19" s="34">
        <v>5684.8</v>
      </c>
      <c r="L19" s="34">
        <v>5684.8</v>
      </c>
      <c r="M19" s="34">
        <v>5684.8</v>
      </c>
      <c r="N19" s="34">
        <v>5684.8</v>
      </c>
      <c r="O19" s="34">
        <v>5684.8</v>
      </c>
      <c r="P19" s="34">
        <v>5684.8</v>
      </c>
      <c r="Q19" s="34">
        <v>5684.8</v>
      </c>
      <c r="R19" s="34">
        <v>5684.8</v>
      </c>
      <c r="S19" s="34">
        <v>5684.8</v>
      </c>
      <c r="T19" s="34">
        <v>5684.8</v>
      </c>
    </row>
    <row r="20" spans="1:20" ht="15.95">
      <c r="A20" s="30">
        <v>19</v>
      </c>
      <c r="B20" s="31" t="s">
        <v>133</v>
      </c>
      <c r="C20" s="31" t="s">
        <v>242</v>
      </c>
      <c r="D20" s="31" t="s">
        <v>356</v>
      </c>
      <c r="E20" s="32" t="s">
        <v>357</v>
      </c>
      <c r="F20" s="30" t="s">
        <v>374</v>
      </c>
      <c r="G20" s="30" t="str">
        <f>+_xlfn.XLOOKUP(GastoSueldos34[[#This Row],[Detalle del Gasto]],Personas_Cargos!C:C,Personas_Cargos!F:F,0,0,1)</f>
        <v>Ingeniero</v>
      </c>
      <c r="H20" s="33">
        <f t="shared" si="0"/>
        <v>5381.8384500000002</v>
      </c>
      <c r="I20" s="34">
        <v>5381.8384500000002</v>
      </c>
      <c r="J20" s="51"/>
      <c r="K20" s="51"/>
      <c r="L20" s="51"/>
      <c r="M20" s="51"/>
      <c r="N20" s="51"/>
      <c r="O20" s="51"/>
      <c r="P20" s="51"/>
      <c r="Q20" s="51"/>
      <c r="R20" s="51"/>
      <c r="S20" s="51"/>
      <c r="T20" s="51"/>
    </row>
    <row r="21" spans="1:20" ht="15.95">
      <c r="A21" s="30">
        <v>20</v>
      </c>
      <c r="B21" s="31" t="s">
        <v>133</v>
      </c>
      <c r="C21" s="31" t="s">
        <v>132</v>
      </c>
      <c r="D21" s="31" t="s">
        <v>356</v>
      </c>
      <c r="E21" s="32" t="s">
        <v>357</v>
      </c>
      <c r="F21" s="30" t="s">
        <v>375</v>
      </c>
      <c r="G21" s="30">
        <f>+_xlfn.XLOOKUP(GastoSueldos34[[#This Row],[Detalle del Gasto]],Personas_Cargos!C:C,Personas_Cargos!F:F,0,0,1)</f>
        <v>0</v>
      </c>
      <c r="H21" s="33">
        <f t="shared" si="0"/>
        <v>64274.318100000004</v>
      </c>
      <c r="I21" s="34">
        <v>5356.1931750000003</v>
      </c>
      <c r="J21" s="34">
        <v>5356.1931750000003</v>
      </c>
      <c r="K21" s="34">
        <v>5356.1931750000003</v>
      </c>
      <c r="L21" s="34">
        <v>5356.1931750000003</v>
      </c>
      <c r="M21" s="34">
        <v>5356.1931750000003</v>
      </c>
      <c r="N21" s="34">
        <v>5356.1931750000003</v>
      </c>
      <c r="O21" s="34">
        <v>5356.1931750000003</v>
      </c>
      <c r="P21" s="34">
        <v>5356.1931750000003</v>
      </c>
      <c r="Q21" s="34">
        <v>5356.1931750000003</v>
      </c>
      <c r="R21" s="34">
        <v>5356.1931750000003</v>
      </c>
      <c r="S21" s="34">
        <v>5356.1931750000003</v>
      </c>
      <c r="T21" s="34">
        <v>5356.1931750000003</v>
      </c>
    </row>
    <row r="22" spans="1:20" ht="15.95">
      <c r="A22" s="30">
        <v>21</v>
      </c>
      <c r="B22" s="31" t="s">
        <v>144</v>
      </c>
      <c r="C22" s="31" t="s">
        <v>132</v>
      </c>
      <c r="D22" s="31" t="s">
        <v>356</v>
      </c>
      <c r="E22" s="32" t="s">
        <v>357</v>
      </c>
      <c r="F22" s="30" t="s">
        <v>376</v>
      </c>
      <c r="G22" s="30">
        <f>+_xlfn.XLOOKUP(GastoSueldos34[[#This Row],[Detalle del Gasto]],Personas_Cargos!C:C,Personas_Cargos!F:F,0,0,1)</f>
        <v>0</v>
      </c>
      <c r="H22" s="33">
        <f t="shared" si="0"/>
        <v>60645.271860000008</v>
      </c>
      <c r="I22" s="34">
        <v>5053.7726550000007</v>
      </c>
      <c r="J22" s="34">
        <v>5053.7726550000007</v>
      </c>
      <c r="K22" s="34">
        <v>5053.7726550000007</v>
      </c>
      <c r="L22" s="34">
        <v>5053.7726550000007</v>
      </c>
      <c r="M22" s="34">
        <v>5053.7726550000007</v>
      </c>
      <c r="N22" s="34">
        <v>5053.7726550000007</v>
      </c>
      <c r="O22" s="34">
        <v>5053.7726550000007</v>
      </c>
      <c r="P22" s="34">
        <v>5053.7726550000007</v>
      </c>
      <c r="Q22" s="34">
        <v>5053.7726550000007</v>
      </c>
      <c r="R22" s="34">
        <v>5053.7726550000007</v>
      </c>
      <c r="S22" s="34">
        <v>5053.7726550000007</v>
      </c>
      <c r="T22" s="34">
        <v>5053.7726550000007</v>
      </c>
    </row>
    <row r="23" spans="1:20" ht="15.95">
      <c r="A23" s="30">
        <v>22</v>
      </c>
      <c r="B23" s="31" t="s">
        <v>138</v>
      </c>
      <c r="C23" s="31" t="s">
        <v>10</v>
      </c>
      <c r="D23" s="31" t="s">
        <v>356</v>
      </c>
      <c r="E23" s="32" t="s">
        <v>357</v>
      </c>
      <c r="F23" s="30" t="s">
        <v>377</v>
      </c>
      <c r="G23" s="30">
        <f>+_xlfn.XLOOKUP(GastoSueldos34[[#This Row],[Detalle del Gasto]],Personas_Cargos!C:C,Personas_Cargos!F:F,0,0,1)</f>
        <v>0</v>
      </c>
      <c r="H23" s="33">
        <f t="shared" si="0"/>
        <v>60439.535999999986</v>
      </c>
      <c r="I23" s="34">
        <v>5036.6279999999997</v>
      </c>
      <c r="J23" s="34">
        <v>5036.6279999999997</v>
      </c>
      <c r="K23" s="34">
        <v>5036.6279999999997</v>
      </c>
      <c r="L23" s="34">
        <v>5036.6279999999997</v>
      </c>
      <c r="M23" s="34">
        <v>5036.6279999999997</v>
      </c>
      <c r="N23" s="34">
        <v>5036.6279999999997</v>
      </c>
      <c r="O23" s="34">
        <v>5036.6279999999997</v>
      </c>
      <c r="P23" s="34">
        <v>5036.6279999999997</v>
      </c>
      <c r="Q23" s="34">
        <v>5036.6279999999997</v>
      </c>
      <c r="R23" s="34">
        <v>5036.6279999999997</v>
      </c>
      <c r="S23" s="34">
        <v>5036.6279999999997</v>
      </c>
      <c r="T23" s="34">
        <v>5036.6279999999997</v>
      </c>
    </row>
    <row r="24" spans="1:20" ht="15.95">
      <c r="A24" s="30">
        <v>23</v>
      </c>
      <c r="B24" s="31" t="s">
        <v>133</v>
      </c>
      <c r="C24" s="31" t="s">
        <v>242</v>
      </c>
      <c r="D24" s="31" t="s">
        <v>356</v>
      </c>
      <c r="E24" s="32" t="s">
        <v>357</v>
      </c>
      <c r="F24" s="47" t="s">
        <v>378</v>
      </c>
      <c r="G24" s="47" t="str">
        <f>+_xlfn.XLOOKUP(GastoSueldos34[[#This Row],[Detalle del Gasto]],Personas_Cargos!C:C,Personas_Cargos!F:F,0,0,1)</f>
        <v>Ingeniero</v>
      </c>
      <c r="H24" s="33">
        <f t="shared" si="0"/>
        <v>9452.8163700000005</v>
      </c>
      <c r="I24" s="34">
        <v>4726.4081850000002</v>
      </c>
      <c r="J24" s="34">
        <v>4726.4081850000002</v>
      </c>
      <c r="K24" s="51"/>
      <c r="L24" s="51"/>
      <c r="M24" s="51"/>
      <c r="N24" s="51"/>
      <c r="O24" s="51"/>
      <c r="P24" s="51"/>
      <c r="Q24" s="51"/>
      <c r="R24" s="51"/>
      <c r="S24" s="51"/>
      <c r="T24" s="51"/>
    </row>
    <row r="25" spans="1:20" ht="15.95">
      <c r="A25" s="30">
        <v>24</v>
      </c>
      <c r="B25" s="31" t="s">
        <v>133</v>
      </c>
      <c r="C25" s="31" t="s">
        <v>242</v>
      </c>
      <c r="D25" s="31" t="s">
        <v>356</v>
      </c>
      <c r="E25" s="32" t="s">
        <v>357</v>
      </c>
      <c r="F25" s="30" t="s">
        <v>379</v>
      </c>
      <c r="G25" s="30" t="str">
        <f>+_xlfn.XLOOKUP(GastoSueldos34[[#This Row],[Detalle del Gasto]],Personas_Cargos!C:C,Personas_Cargos!F:F,0,0,1)</f>
        <v>Jefe de Proyecto</v>
      </c>
      <c r="H25" s="33">
        <f t="shared" si="0"/>
        <v>51155.469000000005</v>
      </c>
      <c r="I25" s="34">
        <v>4262.9557500000001</v>
      </c>
      <c r="J25" s="34">
        <v>4262.9557500000001</v>
      </c>
      <c r="K25" s="34">
        <v>4262.9557500000001</v>
      </c>
      <c r="L25" s="34">
        <v>4262.9557500000001</v>
      </c>
      <c r="M25" s="34">
        <v>4262.9557500000001</v>
      </c>
      <c r="N25" s="34">
        <v>4262.9557500000001</v>
      </c>
      <c r="O25" s="34">
        <v>4262.9557500000001</v>
      </c>
      <c r="P25" s="34">
        <v>4262.9557500000001</v>
      </c>
      <c r="Q25" s="34">
        <v>4262.9557500000001</v>
      </c>
      <c r="R25" s="34">
        <v>4262.9557500000001</v>
      </c>
      <c r="S25" s="34">
        <v>4262.9557500000001</v>
      </c>
      <c r="T25" s="34">
        <v>4262.9557500000001</v>
      </c>
    </row>
    <row r="26" spans="1:20" ht="15.95">
      <c r="A26" s="30">
        <v>25</v>
      </c>
      <c r="B26" s="31" t="s">
        <v>133</v>
      </c>
      <c r="C26" s="31" t="s">
        <v>242</v>
      </c>
      <c r="D26" s="31" t="s">
        <v>356</v>
      </c>
      <c r="E26" s="32" t="s">
        <v>357</v>
      </c>
      <c r="F26" s="30" t="s">
        <v>380</v>
      </c>
      <c r="G26" s="30" t="str">
        <f>+_xlfn.XLOOKUP(GastoSueldos34[[#This Row],[Detalle del Gasto]],Personas_Cargos!C:C,Personas_Cargos!F:F,0,0,1)</f>
        <v>Ingeniero</v>
      </c>
      <c r="H26" s="33">
        <f t="shared" si="0"/>
        <v>50093.54442000002</v>
      </c>
      <c r="I26" s="34">
        <v>4174.4620350000005</v>
      </c>
      <c r="J26" s="34">
        <v>4174.4620350000005</v>
      </c>
      <c r="K26" s="34">
        <v>4174.4620350000005</v>
      </c>
      <c r="L26" s="34">
        <v>4174.4620350000005</v>
      </c>
      <c r="M26" s="34">
        <v>4174.4620350000005</v>
      </c>
      <c r="N26" s="34">
        <v>4174.4620350000005</v>
      </c>
      <c r="O26" s="34">
        <v>4174.4620350000005</v>
      </c>
      <c r="P26" s="34">
        <v>4174.4620350000005</v>
      </c>
      <c r="Q26" s="34">
        <v>4174.4620350000005</v>
      </c>
      <c r="R26" s="34">
        <v>4174.4620350000005</v>
      </c>
      <c r="S26" s="34">
        <v>4174.4620350000005</v>
      </c>
      <c r="T26" s="34">
        <v>4174.4620350000005</v>
      </c>
    </row>
    <row r="27" spans="1:20" ht="15.95">
      <c r="A27" s="30">
        <v>26</v>
      </c>
      <c r="B27" s="31" t="s">
        <v>133</v>
      </c>
      <c r="C27" s="31" t="s">
        <v>242</v>
      </c>
      <c r="D27" s="31" t="s">
        <v>356</v>
      </c>
      <c r="E27" s="32" t="s">
        <v>357</v>
      </c>
      <c r="F27" s="30" t="s">
        <v>381</v>
      </c>
      <c r="G27" s="30" t="str">
        <f>+_xlfn.XLOOKUP(GastoSueldos34[[#This Row],[Detalle del Gasto]],Personas_Cargos!C:C,Personas_Cargos!F:F,0,0,1)</f>
        <v>Ingeniero</v>
      </c>
      <c r="H27" s="33">
        <f t="shared" si="0"/>
        <v>49020.624900000003</v>
      </c>
      <c r="I27" s="34">
        <v>4085.0520750000005</v>
      </c>
      <c r="J27" s="34">
        <v>4085.0520750000005</v>
      </c>
      <c r="K27" s="34">
        <v>4085.0520750000005</v>
      </c>
      <c r="L27" s="34">
        <v>4085.0520750000005</v>
      </c>
      <c r="M27" s="34">
        <v>4085.0520750000005</v>
      </c>
      <c r="N27" s="34">
        <v>4085.0520750000005</v>
      </c>
      <c r="O27" s="34">
        <v>4085.0520750000005</v>
      </c>
      <c r="P27" s="34">
        <v>4085.0520750000005</v>
      </c>
      <c r="Q27" s="34">
        <v>4085.0520750000005</v>
      </c>
      <c r="R27" s="34">
        <v>4085.0520750000005</v>
      </c>
      <c r="S27" s="34">
        <v>4085.0520750000005</v>
      </c>
      <c r="T27" s="34">
        <v>4085.0520750000005</v>
      </c>
    </row>
    <row r="28" spans="1:20" ht="15.95">
      <c r="A28" s="30">
        <v>27</v>
      </c>
      <c r="B28" s="31" t="s">
        <v>133</v>
      </c>
      <c r="C28" s="31" t="s">
        <v>242</v>
      </c>
      <c r="D28" s="31" t="s">
        <v>356</v>
      </c>
      <c r="E28" s="32" t="s">
        <v>357</v>
      </c>
      <c r="F28" s="30" t="s">
        <v>382</v>
      </c>
      <c r="G28" s="30" t="str">
        <f>+_xlfn.XLOOKUP(GastoSueldos34[[#This Row],[Detalle del Gasto]],Personas_Cargos!C:C,Personas_Cargos!F:F,0,0,1)</f>
        <v>Ingeniero</v>
      </c>
      <c r="H28" s="33">
        <f t="shared" si="0"/>
        <v>47010.454379999988</v>
      </c>
      <c r="I28" s="34">
        <v>3917.5378650000002</v>
      </c>
      <c r="J28" s="34">
        <v>3917.5378650000002</v>
      </c>
      <c r="K28" s="34">
        <v>3917.5378650000002</v>
      </c>
      <c r="L28" s="34">
        <v>3917.5378650000002</v>
      </c>
      <c r="M28" s="34">
        <v>3917.5378650000002</v>
      </c>
      <c r="N28" s="34">
        <v>3917.5378650000002</v>
      </c>
      <c r="O28" s="34">
        <v>3917.5378650000002</v>
      </c>
      <c r="P28" s="34">
        <v>3917.5378650000002</v>
      </c>
      <c r="Q28" s="34">
        <v>3917.5378650000002</v>
      </c>
      <c r="R28" s="34">
        <v>3917.5378650000002</v>
      </c>
      <c r="S28" s="34">
        <v>3917.5378650000002</v>
      </c>
      <c r="T28" s="34">
        <v>3917.5378650000002</v>
      </c>
    </row>
    <row r="29" spans="1:20" ht="15.95">
      <c r="A29" s="30">
        <v>28</v>
      </c>
      <c r="B29" s="31" t="s">
        <v>133</v>
      </c>
      <c r="C29" s="31" t="s">
        <v>242</v>
      </c>
      <c r="D29" s="31" t="s">
        <v>356</v>
      </c>
      <c r="E29" s="32" t="s">
        <v>357</v>
      </c>
      <c r="F29" s="30" t="s">
        <v>383</v>
      </c>
      <c r="G29" s="30" t="str">
        <f>+_xlfn.XLOOKUP(GastoSueldos34[[#This Row],[Detalle del Gasto]],Personas_Cargos!C:C,Personas_Cargos!F:F,0,0,1)</f>
        <v>Jefe de Proyecto</v>
      </c>
      <c r="H29" s="33">
        <f t="shared" si="0"/>
        <v>46893.260340000008</v>
      </c>
      <c r="I29" s="34">
        <v>3907.7716950000004</v>
      </c>
      <c r="J29" s="34">
        <v>3907.7716950000004</v>
      </c>
      <c r="K29" s="34">
        <v>3907.7716950000004</v>
      </c>
      <c r="L29" s="34">
        <v>3907.7716950000004</v>
      </c>
      <c r="M29" s="34">
        <v>3907.7716950000004</v>
      </c>
      <c r="N29" s="34">
        <v>3907.7716950000004</v>
      </c>
      <c r="O29" s="34">
        <v>3907.7716950000004</v>
      </c>
      <c r="P29" s="34">
        <v>3907.7716950000004</v>
      </c>
      <c r="Q29" s="34">
        <v>3907.7716950000004</v>
      </c>
      <c r="R29" s="34">
        <v>3907.7716950000004</v>
      </c>
      <c r="S29" s="34">
        <v>3907.7716950000004</v>
      </c>
      <c r="T29" s="34">
        <v>3907.7716950000004</v>
      </c>
    </row>
    <row r="30" spans="1:20" ht="15.95">
      <c r="A30" s="30">
        <v>29</v>
      </c>
      <c r="B30" s="31" t="s">
        <v>133</v>
      </c>
      <c r="C30" s="31" t="s">
        <v>10</v>
      </c>
      <c r="D30" s="31" t="s">
        <v>356</v>
      </c>
      <c r="E30" s="32" t="s">
        <v>357</v>
      </c>
      <c r="F30" s="30" t="s">
        <v>134</v>
      </c>
      <c r="G30" s="30">
        <f>+_xlfn.XLOOKUP(GastoSueldos34[[#This Row],[Detalle del Gasto]],Personas_Cargos!C:C,Personas_Cargos!F:F,0,0,1)</f>
        <v>0</v>
      </c>
      <c r="H30" s="33">
        <f t="shared" si="0"/>
        <v>45323.554860000004</v>
      </c>
      <c r="I30" s="34">
        <v>3776.9629050000003</v>
      </c>
      <c r="J30" s="34">
        <v>3776.9629050000003</v>
      </c>
      <c r="K30" s="34">
        <v>3776.9629050000003</v>
      </c>
      <c r="L30" s="34">
        <v>3776.9629050000003</v>
      </c>
      <c r="M30" s="34">
        <v>3776.9629050000003</v>
      </c>
      <c r="N30" s="34">
        <v>3776.9629050000003</v>
      </c>
      <c r="O30" s="34">
        <v>3776.9629050000003</v>
      </c>
      <c r="P30" s="34">
        <v>3776.9629050000003</v>
      </c>
      <c r="Q30" s="34">
        <v>3776.9629050000003</v>
      </c>
      <c r="R30" s="34">
        <v>3776.9629050000003</v>
      </c>
      <c r="S30" s="34">
        <v>3776.9629050000003</v>
      </c>
      <c r="T30" s="34">
        <v>3776.9629050000003</v>
      </c>
    </row>
    <row r="31" spans="1:20" ht="15.95">
      <c r="A31" s="30">
        <v>30</v>
      </c>
      <c r="B31" s="31" t="s">
        <v>133</v>
      </c>
      <c r="C31" s="31" t="s">
        <v>242</v>
      </c>
      <c r="D31" s="31" t="s">
        <v>356</v>
      </c>
      <c r="E31" s="32" t="s">
        <v>357</v>
      </c>
      <c r="F31" s="30" t="s">
        <v>384</v>
      </c>
      <c r="G31" s="30" t="str">
        <f>+_xlfn.XLOOKUP(GastoSueldos34[[#This Row],[Detalle del Gasto]],Personas_Cargos!C:C,Personas_Cargos!F:F,0,0,1)</f>
        <v>Ingeniero</v>
      </c>
      <c r="H31" s="33">
        <f t="shared" si="0"/>
        <v>44275.118400000007</v>
      </c>
      <c r="I31" s="34">
        <v>3689.5932000000003</v>
      </c>
      <c r="J31" s="34">
        <v>3689.5932000000003</v>
      </c>
      <c r="K31" s="34">
        <v>3689.5932000000003</v>
      </c>
      <c r="L31" s="34">
        <v>3689.5932000000003</v>
      </c>
      <c r="M31" s="34">
        <v>3689.5932000000003</v>
      </c>
      <c r="N31" s="34">
        <v>3689.5932000000003</v>
      </c>
      <c r="O31" s="34">
        <v>3689.5932000000003</v>
      </c>
      <c r="P31" s="34">
        <v>3689.5932000000003</v>
      </c>
      <c r="Q31" s="34">
        <v>3689.5932000000003</v>
      </c>
      <c r="R31" s="34">
        <v>3689.5932000000003</v>
      </c>
      <c r="S31" s="34">
        <v>3689.5932000000003</v>
      </c>
      <c r="T31" s="34">
        <v>3689.5932000000003</v>
      </c>
    </row>
    <row r="32" spans="1:20" ht="15.95">
      <c r="A32" s="30">
        <v>31</v>
      </c>
      <c r="B32" s="31" t="s">
        <v>133</v>
      </c>
      <c r="C32" s="31" t="s">
        <v>242</v>
      </c>
      <c r="D32" s="31" t="s">
        <v>356</v>
      </c>
      <c r="E32" s="32" t="s">
        <v>357</v>
      </c>
      <c r="F32" s="30" t="s">
        <v>385</v>
      </c>
      <c r="G32" s="30" t="str">
        <f>+_xlfn.XLOOKUP(GastoSueldos34[[#This Row],[Detalle del Gasto]],Personas_Cargos!C:C,Personas_Cargos!F:F,0,0,1)</f>
        <v>Ingeniero</v>
      </c>
      <c r="H32" s="33">
        <f t="shared" si="0"/>
        <v>3641.4810900000002</v>
      </c>
      <c r="I32" s="34">
        <v>3641.4810900000002</v>
      </c>
      <c r="J32" s="51"/>
      <c r="K32" s="51"/>
      <c r="L32" s="51"/>
      <c r="M32" s="51"/>
      <c r="N32" s="51"/>
      <c r="O32" s="51"/>
      <c r="P32" s="51"/>
      <c r="Q32" s="51"/>
      <c r="R32" s="51"/>
      <c r="S32" s="51"/>
      <c r="T32" s="51"/>
    </row>
    <row r="33" spans="1:20" ht="15.95">
      <c r="A33" s="30">
        <v>32</v>
      </c>
      <c r="B33" s="31" t="s">
        <v>133</v>
      </c>
      <c r="C33" s="31" t="s">
        <v>316</v>
      </c>
      <c r="D33" s="31" t="s">
        <v>356</v>
      </c>
      <c r="E33" s="32" t="s">
        <v>357</v>
      </c>
      <c r="F33" s="30" t="s">
        <v>386</v>
      </c>
      <c r="G33" s="30">
        <f>+_xlfn.XLOOKUP(GastoSueldos34[[#This Row],[Detalle del Gasto]],Personas_Cargos!C:C,Personas_Cargos!F:F,0,0,1)</f>
        <v>0</v>
      </c>
      <c r="H33" s="33">
        <f t="shared" si="0"/>
        <v>47637.977975000002</v>
      </c>
      <c r="I33" s="34">
        <v>3637.9779750000002</v>
      </c>
      <c r="J33" s="34">
        <v>4000</v>
      </c>
      <c r="K33" s="34">
        <v>4000</v>
      </c>
      <c r="L33" s="34">
        <v>4000</v>
      </c>
      <c r="M33" s="34">
        <v>4000</v>
      </c>
      <c r="N33" s="34">
        <v>4000</v>
      </c>
      <c r="O33" s="34">
        <v>4000</v>
      </c>
      <c r="P33" s="34">
        <v>4000</v>
      </c>
      <c r="Q33" s="34">
        <v>4000</v>
      </c>
      <c r="R33" s="34">
        <v>4000</v>
      </c>
      <c r="S33" s="34">
        <v>4000</v>
      </c>
      <c r="T33" s="34">
        <v>4000</v>
      </c>
    </row>
    <row r="34" spans="1:20" ht="15.95">
      <c r="A34" s="30">
        <v>33</v>
      </c>
      <c r="B34" s="31" t="s">
        <v>133</v>
      </c>
      <c r="C34" s="31" t="s">
        <v>242</v>
      </c>
      <c r="D34" s="31" t="s">
        <v>356</v>
      </c>
      <c r="E34" s="32" t="s">
        <v>357</v>
      </c>
      <c r="F34" s="30" t="s">
        <v>387</v>
      </c>
      <c r="G34" s="30" t="str">
        <f>+_xlfn.XLOOKUP(GastoSueldos34[[#This Row],[Detalle del Gasto]],Personas_Cargos!C:C,Personas_Cargos!F:F,0,0,1)</f>
        <v>Ingeniero</v>
      </c>
      <c r="H34" s="33">
        <f t="shared" si="0"/>
        <v>3380</v>
      </c>
      <c r="I34" s="34">
        <v>1690</v>
      </c>
      <c r="J34" s="34">
        <v>1690</v>
      </c>
      <c r="K34" s="51"/>
      <c r="L34" s="51"/>
      <c r="M34" s="51"/>
      <c r="N34" s="51"/>
      <c r="O34" s="51"/>
      <c r="P34" s="51"/>
      <c r="Q34" s="51"/>
      <c r="R34" s="51"/>
      <c r="S34" s="51"/>
      <c r="T34" s="51"/>
    </row>
    <row r="35" spans="1:20" ht="15.95">
      <c r="A35" s="30">
        <v>34</v>
      </c>
      <c r="B35" s="31" t="s">
        <v>133</v>
      </c>
      <c r="C35" s="31" t="s">
        <v>242</v>
      </c>
      <c r="D35" s="31" t="s">
        <v>356</v>
      </c>
      <c r="E35" s="32" t="s">
        <v>357</v>
      </c>
      <c r="F35" s="30" t="s">
        <v>388</v>
      </c>
      <c r="G35" s="30" t="str">
        <f>+_xlfn.XLOOKUP(GastoSueldos34[[#This Row],[Detalle del Gasto]],Personas_Cargos!C:C,Personas_Cargos!F:F,0,0,1)</f>
        <v>Ingeniero</v>
      </c>
      <c r="H35" s="33">
        <f t="shared" si="0"/>
        <v>7213.0802400000002</v>
      </c>
      <c r="I35" s="34">
        <v>3606.5401200000001</v>
      </c>
      <c r="J35" s="34">
        <v>3606.5401200000001</v>
      </c>
      <c r="K35" s="51"/>
      <c r="L35" s="51"/>
      <c r="M35" s="51"/>
      <c r="N35" s="51"/>
      <c r="O35" s="51"/>
      <c r="P35" s="51"/>
      <c r="Q35" s="51"/>
      <c r="R35" s="51"/>
      <c r="S35" s="51"/>
      <c r="T35" s="51"/>
    </row>
    <row r="36" spans="1:20" ht="15.95">
      <c r="A36" s="30">
        <v>35</v>
      </c>
      <c r="B36" s="31" t="s">
        <v>135</v>
      </c>
      <c r="C36" s="31" t="s">
        <v>132</v>
      </c>
      <c r="D36" s="31" t="s">
        <v>356</v>
      </c>
      <c r="E36" s="32" t="s">
        <v>357</v>
      </c>
      <c r="F36" s="30" t="s">
        <v>389</v>
      </c>
      <c r="G36" s="30">
        <f>+_xlfn.XLOOKUP(GastoSueldos34[[#This Row],[Detalle del Gasto]],Personas_Cargos!C:C,Personas_Cargos!F:F,0,0,1)</f>
        <v>0</v>
      </c>
      <c r="H36" s="33">
        <f t="shared" si="0"/>
        <v>43180.80000000001</v>
      </c>
      <c r="I36" s="34">
        <v>3598.4</v>
      </c>
      <c r="J36" s="34">
        <v>3598.4</v>
      </c>
      <c r="K36" s="34">
        <v>3598.4</v>
      </c>
      <c r="L36" s="34">
        <v>3598.4</v>
      </c>
      <c r="M36" s="34">
        <v>3598.4</v>
      </c>
      <c r="N36" s="34">
        <v>3598.4</v>
      </c>
      <c r="O36" s="34">
        <v>3598.4</v>
      </c>
      <c r="P36" s="34">
        <v>3598.4</v>
      </c>
      <c r="Q36" s="34">
        <v>3598.4</v>
      </c>
      <c r="R36" s="34">
        <v>3598.4</v>
      </c>
      <c r="S36" s="34">
        <v>3598.4</v>
      </c>
      <c r="T36" s="34">
        <v>3598.4</v>
      </c>
    </row>
    <row r="37" spans="1:20" ht="15.95">
      <c r="A37" s="30">
        <v>36</v>
      </c>
      <c r="B37" s="31" t="s">
        <v>135</v>
      </c>
      <c r="C37" s="31" t="s">
        <v>242</v>
      </c>
      <c r="D37" s="31" t="s">
        <v>356</v>
      </c>
      <c r="E37" s="32" t="s">
        <v>357</v>
      </c>
      <c r="F37" s="30" t="s">
        <v>390</v>
      </c>
      <c r="G37" s="30" t="str">
        <f>+_xlfn.XLOOKUP(GastoSueldos34[[#This Row],[Detalle del Gasto]],Personas_Cargos!C:C,Personas_Cargos!F:F,0,0,1)</f>
        <v>Ingeniero</v>
      </c>
      <c r="H37" s="33">
        <f t="shared" si="0"/>
        <v>43087.19999999999</v>
      </c>
      <c r="I37" s="34">
        <v>3590.6</v>
      </c>
      <c r="J37" s="34">
        <v>3590.6</v>
      </c>
      <c r="K37" s="34">
        <v>3590.6</v>
      </c>
      <c r="L37" s="34">
        <v>3590.6</v>
      </c>
      <c r="M37" s="34">
        <v>3590.6</v>
      </c>
      <c r="N37" s="34">
        <v>3590.6</v>
      </c>
      <c r="O37" s="34">
        <v>3590.6</v>
      </c>
      <c r="P37" s="34">
        <v>3590.6</v>
      </c>
      <c r="Q37" s="34">
        <v>3590.6</v>
      </c>
      <c r="R37" s="34">
        <v>3590.6</v>
      </c>
      <c r="S37" s="34">
        <v>3590.6</v>
      </c>
      <c r="T37" s="34">
        <v>3590.6</v>
      </c>
    </row>
    <row r="38" spans="1:20" ht="15.95">
      <c r="A38" s="30">
        <v>37</v>
      </c>
      <c r="B38" s="31" t="s">
        <v>133</v>
      </c>
      <c r="C38" s="31" t="s">
        <v>242</v>
      </c>
      <c r="D38" s="31" t="s">
        <v>356</v>
      </c>
      <c r="E38" s="32" t="s">
        <v>357</v>
      </c>
      <c r="F38" s="30" t="s">
        <v>391</v>
      </c>
      <c r="G38" s="30" t="str">
        <f>+_xlfn.XLOOKUP(GastoSueldos34[[#This Row],[Detalle del Gasto]],Personas_Cargos!C:C,Personas_Cargos!F:F,0,0,1)</f>
        <v>Ingeniero</v>
      </c>
      <c r="H38" s="33">
        <f t="shared" si="0"/>
        <v>42601.342500000021</v>
      </c>
      <c r="I38" s="34">
        <v>3550.1118750000005</v>
      </c>
      <c r="J38" s="34">
        <v>3550.1118750000005</v>
      </c>
      <c r="K38" s="34">
        <v>3550.1118750000005</v>
      </c>
      <c r="L38" s="34">
        <v>3550.1118750000005</v>
      </c>
      <c r="M38" s="34">
        <v>3550.1118750000005</v>
      </c>
      <c r="N38" s="34">
        <v>3550.1118750000005</v>
      </c>
      <c r="O38" s="34">
        <v>3550.1118750000005</v>
      </c>
      <c r="P38" s="34">
        <v>3550.1118750000005</v>
      </c>
      <c r="Q38" s="34">
        <v>3550.1118750000005</v>
      </c>
      <c r="R38" s="34">
        <v>3550.1118750000005</v>
      </c>
      <c r="S38" s="34">
        <v>3550.1118750000005</v>
      </c>
      <c r="T38" s="34">
        <v>3550.1118750000005</v>
      </c>
    </row>
    <row r="39" spans="1:20" ht="15.95">
      <c r="A39" s="30">
        <v>38</v>
      </c>
      <c r="B39" s="39" t="s">
        <v>133</v>
      </c>
      <c r="C39" s="39" t="s">
        <v>180</v>
      </c>
      <c r="D39" s="39" t="s">
        <v>356</v>
      </c>
      <c r="E39" s="38" t="s">
        <v>357</v>
      </c>
      <c r="F39" s="70" t="s">
        <v>392</v>
      </c>
      <c r="G39" s="70">
        <f>+_xlfn.XLOOKUP(GastoSueldos34[[#This Row],[Detalle del Gasto]],Personas_Cargos!C:C,Personas_Cargos!F:F,0,0,1)</f>
        <v>0</v>
      </c>
      <c r="H39" s="33">
        <f t="shared" si="0"/>
        <v>93500</v>
      </c>
      <c r="I39" s="41"/>
      <c r="J39" s="41">
        <v>8500</v>
      </c>
      <c r="K39" s="41">
        <v>8500</v>
      </c>
      <c r="L39" s="41">
        <v>8500</v>
      </c>
      <c r="M39" s="41">
        <v>8500</v>
      </c>
      <c r="N39" s="41">
        <v>8500</v>
      </c>
      <c r="O39" s="41">
        <v>8500</v>
      </c>
      <c r="P39" s="41">
        <v>8500</v>
      </c>
      <c r="Q39" s="41">
        <v>8500</v>
      </c>
      <c r="R39" s="41">
        <v>8500</v>
      </c>
      <c r="S39" s="41">
        <v>8500</v>
      </c>
      <c r="T39" s="41">
        <v>8500</v>
      </c>
    </row>
    <row r="40" spans="1:20" ht="15.95">
      <c r="A40" s="30">
        <v>39</v>
      </c>
      <c r="B40" s="31" t="s">
        <v>135</v>
      </c>
      <c r="C40" s="31" t="s">
        <v>242</v>
      </c>
      <c r="D40" s="31" t="s">
        <v>356</v>
      </c>
      <c r="E40" s="32" t="s">
        <v>357</v>
      </c>
      <c r="F40" s="30" t="s">
        <v>393</v>
      </c>
      <c r="G40" s="30" t="str">
        <f>+_xlfn.XLOOKUP(GastoSueldos34[[#This Row],[Detalle del Gasto]],Personas_Cargos!C:C,Personas_Cargos!F:F,0,0,1)</f>
        <v>Jefe de Proyecto</v>
      </c>
      <c r="H40" s="33">
        <f t="shared" si="0"/>
        <v>41511.600000000006</v>
      </c>
      <c r="I40" s="34">
        <v>3459.3</v>
      </c>
      <c r="J40" s="34">
        <v>3459.3</v>
      </c>
      <c r="K40" s="34">
        <v>3459.3</v>
      </c>
      <c r="L40" s="34">
        <v>3459.3</v>
      </c>
      <c r="M40" s="34">
        <v>3459.3</v>
      </c>
      <c r="N40" s="34">
        <v>3459.3</v>
      </c>
      <c r="O40" s="34">
        <v>3459.3</v>
      </c>
      <c r="P40" s="34">
        <v>3459.3</v>
      </c>
      <c r="Q40" s="34">
        <v>3459.3</v>
      </c>
      <c r="R40" s="34">
        <v>3459.3</v>
      </c>
      <c r="S40" s="34">
        <v>3459.3</v>
      </c>
      <c r="T40" s="34">
        <v>3459.3</v>
      </c>
    </row>
    <row r="41" spans="1:20" ht="15.95">
      <c r="A41" s="30">
        <v>40</v>
      </c>
      <c r="B41" s="31" t="s">
        <v>133</v>
      </c>
      <c r="C41" s="31" t="s">
        <v>242</v>
      </c>
      <c r="D41" s="31" t="s">
        <v>356</v>
      </c>
      <c r="E41" s="32" t="s">
        <v>357</v>
      </c>
      <c r="F41" s="47" t="s">
        <v>394</v>
      </c>
      <c r="G41" s="47" t="str">
        <f>+_xlfn.XLOOKUP(GastoSueldos34[[#This Row],[Detalle del Gasto]],Personas_Cargos!C:C,Personas_Cargos!F:F,0,0,1)</f>
        <v>Ingeniero</v>
      </c>
      <c r="H41" s="33">
        <f t="shared" si="0"/>
        <v>6717.6010800000004</v>
      </c>
      <c r="I41" s="34">
        <v>3358.8005400000002</v>
      </c>
      <c r="J41" s="34">
        <v>3358.8005400000002</v>
      </c>
      <c r="K41" s="51"/>
      <c r="L41" s="51"/>
      <c r="M41" s="51"/>
      <c r="N41" s="51"/>
      <c r="O41" s="51"/>
      <c r="P41" s="51"/>
      <c r="Q41" s="51"/>
      <c r="R41" s="51"/>
      <c r="S41" s="51"/>
      <c r="T41" s="51"/>
    </row>
    <row r="42" spans="1:20" ht="15.95">
      <c r="A42" s="30">
        <v>41</v>
      </c>
      <c r="B42" s="31" t="s">
        <v>138</v>
      </c>
      <c r="C42" s="31" t="s">
        <v>132</v>
      </c>
      <c r="D42" s="31" t="s">
        <v>356</v>
      </c>
      <c r="E42" s="32" t="s">
        <v>357</v>
      </c>
      <c r="F42" s="30" t="s">
        <v>395</v>
      </c>
      <c r="G42" s="30">
        <f>+_xlfn.XLOOKUP(GastoSueldos34[[#This Row],[Detalle del Gasto]],Personas_Cargos!C:C,Personas_Cargos!F:F,0,0,1)</f>
        <v>0</v>
      </c>
      <c r="H42" s="33">
        <f t="shared" si="0"/>
        <v>39836.736000000004</v>
      </c>
      <c r="I42" s="34">
        <v>3319.7279999999996</v>
      </c>
      <c r="J42" s="34">
        <v>3319.7279999999996</v>
      </c>
      <c r="K42" s="34">
        <v>3319.7279999999996</v>
      </c>
      <c r="L42" s="34">
        <v>3319.7279999999996</v>
      </c>
      <c r="M42" s="34">
        <v>3319.7279999999996</v>
      </c>
      <c r="N42" s="34">
        <v>3319.7279999999996</v>
      </c>
      <c r="O42" s="34">
        <v>3319.7279999999996</v>
      </c>
      <c r="P42" s="34">
        <v>3319.7279999999996</v>
      </c>
      <c r="Q42" s="34">
        <v>3319.7279999999996</v>
      </c>
      <c r="R42" s="34">
        <v>3319.7279999999996</v>
      </c>
      <c r="S42" s="34">
        <v>3319.7279999999996</v>
      </c>
      <c r="T42" s="34">
        <v>3319.7279999999996</v>
      </c>
    </row>
    <row r="43" spans="1:20" ht="15.95">
      <c r="A43" s="30">
        <v>42</v>
      </c>
      <c r="B43" s="31" t="s">
        <v>133</v>
      </c>
      <c r="C43" s="31" t="s">
        <v>242</v>
      </c>
      <c r="D43" s="31" t="s">
        <v>356</v>
      </c>
      <c r="E43" s="32" t="s">
        <v>357</v>
      </c>
      <c r="F43" s="30" t="s">
        <v>396</v>
      </c>
      <c r="G43" s="30" t="str">
        <f>+_xlfn.XLOOKUP(GastoSueldos34[[#This Row],[Detalle del Gasto]],Personas_Cargos!C:C,Personas_Cargos!F:F,0,0,1)</f>
        <v>Ingeniero</v>
      </c>
      <c r="H43" s="33">
        <f t="shared" si="0"/>
        <v>39398.774219999992</v>
      </c>
      <c r="I43" s="34">
        <v>3283.2311850000001</v>
      </c>
      <c r="J43" s="34">
        <v>3283.2311850000001</v>
      </c>
      <c r="K43" s="34">
        <v>3283.2311850000001</v>
      </c>
      <c r="L43" s="34">
        <v>3283.2311850000001</v>
      </c>
      <c r="M43" s="34">
        <v>3283.2311850000001</v>
      </c>
      <c r="N43" s="34">
        <v>3283.2311850000001</v>
      </c>
      <c r="O43" s="34">
        <v>3283.2311850000001</v>
      </c>
      <c r="P43" s="34">
        <v>3283.2311850000001</v>
      </c>
      <c r="Q43" s="34">
        <v>3283.2311850000001</v>
      </c>
      <c r="R43" s="34">
        <v>3283.2311850000001</v>
      </c>
      <c r="S43" s="34">
        <v>3283.2311850000001</v>
      </c>
      <c r="T43" s="34">
        <v>3283.2311850000001</v>
      </c>
    </row>
    <row r="44" spans="1:20" ht="15.95">
      <c r="A44" s="30">
        <v>43</v>
      </c>
      <c r="B44" s="31" t="s">
        <v>135</v>
      </c>
      <c r="C44" s="31" t="s">
        <v>180</v>
      </c>
      <c r="D44" s="31" t="s">
        <v>356</v>
      </c>
      <c r="E44" s="32" t="s">
        <v>357</v>
      </c>
      <c r="F44" s="30" t="s">
        <v>397</v>
      </c>
      <c r="G44" s="30" t="str">
        <f>+_xlfn.XLOOKUP(GastoSueldos34[[#This Row],[Detalle del Gasto]],Personas_Cargos!C:C,Personas_Cargos!F:F,0,0,1)</f>
        <v>Ingeniero</v>
      </c>
      <c r="H44" s="33">
        <f t="shared" si="0"/>
        <v>38625.599999999999</v>
      </c>
      <c r="I44" s="34">
        <v>3218.8</v>
      </c>
      <c r="J44" s="34">
        <v>3218.8</v>
      </c>
      <c r="K44" s="34">
        <v>3218.8</v>
      </c>
      <c r="L44" s="34">
        <v>3218.8</v>
      </c>
      <c r="M44" s="34">
        <v>3218.8</v>
      </c>
      <c r="N44" s="34">
        <v>3218.8</v>
      </c>
      <c r="O44" s="34">
        <v>3218.8</v>
      </c>
      <c r="P44" s="34">
        <v>3218.8</v>
      </c>
      <c r="Q44" s="34">
        <v>3218.8</v>
      </c>
      <c r="R44" s="34">
        <v>3218.8</v>
      </c>
      <c r="S44" s="34">
        <v>3218.8</v>
      </c>
      <c r="T44" s="34">
        <v>3218.8</v>
      </c>
    </row>
    <row r="45" spans="1:20" ht="15.95">
      <c r="A45" s="30">
        <v>44</v>
      </c>
      <c r="B45" s="31" t="s">
        <v>135</v>
      </c>
      <c r="C45" s="31" t="s">
        <v>180</v>
      </c>
      <c r="D45" s="31" t="s">
        <v>356</v>
      </c>
      <c r="E45" s="32" t="s">
        <v>357</v>
      </c>
      <c r="F45" s="30" t="s">
        <v>398</v>
      </c>
      <c r="G45" s="30" t="str">
        <f>+_xlfn.XLOOKUP(GastoSueldos34[[#This Row],[Detalle del Gasto]],Personas_Cargos!C:C,Personas_Cargos!F:F,0,0,1)</f>
        <v>Ingeniero</v>
      </c>
      <c r="H45" s="33">
        <f t="shared" si="0"/>
        <v>38625.599999999999</v>
      </c>
      <c r="I45" s="34">
        <v>3218.8</v>
      </c>
      <c r="J45" s="34">
        <v>3218.8</v>
      </c>
      <c r="K45" s="34">
        <v>3218.8</v>
      </c>
      <c r="L45" s="34">
        <v>3218.8</v>
      </c>
      <c r="M45" s="34">
        <v>3218.8</v>
      </c>
      <c r="N45" s="34">
        <v>3218.8</v>
      </c>
      <c r="O45" s="34">
        <v>3218.8</v>
      </c>
      <c r="P45" s="34">
        <v>3218.8</v>
      </c>
      <c r="Q45" s="34">
        <v>3218.8</v>
      </c>
      <c r="R45" s="34">
        <v>3218.8</v>
      </c>
      <c r="S45" s="34">
        <v>3218.8</v>
      </c>
      <c r="T45" s="34">
        <v>3218.8</v>
      </c>
    </row>
    <row r="46" spans="1:20" ht="15.95">
      <c r="A46" s="30">
        <v>45</v>
      </c>
      <c r="B46" s="31" t="s">
        <v>135</v>
      </c>
      <c r="C46" s="31" t="s">
        <v>180</v>
      </c>
      <c r="D46" s="31" t="s">
        <v>356</v>
      </c>
      <c r="E46" s="32" t="s">
        <v>357</v>
      </c>
      <c r="F46" s="30" t="s">
        <v>399</v>
      </c>
      <c r="G46" s="30" t="str">
        <f>+_xlfn.XLOOKUP(GastoSueldos34[[#This Row],[Detalle del Gasto]],Personas_Cargos!C:C,Personas_Cargos!F:F,0,0,1)</f>
        <v>Ingeniero</v>
      </c>
      <c r="H46" s="33">
        <f t="shared" si="0"/>
        <v>38625.599999999999</v>
      </c>
      <c r="I46" s="34">
        <v>3218.8</v>
      </c>
      <c r="J46" s="34">
        <v>3218.8</v>
      </c>
      <c r="K46" s="34">
        <v>3218.8</v>
      </c>
      <c r="L46" s="34">
        <v>3218.8</v>
      </c>
      <c r="M46" s="34">
        <v>3218.8</v>
      </c>
      <c r="N46" s="34">
        <v>3218.8</v>
      </c>
      <c r="O46" s="34">
        <v>3218.8</v>
      </c>
      <c r="P46" s="34">
        <v>3218.8</v>
      </c>
      <c r="Q46" s="34">
        <v>3218.8</v>
      </c>
      <c r="R46" s="34">
        <v>3218.8</v>
      </c>
      <c r="S46" s="34">
        <v>3218.8</v>
      </c>
      <c r="T46" s="34">
        <v>3218.8</v>
      </c>
    </row>
    <row r="47" spans="1:20" ht="15.95">
      <c r="A47" s="30">
        <v>46</v>
      </c>
      <c r="B47" s="31" t="s">
        <v>135</v>
      </c>
      <c r="C47" s="31" t="s">
        <v>180</v>
      </c>
      <c r="D47" s="31" t="s">
        <v>356</v>
      </c>
      <c r="E47" s="32" t="s">
        <v>357</v>
      </c>
      <c r="F47" s="30" t="s">
        <v>400</v>
      </c>
      <c r="G47" s="30" t="str">
        <f>+_xlfn.XLOOKUP(GastoSueldos34[[#This Row],[Detalle del Gasto]],Personas_Cargos!C:C,Personas_Cargos!F:F,0,0,1)</f>
        <v>Ingeniero</v>
      </c>
      <c r="H47" s="33">
        <f t="shared" si="0"/>
        <v>9656.4000000000015</v>
      </c>
      <c r="I47" s="34">
        <v>3218.8</v>
      </c>
      <c r="J47" s="34">
        <v>3218.8</v>
      </c>
      <c r="K47" s="34">
        <v>3218.8</v>
      </c>
      <c r="L47" s="51"/>
      <c r="M47" s="51"/>
      <c r="N47" s="51"/>
      <c r="O47" s="51"/>
      <c r="P47" s="51"/>
      <c r="Q47" s="51"/>
      <c r="R47" s="51"/>
      <c r="S47" s="51"/>
      <c r="T47" s="51"/>
    </row>
    <row r="48" spans="1:20" ht="15.95">
      <c r="A48" s="30">
        <v>47</v>
      </c>
      <c r="B48" s="31" t="s">
        <v>133</v>
      </c>
      <c r="C48" s="31" t="s">
        <v>242</v>
      </c>
      <c r="D48" s="31" t="s">
        <v>356</v>
      </c>
      <c r="E48" s="32" t="s">
        <v>357</v>
      </c>
      <c r="F48" s="47" t="s">
        <v>401</v>
      </c>
      <c r="G48" s="47" t="str">
        <f>+_xlfn.XLOOKUP(GastoSueldos34[[#This Row],[Detalle del Gasto]],Personas_Cargos!C:C,Personas_Cargos!F:F,0,0,1)</f>
        <v>Ingeniero</v>
      </c>
      <c r="H48" s="33">
        <f t="shared" si="0"/>
        <v>3217.5490950000003</v>
      </c>
      <c r="I48" s="34">
        <v>3217.5490950000003</v>
      </c>
      <c r="J48" s="51"/>
      <c r="K48" s="51"/>
      <c r="L48" s="51"/>
      <c r="M48" s="51"/>
      <c r="N48" s="51"/>
      <c r="O48" s="51"/>
      <c r="P48" s="51"/>
      <c r="Q48" s="51"/>
      <c r="R48" s="51"/>
      <c r="S48" s="51"/>
      <c r="T48" s="51"/>
    </row>
    <row r="49" spans="1:20" ht="15.95">
      <c r="A49" s="30">
        <v>48</v>
      </c>
      <c r="B49" s="31" t="s">
        <v>135</v>
      </c>
      <c r="C49" s="31" t="s">
        <v>316</v>
      </c>
      <c r="D49" s="31" t="s">
        <v>356</v>
      </c>
      <c r="E49" s="32" t="s">
        <v>357</v>
      </c>
      <c r="F49" s="30" t="s">
        <v>402</v>
      </c>
      <c r="G49" s="30">
        <f>+_xlfn.XLOOKUP(GastoSueldos34[[#This Row],[Detalle del Gasto]],Personas_Cargos!C:C,Personas_Cargos!F:F,0,0,1)</f>
        <v>0</v>
      </c>
      <c r="H49" s="33">
        <f t="shared" si="0"/>
        <v>6253</v>
      </c>
      <c r="I49" s="34">
        <v>3126.5</v>
      </c>
      <c r="J49" s="34">
        <v>3126.5</v>
      </c>
      <c r="K49" s="51"/>
      <c r="L49" s="51"/>
      <c r="M49" s="51"/>
      <c r="N49" s="51"/>
      <c r="O49" s="51"/>
      <c r="P49" s="51"/>
      <c r="Q49" s="51"/>
      <c r="R49" s="51"/>
      <c r="S49" s="51"/>
      <c r="T49" s="51"/>
    </row>
    <row r="50" spans="1:20" ht="15.95">
      <c r="A50" s="30">
        <v>49</v>
      </c>
      <c r="B50" s="31" t="s">
        <v>133</v>
      </c>
      <c r="C50" s="71" t="s">
        <v>242</v>
      </c>
      <c r="D50" s="31" t="s">
        <v>356</v>
      </c>
      <c r="E50" s="32" t="s">
        <v>357</v>
      </c>
      <c r="F50" s="69" t="s">
        <v>403</v>
      </c>
      <c r="G50" s="69" t="str">
        <f>+_xlfn.XLOOKUP(GastoSueldos34[[#This Row],[Detalle del Gasto]],Personas_Cargos!C:C,Personas_Cargos!F:F,0,0,1)</f>
        <v>Ingeniero</v>
      </c>
      <c r="H50" s="33">
        <f t="shared" si="0"/>
        <v>1543.8275325</v>
      </c>
      <c r="I50" s="34">
        <v>1543.8275325</v>
      </c>
      <c r="J50" s="51"/>
      <c r="K50" s="51"/>
      <c r="L50" s="51"/>
      <c r="M50" s="51"/>
      <c r="N50" s="51"/>
      <c r="O50" s="51"/>
      <c r="P50" s="51"/>
      <c r="Q50" s="51"/>
      <c r="R50" s="51"/>
      <c r="S50" s="51"/>
      <c r="T50" s="51"/>
    </row>
    <row r="51" spans="1:20" ht="15.95">
      <c r="A51" s="30">
        <v>50</v>
      </c>
      <c r="B51" s="31" t="s">
        <v>133</v>
      </c>
      <c r="C51" s="31" t="s">
        <v>180</v>
      </c>
      <c r="D51" s="31" t="s">
        <v>356</v>
      </c>
      <c r="E51" s="32" t="s">
        <v>357</v>
      </c>
      <c r="F51" s="30" t="s">
        <v>404</v>
      </c>
      <c r="G51" s="30" t="str">
        <f>+_xlfn.XLOOKUP(GastoSueldos34[[#This Row],[Detalle del Gasto]],Personas_Cargos!C:C,Personas_Cargos!F:F,0,0,1)</f>
        <v>Ingeniero</v>
      </c>
      <c r="H51" s="33">
        <f t="shared" si="0"/>
        <v>36286.389719999999</v>
      </c>
      <c r="I51" s="34">
        <v>3023.8658100000002</v>
      </c>
      <c r="J51" s="34">
        <v>3023.8658100000002</v>
      </c>
      <c r="K51" s="34">
        <v>3023.8658100000002</v>
      </c>
      <c r="L51" s="34">
        <v>3023.8658100000002</v>
      </c>
      <c r="M51" s="34">
        <v>3023.8658100000002</v>
      </c>
      <c r="N51" s="34">
        <v>3023.8658100000002</v>
      </c>
      <c r="O51" s="34">
        <v>3023.8658100000002</v>
      </c>
      <c r="P51" s="34">
        <v>3023.8658100000002</v>
      </c>
      <c r="Q51" s="34">
        <v>3023.8658100000002</v>
      </c>
      <c r="R51" s="34">
        <v>3023.8658100000002</v>
      </c>
      <c r="S51" s="34">
        <v>3023.8658100000002</v>
      </c>
      <c r="T51" s="34">
        <v>3023.8658100000002</v>
      </c>
    </row>
    <row r="52" spans="1:20" ht="15.95">
      <c r="A52" s="30">
        <v>51</v>
      </c>
      <c r="B52" s="31" t="s">
        <v>133</v>
      </c>
      <c r="C52" s="31" t="s">
        <v>316</v>
      </c>
      <c r="D52" s="31" t="s">
        <v>356</v>
      </c>
      <c r="E52" s="32" t="s">
        <v>357</v>
      </c>
      <c r="F52" s="30" t="s">
        <v>405</v>
      </c>
      <c r="G52" s="30">
        <f>+_xlfn.XLOOKUP(GastoSueldos34[[#This Row],[Detalle del Gasto]],Personas_Cargos!C:C,Personas_Cargos!F:F,0,0,1)</f>
        <v>0</v>
      </c>
      <c r="H52" s="33">
        <f t="shared" si="0"/>
        <v>35210.580120000006</v>
      </c>
      <c r="I52" s="34">
        <v>2934.2150100000003</v>
      </c>
      <c r="J52" s="34">
        <v>2934.2150100000003</v>
      </c>
      <c r="K52" s="34">
        <v>2934.2150100000003</v>
      </c>
      <c r="L52" s="34">
        <v>2934.2150100000003</v>
      </c>
      <c r="M52" s="34">
        <v>2934.2150100000003</v>
      </c>
      <c r="N52" s="34">
        <v>2934.2150100000003</v>
      </c>
      <c r="O52" s="34">
        <v>2934.2150100000003</v>
      </c>
      <c r="P52" s="34">
        <v>2934.2150100000003</v>
      </c>
      <c r="Q52" s="34">
        <v>2934.2150100000003</v>
      </c>
      <c r="R52" s="34">
        <v>2934.2150100000003</v>
      </c>
      <c r="S52" s="34">
        <v>2934.2150100000003</v>
      </c>
      <c r="T52" s="34">
        <v>2934.2150100000003</v>
      </c>
    </row>
    <row r="53" spans="1:20" ht="15.95">
      <c r="A53" s="30">
        <v>52</v>
      </c>
      <c r="B53" s="31" t="s">
        <v>133</v>
      </c>
      <c r="C53" s="31" t="s">
        <v>242</v>
      </c>
      <c r="D53" s="31" t="s">
        <v>356</v>
      </c>
      <c r="E53" s="32" t="s">
        <v>357</v>
      </c>
      <c r="F53" s="30" t="s">
        <v>406</v>
      </c>
      <c r="G53" s="30" t="str">
        <f>+_xlfn.XLOOKUP(GastoSueldos34[[#This Row],[Detalle del Gasto]],Personas_Cargos!C:C,Personas_Cargos!F:F,0,0,1)</f>
        <v>Ingeniero</v>
      </c>
      <c r="H53" s="33">
        <f t="shared" si="0"/>
        <v>31248.7389</v>
      </c>
      <c r="I53" s="34">
        <v>2604.0615750000002</v>
      </c>
      <c r="J53" s="34">
        <v>2604.0615750000002</v>
      </c>
      <c r="K53" s="34">
        <v>2604.0615750000002</v>
      </c>
      <c r="L53" s="34">
        <v>2604.0615750000002</v>
      </c>
      <c r="M53" s="34">
        <v>2604.0615750000002</v>
      </c>
      <c r="N53" s="34">
        <v>2604.0615750000002</v>
      </c>
      <c r="O53" s="34">
        <v>2604.0615750000002</v>
      </c>
      <c r="P53" s="34">
        <v>2604.0615750000002</v>
      </c>
      <c r="Q53" s="34">
        <v>2604.0615750000002</v>
      </c>
      <c r="R53" s="34">
        <v>2604.0615750000002</v>
      </c>
      <c r="S53" s="34">
        <v>2604.0615750000002</v>
      </c>
      <c r="T53" s="34">
        <v>2604.0615750000002</v>
      </c>
    </row>
    <row r="54" spans="1:20" ht="15.95">
      <c r="A54" s="30">
        <v>53</v>
      </c>
      <c r="B54" s="31" t="s">
        <v>135</v>
      </c>
      <c r="C54" s="31" t="s">
        <v>242</v>
      </c>
      <c r="D54" s="31" t="s">
        <v>356</v>
      </c>
      <c r="E54" s="32" t="s">
        <v>357</v>
      </c>
      <c r="F54" s="30" t="s">
        <v>407</v>
      </c>
      <c r="G54" s="30" t="str">
        <f>+_xlfn.XLOOKUP(GastoSueldos34[[#This Row],[Detalle del Gasto]],Personas_Cargos!C:C,Personas_Cargos!F:F,0,0,1)</f>
        <v>Ingeniero</v>
      </c>
      <c r="H54" s="33">
        <f t="shared" si="0"/>
        <v>22850.1</v>
      </c>
      <c r="I54" s="34">
        <v>2538.9</v>
      </c>
      <c r="J54" s="34">
        <v>2538.9</v>
      </c>
      <c r="K54" s="34">
        <v>1777.23</v>
      </c>
      <c r="L54" s="34">
        <v>1777.23</v>
      </c>
      <c r="M54" s="34">
        <v>1777.23</v>
      </c>
      <c r="N54" s="34">
        <v>1777.23</v>
      </c>
      <c r="O54" s="34">
        <v>1777.23</v>
      </c>
      <c r="P54" s="34">
        <v>1777.23</v>
      </c>
      <c r="Q54" s="34">
        <v>1777.23</v>
      </c>
      <c r="R54" s="34">
        <v>1777.23</v>
      </c>
      <c r="S54" s="34">
        <v>1777.23</v>
      </c>
      <c r="T54" s="34">
        <v>1777.23</v>
      </c>
    </row>
    <row r="55" spans="1:20" ht="15.95">
      <c r="A55" s="30">
        <v>54</v>
      </c>
      <c r="B55" s="31" t="s">
        <v>133</v>
      </c>
      <c r="C55" s="31" t="s">
        <v>242</v>
      </c>
      <c r="D55" s="31" t="s">
        <v>356</v>
      </c>
      <c r="E55" s="32" t="s">
        <v>357</v>
      </c>
      <c r="F55" s="30" t="s">
        <v>408</v>
      </c>
      <c r="G55" s="30" t="str">
        <f>+_xlfn.XLOOKUP(GastoSueldos34[[#This Row],[Detalle del Gasto]],Personas_Cargos!C:C,Personas_Cargos!F:F,0,0,1)</f>
        <v>Ingeniero</v>
      </c>
      <c r="H55" s="33">
        <f t="shared" si="0"/>
        <v>29517.069059999994</v>
      </c>
      <c r="I55" s="34">
        <v>2459.7557550000001</v>
      </c>
      <c r="J55" s="34">
        <v>2459.7557550000001</v>
      </c>
      <c r="K55" s="34">
        <v>2459.7557550000001</v>
      </c>
      <c r="L55" s="34">
        <v>2459.7557550000001</v>
      </c>
      <c r="M55" s="34">
        <v>2459.7557550000001</v>
      </c>
      <c r="N55" s="34">
        <v>2459.7557550000001</v>
      </c>
      <c r="O55" s="34">
        <v>2459.7557550000001</v>
      </c>
      <c r="P55" s="34">
        <v>2459.7557550000001</v>
      </c>
      <c r="Q55" s="34">
        <v>2459.7557550000001</v>
      </c>
      <c r="R55" s="34">
        <v>2459.7557550000001</v>
      </c>
      <c r="S55" s="34">
        <v>2459.7557550000001</v>
      </c>
      <c r="T55" s="34">
        <v>2459.7557550000001</v>
      </c>
    </row>
    <row r="56" spans="1:20" ht="15.95">
      <c r="A56" s="30">
        <v>55</v>
      </c>
      <c r="B56" s="31" t="s">
        <v>133</v>
      </c>
      <c r="C56" s="31" t="s">
        <v>242</v>
      </c>
      <c r="D56" s="31" t="s">
        <v>356</v>
      </c>
      <c r="E56" s="32" t="s">
        <v>357</v>
      </c>
      <c r="F56" s="30" t="s">
        <v>409</v>
      </c>
      <c r="G56" s="30" t="str">
        <f>+_xlfn.XLOOKUP(GastoSueldos34[[#This Row],[Detalle del Gasto]],Personas_Cargos!C:C,Personas_Cargos!F:F,0,0,1)</f>
        <v>Ingeniero</v>
      </c>
      <c r="H56" s="33">
        <f t="shared" si="0"/>
        <v>4914.8108100000009</v>
      </c>
      <c r="I56" s="34">
        <v>2457.4054050000004</v>
      </c>
      <c r="J56" s="34">
        <v>2457.4054050000004</v>
      </c>
      <c r="K56" s="51"/>
      <c r="L56" s="51"/>
      <c r="M56" s="51"/>
      <c r="N56" s="51"/>
      <c r="O56" s="51"/>
      <c r="P56" s="51"/>
      <c r="Q56" s="51"/>
      <c r="R56" s="51"/>
      <c r="S56" s="51"/>
      <c r="T56" s="51"/>
    </row>
    <row r="57" spans="1:20" ht="15.95">
      <c r="A57" s="30">
        <v>56</v>
      </c>
      <c r="B57" s="31" t="s">
        <v>133</v>
      </c>
      <c r="C57" s="31" t="s">
        <v>180</v>
      </c>
      <c r="D57" s="31" t="s">
        <v>356</v>
      </c>
      <c r="E57" s="32" t="s">
        <v>357</v>
      </c>
      <c r="F57" s="30" t="s">
        <v>410</v>
      </c>
      <c r="G57" s="30" t="str">
        <f>+_xlfn.XLOOKUP(GastoSueldos34[[#This Row],[Detalle del Gasto]],Personas_Cargos!C:C,Personas_Cargos!F:F,0,0,1)</f>
        <v>Ingeniero</v>
      </c>
      <c r="H57" s="33">
        <f t="shared" si="0"/>
        <v>29163.116880000005</v>
      </c>
      <c r="I57" s="34">
        <v>2430.25974</v>
      </c>
      <c r="J57" s="34">
        <v>2430.25974</v>
      </c>
      <c r="K57" s="34">
        <v>2430.25974</v>
      </c>
      <c r="L57" s="34">
        <v>2430.25974</v>
      </c>
      <c r="M57" s="34">
        <v>2430.25974</v>
      </c>
      <c r="N57" s="34">
        <v>2430.25974</v>
      </c>
      <c r="O57" s="34">
        <v>2430.25974</v>
      </c>
      <c r="P57" s="34">
        <v>2430.25974</v>
      </c>
      <c r="Q57" s="34">
        <v>2430.25974</v>
      </c>
      <c r="R57" s="34">
        <v>2430.25974</v>
      </c>
      <c r="S57" s="34">
        <v>2430.25974</v>
      </c>
      <c r="T57" s="34">
        <v>2430.25974</v>
      </c>
    </row>
    <row r="58" spans="1:20" ht="15.95">
      <c r="A58" s="30">
        <v>57</v>
      </c>
      <c r="B58" s="31" t="s">
        <v>133</v>
      </c>
      <c r="C58" s="31" t="s">
        <v>242</v>
      </c>
      <c r="D58" s="31" t="s">
        <v>356</v>
      </c>
      <c r="E58" s="32" t="s">
        <v>357</v>
      </c>
      <c r="F58" s="30" t="s">
        <v>411</v>
      </c>
      <c r="G58" s="30" t="str">
        <f>+_xlfn.XLOOKUP(GastoSueldos34[[#This Row],[Detalle del Gasto]],Personas_Cargos!C:C,Personas_Cargos!F:F,0,0,1)</f>
        <v>Ingeniero</v>
      </c>
      <c r="H58" s="33">
        <f t="shared" si="0"/>
        <v>28050.272459999996</v>
      </c>
      <c r="I58" s="34">
        <v>2337.5227050000003</v>
      </c>
      <c r="J58" s="34">
        <v>2337.5227050000003</v>
      </c>
      <c r="K58" s="34">
        <v>2337.5227050000003</v>
      </c>
      <c r="L58" s="34">
        <v>2337.5227050000003</v>
      </c>
      <c r="M58" s="34">
        <v>2337.5227050000003</v>
      </c>
      <c r="N58" s="34">
        <v>2337.5227050000003</v>
      </c>
      <c r="O58" s="34">
        <v>2337.5227050000003</v>
      </c>
      <c r="P58" s="34">
        <v>2337.5227050000003</v>
      </c>
      <c r="Q58" s="34">
        <v>2337.5227050000003</v>
      </c>
      <c r="R58" s="34">
        <v>2337.5227050000003</v>
      </c>
      <c r="S58" s="34">
        <v>2337.5227050000003</v>
      </c>
      <c r="T58" s="34">
        <v>2337.5227050000003</v>
      </c>
    </row>
    <row r="59" spans="1:20" ht="15.95">
      <c r="A59" s="30">
        <v>58</v>
      </c>
      <c r="B59" s="31" t="s">
        <v>133</v>
      </c>
      <c r="C59" s="31" t="s">
        <v>132</v>
      </c>
      <c r="D59" s="31" t="s">
        <v>356</v>
      </c>
      <c r="E59" s="32" t="s">
        <v>357</v>
      </c>
      <c r="F59" s="30" t="s">
        <v>412</v>
      </c>
      <c r="G59" s="30">
        <f>+_xlfn.XLOOKUP(GastoSueldos34[[#This Row],[Detalle del Gasto]],Personas_Cargos!C:C,Personas_Cargos!F:F,0,0,1)</f>
        <v>0</v>
      </c>
      <c r="H59" s="33">
        <f t="shared" si="0"/>
        <v>27806.399279999998</v>
      </c>
      <c r="I59" s="34">
        <v>2317.1999400000004</v>
      </c>
      <c r="J59" s="34">
        <v>2317.1999400000004</v>
      </c>
      <c r="K59" s="34">
        <v>2317.1999400000004</v>
      </c>
      <c r="L59" s="34">
        <v>2317.1999400000004</v>
      </c>
      <c r="M59" s="34">
        <v>2317.1999400000004</v>
      </c>
      <c r="N59" s="34">
        <v>2317.1999400000004</v>
      </c>
      <c r="O59" s="34">
        <v>2317.1999400000004</v>
      </c>
      <c r="P59" s="34">
        <v>2317.1999400000004</v>
      </c>
      <c r="Q59" s="34">
        <v>2317.1999400000004</v>
      </c>
      <c r="R59" s="34">
        <v>2317.1999400000004</v>
      </c>
      <c r="S59" s="34">
        <v>2317.1999400000004</v>
      </c>
      <c r="T59" s="34">
        <v>2317.1999400000004</v>
      </c>
    </row>
    <row r="60" spans="1:20" ht="15.95">
      <c r="A60" s="30">
        <v>59</v>
      </c>
      <c r="B60" s="31" t="s">
        <v>138</v>
      </c>
      <c r="C60" s="31" t="s">
        <v>10</v>
      </c>
      <c r="D60" s="31" t="s">
        <v>356</v>
      </c>
      <c r="E60" s="32" t="s">
        <v>357</v>
      </c>
      <c r="F60" s="30" t="s">
        <v>413</v>
      </c>
      <c r="G60" s="30">
        <f>+_xlfn.XLOOKUP(GastoSueldos34[[#This Row],[Detalle del Gasto]],Personas_Cargos!C:C,Personas_Cargos!F:F,0,0,1)</f>
        <v>0</v>
      </c>
      <c r="H60" s="33">
        <f t="shared" si="0"/>
        <v>27405.216</v>
      </c>
      <c r="I60" s="34">
        <v>2283.768</v>
      </c>
      <c r="J60" s="34">
        <v>2283.768</v>
      </c>
      <c r="K60" s="34">
        <v>2283.768</v>
      </c>
      <c r="L60" s="34">
        <v>2283.768</v>
      </c>
      <c r="M60" s="34">
        <v>2283.768</v>
      </c>
      <c r="N60" s="34">
        <v>2283.768</v>
      </c>
      <c r="O60" s="34">
        <v>2283.768</v>
      </c>
      <c r="P60" s="34">
        <v>2283.768</v>
      </c>
      <c r="Q60" s="34">
        <v>2283.768</v>
      </c>
      <c r="R60" s="34">
        <v>2283.768</v>
      </c>
      <c r="S60" s="34">
        <v>2283.768</v>
      </c>
      <c r="T60" s="34">
        <v>2283.768</v>
      </c>
    </row>
    <row r="61" spans="1:20" ht="15.95">
      <c r="A61" s="30">
        <v>60</v>
      </c>
      <c r="B61" s="31" t="s">
        <v>133</v>
      </c>
      <c r="C61" s="31" t="s">
        <v>242</v>
      </c>
      <c r="D61" s="31" t="s">
        <v>356</v>
      </c>
      <c r="E61" s="32" t="s">
        <v>357</v>
      </c>
      <c r="F61" s="47" t="s">
        <v>414</v>
      </c>
      <c r="G61" s="47" t="str">
        <f>+_xlfn.XLOOKUP(GastoSueldos34[[#This Row],[Detalle del Gasto]],Personas_Cargos!C:C,Personas_Cargos!F:F,0,0,1)</f>
        <v>Ingeniero</v>
      </c>
      <c r="H61" s="33">
        <f t="shared" si="0"/>
        <v>4347.6118200000001</v>
      </c>
      <c r="I61" s="34">
        <v>2173.80591</v>
      </c>
      <c r="J61" s="34">
        <v>2173.80591</v>
      </c>
      <c r="K61" s="51"/>
      <c r="L61" s="51"/>
      <c r="M61" s="51"/>
      <c r="N61" s="51"/>
      <c r="O61" s="51"/>
      <c r="P61" s="51"/>
      <c r="Q61" s="51"/>
      <c r="R61" s="51"/>
      <c r="S61" s="51"/>
      <c r="T61" s="51"/>
    </row>
    <row r="62" spans="1:20" ht="15.95">
      <c r="A62" s="30">
        <v>61</v>
      </c>
      <c r="B62" s="31" t="s">
        <v>133</v>
      </c>
      <c r="C62" s="31" t="s">
        <v>10</v>
      </c>
      <c r="D62" s="31" t="s">
        <v>356</v>
      </c>
      <c r="E62" s="32" t="s">
        <v>357</v>
      </c>
      <c r="F62" s="30" t="s">
        <v>415</v>
      </c>
      <c r="G62" s="30">
        <f>+_xlfn.XLOOKUP(GastoSueldos34[[#This Row],[Detalle del Gasto]],Personas_Cargos!C:C,Personas_Cargos!F:F,0,0,1)</f>
        <v>0</v>
      </c>
      <c r="H62" s="33">
        <f t="shared" si="0"/>
        <v>22800</v>
      </c>
      <c r="I62" s="34">
        <v>1900</v>
      </c>
      <c r="J62" s="34">
        <v>1900</v>
      </c>
      <c r="K62" s="34">
        <v>1900</v>
      </c>
      <c r="L62" s="34">
        <v>1900</v>
      </c>
      <c r="M62" s="34">
        <v>1900</v>
      </c>
      <c r="N62" s="34">
        <v>1900</v>
      </c>
      <c r="O62" s="34">
        <v>1900</v>
      </c>
      <c r="P62" s="34">
        <v>1900</v>
      </c>
      <c r="Q62" s="34">
        <v>1900</v>
      </c>
      <c r="R62" s="34">
        <v>1900</v>
      </c>
      <c r="S62" s="34">
        <v>1900</v>
      </c>
      <c r="T62" s="34">
        <v>1900</v>
      </c>
    </row>
    <row r="63" spans="1:20" ht="15.95">
      <c r="A63" s="30">
        <v>62</v>
      </c>
      <c r="B63" s="31" t="s">
        <v>133</v>
      </c>
      <c r="C63" s="31" t="s">
        <v>242</v>
      </c>
      <c r="D63" s="31" t="s">
        <v>356</v>
      </c>
      <c r="E63" s="32" t="s">
        <v>357</v>
      </c>
      <c r="F63" s="30" t="s">
        <v>416</v>
      </c>
      <c r="G63" s="30" t="str">
        <f>+_xlfn.XLOOKUP(GastoSueldos34[[#This Row],[Detalle del Gasto]],Personas_Cargos!C:C,Personas_Cargos!F:F,0,0,1)</f>
        <v>Ingeniero</v>
      </c>
      <c r="H63" s="33">
        <f t="shared" si="0"/>
        <v>25960.028580000009</v>
      </c>
      <c r="I63" s="34">
        <v>2163.3357150000002</v>
      </c>
      <c r="J63" s="34">
        <v>2163.3357150000002</v>
      </c>
      <c r="K63" s="34">
        <v>2163.3357150000002</v>
      </c>
      <c r="L63" s="34">
        <v>2163.3357150000002</v>
      </c>
      <c r="M63" s="34">
        <v>2163.3357150000002</v>
      </c>
      <c r="N63" s="34">
        <v>2163.3357150000002</v>
      </c>
      <c r="O63" s="34">
        <v>2163.3357150000002</v>
      </c>
      <c r="P63" s="34">
        <v>2163.3357150000002</v>
      </c>
      <c r="Q63" s="34">
        <v>2163.3357150000002</v>
      </c>
      <c r="R63" s="34">
        <v>2163.3357150000002</v>
      </c>
      <c r="S63" s="34">
        <v>2163.3357150000002</v>
      </c>
      <c r="T63" s="34">
        <v>2163.3357150000002</v>
      </c>
    </row>
    <row r="64" spans="1:20" ht="15.95">
      <c r="A64" s="30">
        <v>63</v>
      </c>
      <c r="B64" s="31" t="s">
        <v>135</v>
      </c>
      <c r="C64" s="31" t="s">
        <v>10</v>
      </c>
      <c r="D64" s="31" t="s">
        <v>356</v>
      </c>
      <c r="E64" s="32" t="s">
        <v>357</v>
      </c>
      <c r="F64" s="30" t="s">
        <v>417</v>
      </c>
      <c r="G64" s="30">
        <f>+_xlfn.XLOOKUP(GastoSueldos34[[#This Row],[Detalle del Gasto]],Personas_Cargos!C:C,Personas_Cargos!F:F,0,0,1)</f>
        <v>0</v>
      </c>
      <c r="H64" s="33">
        <f t="shared" si="0"/>
        <v>25240.800000000007</v>
      </c>
      <c r="I64" s="34">
        <v>2103.4</v>
      </c>
      <c r="J64" s="34">
        <v>2103.4</v>
      </c>
      <c r="K64" s="34">
        <v>2103.4</v>
      </c>
      <c r="L64" s="34">
        <v>2103.4</v>
      </c>
      <c r="M64" s="34">
        <v>2103.4</v>
      </c>
      <c r="N64" s="34">
        <v>2103.4</v>
      </c>
      <c r="O64" s="34">
        <v>2103.4</v>
      </c>
      <c r="P64" s="34">
        <v>2103.4</v>
      </c>
      <c r="Q64" s="34">
        <v>2103.4</v>
      </c>
      <c r="R64" s="34">
        <v>2103.4</v>
      </c>
      <c r="S64" s="34">
        <v>2103.4</v>
      </c>
      <c r="T64" s="34">
        <v>2103.4</v>
      </c>
    </row>
    <row r="65" spans="1:20" ht="15.95">
      <c r="A65" s="30">
        <v>64</v>
      </c>
      <c r="B65" s="31" t="s">
        <v>133</v>
      </c>
      <c r="C65" s="31" t="s">
        <v>132</v>
      </c>
      <c r="D65" s="31" t="s">
        <v>356</v>
      </c>
      <c r="E65" s="32" t="s">
        <v>357</v>
      </c>
      <c r="F65" s="30" t="s">
        <v>418</v>
      </c>
      <c r="G65" s="30">
        <f>+_xlfn.XLOOKUP(GastoSueldos34[[#This Row],[Detalle del Gasto]],Personas_Cargos!C:C,Personas_Cargos!F:F,0,0,1)</f>
        <v>0</v>
      </c>
      <c r="H65" s="33">
        <f t="shared" si="0"/>
        <v>24790.310820000002</v>
      </c>
      <c r="I65" s="34">
        <v>2065.8592350000004</v>
      </c>
      <c r="J65" s="34">
        <v>2065.8592350000004</v>
      </c>
      <c r="K65" s="34">
        <v>2065.8592350000004</v>
      </c>
      <c r="L65" s="34">
        <v>2065.8592350000004</v>
      </c>
      <c r="M65" s="34">
        <v>2065.8592350000004</v>
      </c>
      <c r="N65" s="34">
        <v>2065.8592350000004</v>
      </c>
      <c r="O65" s="34">
        <v>2065.8592350000004</v>
      </c>
      <c r="P65" s="34">
        <v>2065.8592350000004</v>
      </c>
      <c r="Q65" s="34">
        <v>2065.8592350000004</v>
      </c>
      <c r="R65" s="34">
        <v>2065.8592350000004</v>
      </c>
      <c r="S65" s="34">
        <v>2065.8592350000004</v>
      </c>
      <c r="T65" s="34">
        <v>2065.8592350000004</v>
      </c>
    </row>
    <row r="66" spans="1:20" ht="15.95">
      <c r="A66" s="30">
        <v>65</v>
      </c>
      <c r="B66" s="31" t="s">
        <v>135</v>
      </c>
      <c r="C66" s="31" t="s">
        <v>242</v>
      </c>
      <c r="D66" s="31" t="s">
        <v>356</v>
      </c>
      <c r="E66" s="32" t="s">
        <v>357</v>
      </c>
      <c r="F66" s="30" t="s">
        <v>419</v>
      </c>
      <c r="G66" s="30" t="str">
        <f>+_xlfn.XLOOKUP(GastoSueldos34[[#This Row],[Detalle del Gasto]],Personas_Cargos!C:C,Personas_Cargos!F:F,0,0,1)</f>
        <v>Ingeniero</v>
      </c>
      <c r="H66" s="33">
        <f t="shared" ref="H66:H93" si="6">+SUM(I66:T66)</f>
        <v>24304.800000000003</v>
      </c>
      <c r="I66" s="34">
        <v>2025.4</v>
      </c>
      <c r="J66" s="34">
        <v>2025.4</v>
      </c>
      <c r="K66" s="34">
        <v>2025.4</v>
      </c>
      <c r="L66" s="34">
        <v>2025.4</v>
      </c>
      <c r="M66" s="34">
        <v>2025.4</v>
      </c>
      <c r="N66" s="34">
        <v>2025.4</v>
      </c>
      <c r="O66" s="34">
        <v>2025.4</v>
      </c>
      <c r="P66" s="34">
        <v>2025.4</v>
      </c>
      <c r="Q66" s="34">
        <v>2025.4</v>
      </c>
      <c r="R66" s="34">
        <v>2025.4</v>
      </c>
      <c r="S66" s="34">
        <v>2025.4</v>
      </c>
      <c r="T66" s="34">
        <v>2025.4</v>
      </c>
    </row>
    <row r="67" spans="1:20" ht="15.95">
      <c r="A67" s="30">
        <v>66</v>
      </c>
      <c r="B67" s="31" t="s">
        <v>133</v>
      </c>
      <c r="C67" s="31" t="s">
        <v>242</v>
      </c>
      <c r="D67" s="31" t="s">
        <v>356</v>
      </c>
      <c r="E67" s="32" t="s">
        <v>357</v>
      </c>
      <c r="F67" s="30" t="s">
        <v>420</v>
      </c>
      <c r="G67" s="30" t="str">
        <f>+_xlfn.XLOOKUP(GastoSueldos34[[#This Row],[Detalle del Gasto]],Personas_Cargos!C:C,Personas_Cargos!F:F,0,0,1)</f>
        <v>Ingeniero</v>
      </c>
      <c r="H67" s="33">
        <f t="shared" si="6"/>
        <v>24279.761340000001</v>
      </c>
      <c r="I67" s="34">
        <v>2023.3134450000002</v>
      </c>
      <c r="J67" s="34">
        <v>2023.3134450000002</v>
      </c>
      <c r="K67" s="34">
        <v>2023.3134450000002</v>
      </c>
      <c r="L67" s="34">
        <v>2023.3134450000002</v>
      </c>
      <c r="M67" s="34">
        <v>2023.3134450000002</v>
      </c>
      <c r="N67" s="34">
        <v>2023.3134450000002</v>
      </c>
      <c r="O67" s="34">
        <v>2023.3134450000002</v>
      </c>
      <c r="P67" s="34">
        <v>2023.3134450000002</v>
      </c>
      <c r="Q67" s="34">
        <v>2023.3134450000002</v>
      </c>
      <c r="R67" s="34">
        <v>2023.3134450000002</v>
      </c>
      <c r="S67" s="34">
        <v>2023.3134450000002</v>
      </c>
      <c r="T67" s="34">
        <v>2023.3134450000002</v>
      </c>
    </row>
    <row r="68" spans="1:20" ht="15.95">
      <c r="A68" s="30">
        <v>67</v>
      </c>
      <c r="B68" s="31" t="s">
        <v>133</v>
      </c>
      <c r="C68" s="31" t="s">
        <v>242</v>
      </c>
      <c r="D68" s="31" t="s">
        <v>356</v>
      </c>
      <c r="E68" s="32" t="s">
        <v>357</v>
      </c>
      <c r="F68" s="30" t="s">
        <v>421</v>
      </c>
      <c r="G68" s="30" t="str">
        <f>+_xlfn.XLOOKUP(GastoSueldos34[[#This Row],[Detalle del Gasto]],Personas_Cargos!C:C,Personas_Cargos!F:F,0,0,1)</f>
        <v>Ingeniero</v>
      </c>
      <c r="H68" s="33">
        <f t="shared" si="6"/>
        <v>4042.1311200000005</v>
      </c>
      <c r="I68" s="34">
        <v>2021.0655600000002</v>
      </c>
      <c r="J68" s="34">
        <v>2021.0655600000002</v>
      </c>
      <c r="K68" s="34">
        <v>0</v>
      </c>
      <c r="L68" s="34">
        <v>0</v>
      </c>
      <c r="M68" s="34">
        <v>0</v>
      </c>
      <c r="N68" s="34">
        <v>0</v>
      </c>
      <c r="O68" s="34">
        <v>0</v>
      </c>
      <c r="P68" s="34">
        <v>0</v>
      </c>
      <c r="Q68" s="34">
        <v>0</v>
      </c>
      <c r="R68" s="34">
        <v>0</v>
      </c>
      <c r="S68" s="34">
        <v>0</v>
      </c>
      <c r="T68" s="34">
        <v>0</v>
      </c>
    </row>
    <row r="69" spans="1:20" ht="15.95">
      <c r="A69" s="30">
        <v>68</v>
      </c>
      <c r="B69" s="31" t="s">
        <v>133</v>
      </c>
      <c r="C69" s="31" t="s">
        <v>180</v>
      </c>
      <c r="D69" s="31" t="s">
        <v>356</v>
      </c>
      <c r="E69" s="32" t="s">
        <v>357</v>
      </c>
      <c r="F69" s="30" t="s">
        <v>422</v>
      </c>
      <c r="G69" s="30" t="str">
        <f>+_xlfn.XLOOKUP(GastoSueldos34[[#This Row],[Detalle del Gasto]],Personas_Cargos!C:C,Personas_Cargos!F:F,0,0,1)</f>
        <v>Ingeniero</v>
      </c>
      <c r="H69" s="33">
        <f t="shared" si="6"/>
        <v>24214.992120000006</v>
      </c>
      <c r="I69" s="34">
        <v>2017.9160100000001</v>
      </c>
      <c r="J69" s="34">
        <v>2017.9160100000001</v>
      </c>
      <c r="K69" s="34">
        <v>2017.9160100000001</v>
      </c>
      <c r="L69" s="34">
        <v>2017.9160100000001</v>
      </c>
      <c r="M69" s="34">
        <v>2017.9160100000001</v>
      </c>
      <c r="N69" s="34">
        <v>2017.9160100000001</v>
      </c>
      <c r="O69" s="34">
        <v>2017.9160100000001</v>
      </c>
      <c r="P69" s="34">
        <v>2017.9160100000001</v>
      </c>
      <c r="Q69" s="34">
        <v>2017.9160100000001</v>
      </c>
      <c r="R69" s="34">
        <v>2017.9160100000001</v>
      </c>
      <c r="S69" s="34">
        <v>2017.9160100000001</v>
      </c>
      <c r="T69" s="34">
        <v>2017.9160100000001</v>
      </c>
    </row>
    <row r="70" spans="1:20" ht="15.95">
      <c r="A70" s="30">
        <v>69</v>
      </c>
      <c r="B70" s="31" t="s">
        <v>133</v>
      </c>
      <c r="C70" s="31" t="s">
        <v>242</v>
      </c>
      <c r="D70" s="31" t="s">
        <v>356</v>
      </c>
      <c r="E70" s="32" t="s">
        <v>357</v>
      </c>
      <c r="F70" s="47" t="s">
        <v>423</v>
      </c>
      <c r="G70" s="47" t="str">
        <f>+_xlfn.XLOOKUP(GastoSueldos34[[#This Row],[Detalle del Gasto]],Personas_Cargos!C:C,Personas_Cargos!F:F,0,0,1)</f>
        <v>Ingeniero</v>
      </c>
      <c r="H70" s="33">
        <f t="shared" si="6"/>
        <v>1919.8537650000003</v>
      </c>
      <c r="I70" s="34">
        <v>1919.8537650000003</v>
      </c>
      <c r="J70" s="51"/>
      <c r="K70" s="51"/>
      <c r="L70" s="51"/>
      <c r="M70" s="51"/>
      <c r="N70" s="51"/>
      <c r="O70" s="51"/>
      <c r="P70" s="51"/>
      <c r="Q70" s="51"/>
      <c r="R70" s="51"/>
      <c r="S70" s="51"/>
      <c r="T70" s="51"/>
    </row>
    <row r="71" spans="1:20" ht="15.95">
      <c r="A71" s="30">
        <v>70</v>
      </c>
      <c r="B71" s="31" t="s">
        <v>133</v>
      </c>
      <c r="C71" s="31" t="s">
        <v>242</v>
      </c>
      <c r="D71" s="31" t="s">
        <v>356</v>
      </c>
      <c r="E71" s="32" t="s">
        <v>357</v>
      </c>
      <c r="F71" s="30" t="s">
        <v>424</v>
      </c>
      <c r="G71" s="30" t="str">
        <f>+_xlfn.XLOOKUP(GastoSueldos34[[#This Row],[Detalle del Gasto]],Personas_Cargos!C:C,Personas_Cargos!F:F,0,0,1)</f>
        <v>Ingeniero</v>
      </c>
      <c r="H71" s="33">
        <f t="shared" si="6"/>
        <v>23019.911640000006</v>
      </c>
      <c r="I71" s="34">
        <v>1918.3259700000001</v>
      </c>
      <c r="J71" s="34">
        <v>1918.3259700000001</v>
      </c>
      <c r="K71" s="34">
        <v>1918.3259700000001</v>
      </c>
      <c r="L71" s="34">
        <v>1918.3259700000001</v>
      </c>
      <c r="M71" s="34">
        <v>1918.3259700000001</v>
      </c>
      <c r="N71" s="34">
        <v>1918.3259700000001</v>
      </c>
      <c r="O71" s="34">
        <v>1918.3259700000001</v>
      </c>
      <c r="P71" s="34">
        <v>1918.3259700000001</v>
      </c>
      <c r="Q71" s="34">
        <v>1918.3259700000001</v>
      </c>
      <c r="R71" s="34">
        <v>1918.3259700000001</v>
      </c>
      <c r="S71" s="34">
        <v>1918.3259700000001</v>
      </c>
      <c r="T71" s="34">
        <v>1918.3259700000001</v>
      </c>
    </row>
    <row r="72" spans="1:20" ht="15.95">
      <c r="A72" s="30">
        <v>71</v>
      </c>
      <c r="B72" s="31" t="s">
        <v>135</v>
      </c>
      <c r="C72" s="31" t="s">
        <v>242</v>
      </c>
      <c r="D72" s="31" t="s">
        <v>356</v>
      </c>
      <c r="E72" s="32" t="s">
        <v>357</v>
      </c>
      <c r="F72" s="30" t="s">
        <v>425</v>
      </c>
      <c r="G72" s="30" t="str">
        <f>+_xlfn.XLOOKUP(GastoSueldos34[[#This Row],[Detalle del Gasto]],Personas_Cargos!C:C,Personas_Cargos!F:F,0,0,1)</f>
        <v>Jefe de Proyecto</v>
      </c>
      <c r="H72" s="33">
        <f t="shared" si="6"/>
        <v>22620</v>
      </c>
      <c r="I72" s="34">
        <v>1885</v>
      </c>
      <c r="J72" s="34">
        <v>1885</v>
      </c>
      <c r="K72" s="34">
        <v>1885</v>
      </c>
      <c r="L72" s="34">
        <v>1885</v>
      </c>
      <c r="M72" s="34">
        <v>1885</v>
      </c>
      <c r="N72" s="34">
        <v>1885</v>
      </c>
      <c r="O72" s="34">
        <v>1885</v>
      </c>
      <c r="P72" s="34">
        <v>1885</v>
      </c>
      <c r="Q72" s="34">
        <v>1885</v>
      </c>
      <c r="R72" s="34">
        <v>1885</v>
      </c>
      <c r="S72" s="34">
        <v>1885</v>
      </c>
      <c r="T72" s="34">
        <v>1885</v>
      </c>
    </row>
    <row r="73" spans="1:20" ht="15.95">
      <c r="A73" s="30">
        <v>72</v>
      </c>
      <c r="B73" s="31" t="s">
        <v>133</v>
      </c>
      <c r="C73" s="31" t="s">
        <v>242</v>
      </c>
      <c r="D73" s="31" t="s">
        <v>356</v>
      </c>
      <c r="E73" s="32" t="s">
        <v>357</v>
      </c>
      <c r="F73" s="30" t="s">
        <v>426</v>
      </c>
      <c r="G73" s="30" t="str">
        <f>+_xlfn.XLOOKUP(GastoSueldos34[[#This Row],[Detalle del Gasto]],Personas_Cargos!C:C,Personas_Cargos!F:F,0,0,1)</f>
        <v>Ingeniero</v>
      </c>
      <c r="H73" s="33">
        <f t="shared" si="6"/>
        <v>21966.019020000007</v>
      </c>
      <c r="I73" s="34">
        <v>1830.5015850000002</v>
      </c>
      <c r="J73" s="34">
        <v>1830.5015850000002</v>
      </c>
      <c r="K73" s="34">
        <v>1830.5015850000002</v>
      </c>
      <c r="L73" s="34">
        <v>1830.5015850000002</v>
      </c>
      <c r="M73" s="34">
        <v>1830.5015850000002</v>
      </c>
      <c r="N73" s="34">
        <v>1830.5015850000002</v>
      </c>
      <c r="O73" s="34">
        <v>1830.5015850000002</v>
      </c>
      <c r="P73" s="34">
        <v>1830.5015850000002</v>
      </c>
      <c r="Q73" s="34">
        <v>1830.5015850000002</v>
      </c>
      <c r="R73" s="34">
        <v>1830.5015850000002</v>
      </c>
      <c r="S73" s="34">
        <v>1830.5015850000002</v>
      </c>
      <c r="T73" s="34">
        <v>1830.5015850000002</v>
      </c>
    </row>
    <row r="74" spans="1:20" ht="15.95">
      <c r="A74" s="30">
        <v>73</v>
      </c>
      <c r="B74" s="31" t="s">
        <v>133</v>
      </c>
      <c r="C74" s="31" t="s">
        <v>10</v>
      </c>
      <c r="D74" s="31" t="s">
        <v>356</v>
      </c>
      <c r="E74" s="32" t="s">
        <v>357</v>
      </c>
      <c r="F74" s="30" t="s">
        <v>136</v>
      </c>
      <c r="G74" s="30">
        <f>+_xlfn.XLOOKUP(GastoSueldos34[[#This Row],[Detalle del Gasto]],Personas_Cargos!C:C,Personas_Cargos!F:F,0,0,1)</f>
        <v>0</v>
      </c>
      <c r="H74" s="33">
        <f t="shared" si="6"/>
        <v>30780</v>
      </c>
      <c r="I74" s="34">
        <v>2565</v>
      </c>
      <c r="J74" s="34">
        <v>2565</v>
      </c>
      <c r="K74" s="34">
        <v>2565</v>
      </c>
      <c r="L74" s="34">
        <v>2565</v>
      </c>
      <c r="M74" s="34">
        <v>2565</v>
      </c>
      <c r="N74" s="34">
        <v>2565</v>
      </c>
      <c r="O74" s="34">
        <v>2565</v>
      </c>
      <c r="P74" s="34">
        <v>2565</v>
      </c>
      <c r="Q74" s="34">
        <v>2565</v>
      </c>
      <c r="R74" s="34">
        <v>2565</v>
      </c>
      <c r="S74" s="34">
        <v>2565</v>
      </c>
      <c r="T74" s="34">
        <v>2565</v>
      </c>
    </row>
    <row r="75" spans="1:20" ht="15.95">
      <c r="A75" s="30">
        <v>74</v>
      </c>
      <c r="B75" s="31" t="s">
        <v>135</v>
      </c>
      <c r="C75" s="31" t="s">
        <v>180</v>
      </c>
      <c r="D75" s="31" t="s">
        <v>356</v>
      </c>
      <c r="E75" s="32" t="s">
        <v>357</v>
      </c>
      <c r="F75" s="30" t="s">
        <v>427</v>
      </c>
      <c r="G75" s="30" t="str">
        <f>+_xlfn.XLOOKUP(GastoSueldos34[[#This Row],[Detalle del Gasto]],Personas_Cargos!C:C,Personas_Cargos!F:F,0,0,1)</f>
        <v>Ingeniero</v>
      </c>
      <c r="H75" s="33">
        <f t="shared" si="6"/>
        <v>21184.800000000003</v>
      </c>
      <c r="I75" s="34">
        <v>1765.4</v>
      </c>
      <c r="J75" s="34">
        <v>1765.4</v>
      </c>
      <c r="K75" s="34">
        <v>1765.4</v>
      </c>
      <c r="L75" s="34">
        <v>1765.4</v>
      </c>
      <c r="M75" s="34">
        <v>1765.4</v>
      </c>
      <c r="N75" s="34">
        <v>1765.4</v>
      </c>
      <c r="O75" s="34">
        <v>1765.4</v>
      </c>
      <c r="P75" s="34">
        <v>1765.4</v>
      </c>
      <c r="Q75" s="34">
        <v>1765.4</v>
      </c>
      <c r="R75" s="34">
        <v>1765.4</v>
      </c>
      <c r="S75" s="34">
        <v>1765.4</v>
      </c>
      <c r="T75" s="34">
        <v>1765.4</v>
      </c>
    </row>
    <row r="76" spans="1:20" ht="15.95">
      <c r="A76" s="30">
        <v>75</v>
      </c>
      <c r="B76" s="31" t="s">
        <v>135</v>
      </c>
      <c r="C76" s="31" t="s">
        <v>242</v>
      </c>
      <c r="D76" s="31" t="s">
        <v>356</v>
      </c>
      <c r="E76" s="32" t="s">
        <v>357</v>
      </c>
      <c r="F76" s="30" t="s">
        <v>428</v>
      </c>
      <c r="G76" s="30" t="str">
        <f>+_xlfn.XLOOKUP(GastoSueldos34[[#This Row],[Detalle del Gasto]],Personas_Cargos!C:C,Personas_Cargos!F:F,0,0,1)</f>
        <v>Ingeniero</v>
      </c>
      <c r="H76" s="33">
        <f t="shared" si="6"/>
        <v>20950.800000000003</v>
      </c>
      <c r="I76" s="34">
        <v>1745.9</v>
      </c>
      <c r="J76" s="34">
        <v>1745.9</v>
      </c>
      <c r="K76" s="34">
        <v>1745.9</v>
      </c>
      <c r="L76" s="34">
        <v>1745.9</v>
      </c>
      <c r="M76" s="34">
        <v>1745.9</v>
      </c>
      <c r="N76" s="34">
        <v>1745.9</v>
      </c>
      <c r="O76" s="34">
        <v>1745.9</v>
      </c>
      <c r="P76" s="34">
        <v>1745.9</v>
      </c>
      <c r="Q76" s="34">
        <v>1745.9</v>
      </c>
      <c r="R76" s="34">
        <v>1745.9</v>
      </c>
      <c r="S76" s="34">
        <v>1745.9</v>
      </c>
      <c r="T76" s="34">
        <v>1745.9</v>
      </c>
    </row>
    <row r="77" spans="1:20" ht="15.95">
      <c r="A77" s="30">
        <v>76</v>
      </c>
      <c r="B77" s="31" t="s">
        <v>133</v>
      </c>
      <c r="C77" s="31" t="s">
        <v>242</v>
      </c>
      <c r="D77" s="31" t="s">
        <v>356</v>
      </c>
      <c r="E77" s="32" t="s">
        <v>357</v>
      </c>
      <c r="F77" s="30" t="s">
        <v>429</v>
      </c>
      <c r="G77" s="30" t="str">
        <f>+_xlfn.XLOOKUP(GastoSueldos34[[#This Row],[Detalle del Gasto]],Personas_Cargos!C:C,Personas_Cargos!F:F,0,0,1)</f>
        <v>Ingeniero</v>
      </c>
      <c r="H77" s="33">
        <f t="shared" si="6"/>
        <v>19076.664779999999</v>
      </c>
      <c r="I77" s="34">
        <v>1589.7220649999999</v>
      </c>
      <c r="J77" s="34">
        <v>1589.7220649999999</v>
      </c>
      <c r="K77" s="34">
        <v>1589.7220649999999</v>
      </c>
      <c r="L77" s="34">
        <v>1589.7220649999999</v>
      </c>
      <c r="M77" s="34">
        <v>1589.7220649999999</v>
      </c>
      <c r="N77" s="34">
        <v>1589.7220649999999</v>
      </c>
      <c r="O77" s="34">
        <v>1589.7220649999999</v>
      </c>
      <c r="P77" s="34">
        <v>1589.7220649999999</v>
      </c>
      <c r="Q77" s="34">
        <v>1589.7220649999999</v>
      </c>
      <c r="R77" s="34">
        <v>1589.7220649999999</v>
      </c>
      <c r="S77" s="34">
        <v>1589.7220649999999</v>
      </c>
      <c r="T77" s="34">
        <v>1589.7220649999999</v>
      </c>
    </row>
    <row r="78" spans="1:20" ht="15.95">
      <c r="A78" s="30">
        <v>77</v>
      </c>
      <c r="B78" s="32" t="s">
        <v>135</v>
      </c>
      <c r="C78" s="32" t="s">
        <v>242</v>
      </c>
      <c r="D78" s="31" t="s">
        <v>356</v>
      </c>
      <c r="E78" s="32" t="s">
        <v>357</v>
      </c>
      <c r="F78" s="30" t="s">
        <v>430</v>
      </c>
      <c r="G78" s="30" t="str">
        <f>+_xlfn.XLOOKUP(GastoSueldos34[[#This Row],[Detalle del Gasto]],Personas_Cargos!C:C,Personas_Cargos!F:F,0,0,1)</f>
        <v>Ingeniero</v>
      </c>
      <c r="H78" s="33">
        <f t="shared" si="6"/>
        <v>3078.4</v>
      </c>
      <c r="I78" s="34">
        <v>1539.2</v>
      </c>
      <c r="J78" s="34">
        <v>1539.2</v>
      </c>
      <c r="K78" s="51"/>
      <c r="L78" s="51"/>
      <c r="M78" s="51"/>
      <c r="N78" s="51"/>
      <c r="O78" s="51"/>
      <c r="P78" s="51"/>
      <c r="Q78" s="51"/>
      <c r="R78" s="51"/>
      <c r="S78" s="51"/>
      <c r="T78" s="51"/>
    </row>
    <row r="79" spans="1:20" ht="15.95">
      <c r="A79" s="30">
        <v>78</v>
      </c>
      <c r="B79" s="32" t="s">
        <v>133</v>
      </c>
      <c r="C79" s="32" t="s">
        <v>242</v>
      </c>
      <c r="D79" s="31" t="s">
        <v>356</v>
      </c>
      <c r="E79" s="32" t="s">
        <v>357</v>
      </c>
      <c r="F79" s="30" t="s">
        <v>431</v>
      </c>
      <c r="G79" s="30" t="str">
        <f>+_xlfn.XLOOKUP(GastoSueldos34[[#This Row],[Detalle del Gasto]],Personas_Cargos!C:C,Personas_Cargos!F:F,0,0,1)</f>
        <v>Ingeniero</v>
      </c>
      <c r="H79" s="33">
        <f t="shared" si="6"/>
        <v>1486.7544600000001</v>
      </c>
      <c r="I79" s="34">
        <v>1486.7544600000001</v>
      </c>
      <c r="J79" s="51"/>
      <c r="K79" s="51"/>
      <c r="L79" s="51"/>
      <c r="M79" s="51"/>
      <c r="N79" s="51"/>
      <c r="O79" s="51"/>
      <c r="P79" s="51"/>
      <c r="Q79" s="51"/>
      <c r="R79" s="51"/>
      <c r="S79" s="51"/>
      <c r="T79" s="51"/>
    </row>
    <row r="80" spans="1:20" ht="15.95">
      <c r="A80" s="30">
        <v>79</v>
      </c>
      <c r="B80" s="32" t="s">
        <v>135</v>
      </c>
      <c r="C80" s="32" t="s">
        <v>180</v>
      </c>
      <c r="D80" s="31" t="s">
        <v>356</v>
      </c>
      <c r="E80" s="32" t="s">
        <v>357</v>
      </c>
      <c r="F80" s="30" t="s">
        <v>432</v>
      </c>
      <c r="G80" s="30" t="str">
        <f>+_xlfn.XLOOKUP(GastoSueldos34[[#This Row],[Detalle del Gasto]],Personas_Cargos!C:C,Personas_Cargos!F:F,0,0,1)</f>
        <v>Ingeniero</v>
      </c>
      <c r="H80" s="33">
        <f t="shared" si="6"/>
        <v>17612.400000000005</v>
      </c>
      <c r="I80" s="34">
        <v>1467.7</v>
      </c>
      <c r="J80" s="34">
        <v>1467.7</v>
      </c>
      <c r="K80" s="34">
        <v>1467.7</v>
      </c>
      <c r="L80" s="34">
        <v>1467.7</v>
      </c>
      <c r="M80" s="34">
        <v>1467.7</v>
      </c>
      <c r="N80" s="34">
        <v>1467.7</v>
      </c>
      <c r="O80" s="34">
        <v>1467.7</v>
      </c>
      <c r="P80" s="34">
        <v>1467.7</v>
      </c>
      <c r="Q80" s="34">
        <v>1467.7</v>
      </c>
      <c r="R80" s="34">
        <v>1467.7</v>
      </c>
      <c r="S80" s="34">
        <v>1467.7</v>
      </c>
      <c r="T80" s="34">
        <v>1467.7</v>
      </c>
    </row>
    <row r="81" spans="1:20" ht="15.95">
      <c r="A81" s="30">
        <v>80</v>
      </c>
      <c r="B81" s="32" t="s">
        <v>133</v>
      </c>
      <c r="C81" s="32" t="s">
        <v>10</v>
      </c>
      <c r="D81" s="31" t="s">
        <v>356</v>
      </c>
      <c r="E81" s="32" t="s">
        <v>357</v>
      </c>
      <c r="F81" s="30" t="s">
        <v>433</v>
      </c>
      <c r="G81" s="30">
        <f>+_xlfn.XLOOKUP(GastoSueldos34[[#This Row],[Detalle del Gasto]],Personas_Cargos!C:C,Personas_Cargos!F:F,0,0,1)</f>
        <v>0</v>
      </c>
      <c r="H81" s="33">
        <f t="shared" si="6"/>
        <v>13904.575019999998</v>
      </c>
      <c r="I81" s="34">
        <v>1158.7145850000002</v>
      </c>
      <c r="J81" s="34">
        <v>1158.7145850000002</v>
      </c>
      <c r="K81" s="34">
        <v>1158.7145850000002</v>
      </c>
      <c r="L81" s="34">
        <v>1158.7145850000002</v>
      </c>
      <c r="M81" s="34">
        <v>1158.7145850000002</v>
      </c>
      <c r="N81" s="34">
        <v>1158.7145850000002</v>
      </c>
      <c r="O81" s="34">
        <v>1158.7145850000002</v>
      </c>
      <c r="P81" s="34">
        <v>1158.7145850000002</v>
      </c>
      <c r="Q81" s="34">
        <v>1158.7145850000002</v>
      </c>
      <c r="R81" s="34">
        <v>1158.7145850000002</v>
      </c>
      <c r="S81" s="34">
        <v>1158.7145850000002</v>
      </c>
      <c r="T81" s="34">
        <v>1158.7145850000002</v>
      </c>
    </row>
    <row r="82" spans="1:20" ht="15.95">
      <c r="A82" s="30">
        <v>81</v>
      </c>
      <c r="B82" s="32" t="s">
        <v>135</v>
      </c>
      <c r="C82" s="32" t="s">
        <v>242</v>
      </c>
      <c r="D82" s="31" t="s">
        <v>356</v>
      </c>
      <c r="E82" s="32" t="s">
        <v>357</v>
      </c>
      <c r="F82" s="30" t="s">
        <v>434</v>
      </c>
      <c r="G82" s="30" t="str">
        <f>+_xlfn.XLOOKUP(GastoSueldos34[[#This Row],[Detalle del Gasto]],Personas_Cargos!C:C,Personas_Cargos!F:F,0,0,1)</f>
        <v>Ingeniero</v>
      </c>
      <c r="H82" s="33">
        <f t="shared" si="6"/>
        <v>22142.400000000001</v>
      </c>
      <c r="I82" s="34">
        <v>1071.2</v>
      </c>
      <c r="J82" s="34">
        <v>1071.2</v>
      </c>
      <c r="K82" s="34">
        <v>2000</v>
      </c>
      <c r="L82" s="34">
        <v>2000</v>
      </c>
      <c r="M82" s="34">
        <v>2000</v>
      </c>
      <c r="N82" s="34">
        <v>2000</v>
      </c>
      <c r="O82" s="34">
        <v>2000</v>
      </c>
      <c r="P82" s="34">
        <v>2000</v>
      </c>
      <c r="Q82" s="34">
        <v>2000</v>
      </c>
      <c r="R82" s="34">
        <v>2000</v>
      </c>
      <c r="S82" s="34">
        <v>2000</v>
      </c>
      <c r="T82" s="34">
        <v>2000</v>
      </c>
    </row>
    <row r="83" spans="1:20" ht="15.95">
      <c r="A83" s="30">
        <v>82</v>
      </c>
      <c r="B83" s="32" t="s">
        <v>133</v>
      </c>
      <c r="C83" s="32" t="s">
        <v>132</v>
      </c>
      <c r="D83" s="31" t="s">
        <v>356</v>
      </c>
      <c r="E83" s="32" t="s">
        <v>357</v>
      </c>
      <c r="F83" s="30" t="s">
        <v>435</v>
      </c>
      <c r="G83" s="30">
        <f>+_xlfn.XLOOKUP(GastoSueldos34[[#This Row],[Detalle del Gasto]],Personas_Cargos!C:C,Personas_Cargos!F:F,0,0,1)</f>
        <v>0</v>
      </c>
      <c r="H83" s="33">
        <f t="shared" si="6"/>
        <v>86684.301360000012</v>
      </c>
      <c r="I83" s="34">
        <v>7223.691780000001</v>
      </c>
      <c r="J83" s="34">
        <v>7223.691780000001</v>
      </c>
      <c r="K83" s="34">
        <v>7223.691780000001</v>
      </c>
      <c r="L83" s="34">
        <v>7223.691780000001</v>
      </c>
      <c r="M83" s="34">
        <v>7223.691780000001</v>
      </c>
      <c r="N83" s="34">
        <v>7223.691780000001</v>
      </c>
      <c r="O83" s="34">
        <v>7223.691780000001</v>
      </c>
      <c r="P83" s="34">
        <v>7223.691780000001</v>
      </c>
      <c r="Q83" s="34">
        <v>7223.691780000001</v>
      </c>
      <c r="R83" s="34">
        <v>7223.691780000001</v>
      </c>
      <c r="S83" s="34">
        <v>7223.691780000001</v>
      </c>
      <c r="T83" s="34">
        <v>7223.691780000001</v>
      </c>
    </row>
    <row r="84" spans="1:20" ht="15.95">
      <c r="A84" s="30">
        <v>83</v>
      </c>
      <c r="B84" s="32" t="s">
        <v>135</v>
      </c>
      <c r="C84" s="32" t="s">
        <v>180</v>
      </c>
      <c r="D84" s="31" t="s">
        <v>356</v>
      </c>
      <c r="E84" s="32" t="s">
        <v>357</v>
      </c>
      <c r="F84" s="30" t="s">
        <v>436</v>
      </c>
      <c r="G84" s="30" t="str">
        <f>+_xlfn.XLOOKUP(GastoSueldos34[[#This Row],[Detalle del Gasto]],Personas_Cargos!C:C,Personas_Cargos!F:F,0,0,1)</f>
        <v>Ingeniero</v>
      </c>
      <c r="H84" s="33">
        <f t="shared" si="6"/>
        <v>14400</v>
      </c>
      <c r="I84" s="34">
        <v>1200</v>
      </c>
      <c r="J84" s="34">
        <v>1200</v>
      </c>
      <c r="K84" s="34">
        <v>1200</v>
      </c>
      <c r="L84" s="34">
        <v>1200</v>
      </c>
      <c r="M84" s="34">
        <v>1200</v>
      </c>
      <c r="N84" s="34">
        <v>1200</v>
      </c>
      <c r="O84" s="34">
        <v>1200</v>
      </c>
      <c r="P84" s="34">
        <v>1200</v>
      </c>
      <c r="Q84" s="34">
        <v>1200</v>
      </c>
      <c r="R84" s="34">
        <v>1200</v>
      </c>
      <c r="S84" s="34">
        <v>1200</v>
      </c>
      <c r="T84" s="34">
        <v>1200</v>
      </c>
    </row>
    <row r="85" spans="1:20" ht="15.95">
      <c r="A85" s="30">
        <v>84</v>
      </c>
      <c r="B85" s="32" t="s">
        <v>141</v>
      </c>
      <c r="C85" s="32" t="s">
        <v>10</v>
      </c>
      <c r="D85" s="31" t="s">
        <v>356</v>
      </c>
      <c r="E85" s="32" t="s">
        <v>357</v>
      </c>
      <c r="F85" s="30" t="s">
        <v>437</v>
      </c>
      <c r="G85" s="30">
        <f>+_xlfn.XLOOKUP(GastoSueldos34[[#This Row],[Detalle del Gasto]],Personas_Cargos!C:C,Personas_Cargos!F:F,0,0,1)</f>
        <v>0</v>
      </c>
      <c r="H85" s="33">
        <f t="shared" si="6"/>
        <v>16000</v>
      </c>
      <c r="I85" s="34">
        <v>1000</v>
      </c>
      <c r="J85" s="34">
        <v>2000</v>
      </c>
      <c r="K85" s="34">
        <v>1500</v>
      </c>
      <c r="L85" s="34">
        <v>1500</v>
      </c>
      <c r="M85" s="34">
        <v>1000</v>
      </c>
      <c r="N85" s="34">
        <v>1000</v>
      </c>
      <c r="O85" s="34">
        <v>1000</v>
      </c>
      <c r="P85" s="34">
        <v>1000</v>
      </c>
      <c r="Q85" s="34">
        <v>1000</v>
      </c>
      <c r="R85" s="34">
        <v>3000</v>
      </c>
      <c r="S85" s="34">
        <v>1000</v>
      </c>
      <c r="T85" s="34">
        <v>1000</v>
      </c>
    </row>
    <row r="86" spans="1:20" ht="15.95">
      <c r="A86" s="30">
        <v>85</v>
      </c>
      <c r="B86" s="32" t="s">
        <v>135</v>
      </c>
      <c r="C86" s="32" t="s">
        <v>132</v>
      </c>
      <c r="D86" s="31" t="s">
        <v>356</v>
      </c>
      <c r="E86" s="32" t="s">
        <v>357</v>
      </c>
      <c r="F86" s="30" t="s">
        <v>438</v>
      </c>
      <c r="G86" s="30">
        <f>+_xlfn.XLOOKUP(GastoSueldos34[[#This Row],[Detalle del Gasto]],Personas_Cargos!C:C,Personas_Cargos!F:F,0,0,1)</f>
        <v>0</v>
      </c>
      <c r="H86" s="33">
        <f t="shared" si="6"/>
        <v>36000</v>
      </c>
      <c r="I86" s="34">
        <v>3000</v>
      </c>
      <c r="J86" s="34">
        <v>3000</v>
      </c>
      <c r="K86" s="34">
        <v>3000</v>
      </c>
      <c r="L86" s="34">
        <v>3000</v>
      </c>
      <c r="M86" s="34">
        <v>3000</v>
      </c>
      <c r="N86" s="34">
        <v>3000</v>
      </c>
      <c r="O86" s="34">
        <v>3000</v>
      </c>
      <c r="P86" s="34">
        <v>3000</v>
      </c>
      <c r="Q86" s="34">
        <v>3000</v>
      </c>
      <c r="R86" s="34">
        <v>3000</v>
      </c>
      <c r="S86" s="34">
        <v>3000</v>
      </c>
      <c r="T86" s="34">
        <v>3000</v>
      </c>
    </row>
    <row r="87" spans="1:20" ht="15.95">
      <c r="A87" s="30">
        <v>86</v>
      </c>
      <c r="B87" s="32" t="s">
        <v>135</v>
      </c>
      <c r="C87" s="32" t="s">
        <v>180</v>
      </c>
      <c r="D87" s="31" t="s">
        <v>356</v>
      </c>
      <c r="E87" s="32" t="s">
        <v>357</v>
      </c>
      <c r="F87" s="30" t="s">
        <v>439</v>
      </c>
      <c r="G87" s="30" t="str">
        <f>+_xlfn.XLOOKUP(GastoSueldos34[[#This Row],[Detalle del Gasto]],Personas_Cargos!C:C,Personas_Cargos!F:F,0,0,1)</f>
        <v>Ingeniero</v>
      </c>
      <c r="H87" s="33">
        <f t="shared" si="6"/>
        <v>45888</v>
      </c>
      <c r="I87" s="34">
        <v>3824</v>
      </c>
      <c r="J87" s="34">
        <v>3824</v>
      </c>
      <c r="K87" s="34">
        <v>3824</v>
      </c>
      <c r="L87" s="34">
        <v>3824</v>
      </c>
      <c r="M87" s="34">
        <v>3824</v>
      </c>
      <c r="N87" s="34">
        <v>3824</v>
      </c>
      <c r="O87" s="34">
        <v>3824</v>
      </c>
      <c r="P87" s="34">
        <v>3824</v>
      </c>
      <c r="Q87" s="34">
        <v>3824</v>
      </c>
      <c r="R87" s="34">
        <v>3824</v>
      </c>
      <c r="S87" s="34">
        <v>3824</v>
      </c>
      <c r="T87" s="34">
        <v>3824</v>
      </c>
    </row>
    <row r="88" spans="1:20" ht="15.95">
      <c r="A88" s="30">
        <v>87</v>
      </c>
      <c r="B88" s="32" t="s">
        <v>135</v>
      </c>
      <c r="C88" s="32" t="s">
        <v>180</v>
      </c>
      <c r="D88" s="31" t="s">
        <v>356</v>
      </c>
      <c r="E88" s="32" t="s">
        <v>357</v>
      </c>
      <c r="F88" s="30" t="s">
        <v>440</v>
      </c>
      <c r="G88" s="30" t="str">
        <f>+_xlfn.XLOOKUP(GastoSueldos34[[#This Row],[Detalle del Gasto]],Personas_Cargos!C:C,Personas_Cargos!F:F,0,0,1)</f>
        <v>Ingeniero</v>
      </c>
      <c r="H88" s="33">
        <f t="shared" si="6"/>
        <v>7428</v>
      </c>
      <c r="I88" s="34">
        <v>2476</v>
      </c>
      <c r="J88" s="34">
        <v>2476</v>
      </c>
      <c r="K88" s="34">
        <v>2476</v>
      </c>
      <c r="L88" s="51"/>
      <c r="M88" s="51"/>
      <c r="N88" s="51"/>
      <c r="O88" s="51"/>
      <c r="P88" s="51"/>
      <c r="Q88" s="51"/>
      <c r="R88" s="51"/>
      <c r="S88" s="51"/>
      <c r="T88" s="51"/>
    </row>
    <row r="89" spans="1:20" ht="15.95">
      <c r="A89" s="30">
        <v>88</v>
      </c>
      <c r="B89" s="38" t="s">
        <v>133</v>
      </c>
      <c r="C89" s="38" t="s">
        <v>10</v>
      </c>
      <c r="D89" s="39" t="s">
        <v>356</v>
      </c>
      <c r="E89" s="38" t="s">
        <v>357</v>
      </c>
      <c r="F89" s="61" t="s">
        <v>441</v>
      </c>
      <c r="G89" s="61">
        <f>+_xlfn.XLOOKUP(GastoSueldos34[[#This Row],[Detalle del Gasto]],Personas_Cargos!C:C,Personas_Cargos!F:F,0,0,1)</f>
        <v>0</v>
      </c>
      <c r="H89" s="33">
        <f t="shared" si="6"/>
        <v>700</v>
      </c>
      <c r="I89" s="51"/>
      <c r="J89" s="34">
        <v>500</v>
      </c>
      <c r="K89" s="51"/>
      <c r="L89" s="51"/>
      <c r="M89" s="51"/>
      <c r="N89" s="51"/>
      <c r="O89" s="51"/>
      <c r="P89" s="51"/>
      <c r="Q89" s="34">
        <v>200</v>
      </c>
      <c r="R89" s="51"/>
      <c r="S89" s="51"/>
      <c r="T89" s="51"/>
    </row>
    <row r="90" spans="1:20" ht="15.95">
      <c r="A90" s="30">
        <v>89</v>
      </c>
      <c r="B90" s="32" t="s">
        <v>133</v>
      </c>
      <c r="C90" s="32" t="s">
        <v>242</v>
      </c>
      <c r="D90" s="31" t="s">
        <v>356</v>
      </c>
      <c r="E90" s="32" t="s">
        <v>357</v>
      </c>
      <c r="F90" s="30" t="s">
        <v>442</v>
      </c>
      <c r="G90" s="30" t="str">
        <f>+_xlfn.XLOOKUP(GastoSueldos34[[#This Row],[Detalle del Gasto]],Personas_Cargos!C:C,Personas_Cargos!F:F,0,0,1)</f>
        <v>Ingeniero</v>
      </c>
      <c r="H90" s="33">
        <f t="shared" si="6"/>
        <v>97572.60000000002</v>
      </c>
      <c r="I90" s="41">
        <v>8131.05</v>
      </c>
      <c r="J90" s="41">
        <v>8131.05</v>
      </c>
      <c r="K90" s="41">
        <v>8131.05</v>
      </c>
      <c r="L90" s="41">
        <v>8131.05</v>
      </c>
      <c r="M90" s="41">
        <v>8131.05</v>
      </c>
      <c r="N90" s="41">
        <v>8131.05</v>
      </c>
      <c r="O90" s="41">
        <v>8131.05</v>
      </c>
      <c r="P90" s="41">
        <v>8131.05</v>
      </c>
      <c r="Q90" s="41">
        <v>8131.05</v>
      </c>
      <c r="R90" s="41">
        <v>8131.05</v>
      </c>
      <c r="S90" s="41">
        <v>8131.05</v>
      </c>
      <c r="T90" s="41">
        <v>8131.05</v>
      </c>
    </row>
    <row r="91" spans="1:20" ht="15.95">
      <c r="A91" s="30">
        <v>90</v>
      </c>
      <c r="B91" s="38" t="s">
        <v>133</v>
      </c>
      <c r="C91" s="38" t="s">
        <v>132</v>
      </c>
      <c r="D91" s="39" t="s">
        <v>356</v>
      </c>
      <c r="E91" s="38" t="s">
        <v>357</v>
      </c>
      <c r="F91" s="37" t="s">
        <v>443</v>
      </c>
      <c r="G91" s="37">
        <f>+_xlfn.XLOOKUP(GastoSueldos34[[#This Row],[Detalle del Gasto]],Personas_Cargos!C:C,Personas_Cargos!F:F,0,0,1)</f>
        <v>0</v>
      </c>
      <c r="H91" s="33">
        <f t="shared" si="6"/>
        <v>0</v>
      </c>
      <c r="I91" s="52"/>
      <c r="J91" s="52"/>
      <c r="K91" s="52"/>
      <c r="L91" s="52"/>
      <c r="M91" s="52"/>
      <c r="N91" s="52"/>
      <c r="O91" s="52"/>
      <c r="P91" s="52"/>
      <c r="Q91" s="52"/>
      <c r="R91" s="52"/>
      <c r="S91" s="52"/>
      <c r="T91" s="52"/>
    </row>
    <row r="92" spans="1:20" ht="15.95">
      <c r="A92" s="30">
        <v>91</v>
      </c>
      <c r="B92" s="32" t="s">
        <v>133</v>
      </c>
      <c r="C92" s="32" t="s">
        <v>242</v>
      </c>
      <c r="D92" s="31" t="s">
        <v>356</v>
      </c>
      <c r="E92" s="32" t="s">
        <v>357</v>
      </c>
      <c r="F92" s="30" t="s">
        <v>444</v>
      </c>
      <c r="G92" s="30" t="str">
        <f>+_xlfn.XLOOKUP(GastoSueldos34[[#This Row],[Detalle del Gasto]],Personas_Cargos!C:C,Personas_Cargos!F:F,0,0,1)</f>
        <v>Ingeniero</v>
      </c>
      <c r="H92" s="33">
        <f t="shared" si="6"/>
        <v>46000</v>
      </c>
      <c r="I92" s="41">
        <v>2000</v>
      </c>
      <c r="J92" s="41">
        <v>4000</v>
      </c>
      <c r="K92" s="41">
        <v>4000</v>
      </c>
      <c r="L92" s="41">
        <v>4000</v>
      </c>
      <c r="M92" s="41">
        <v>4000</v>
      </c>
      <c r="N92" s="41">
        <v>4000</v>
      </c>
      <c r="O92" s="41">
        <v>4000</v>
      </c>
      <c r="P92" s="41">
        <v>4000</v>
      </c>
      <c r="Q92" s="41">
        <v>4000</v>
      </c>
      <c r="R92" s="41">
        <v>4000</v>
      </c>
      <c r="S92" s="41">
        <v>4000</v>
      </c>
      <c r="T92" s="41">
        <v>4000</v>
      </c>
    </row>
    <row r="93" spans="1:20" ht="15.95">
      <c r="A93" s="30">
        <v>92</v>
      </c>
      <c r="B93" s="38" t="s">
        <v>133</v>
      </c>
      <c r="C93" s="38" t="s">
        <v>316</v>
      </c>
      <c r="D93" s="39" t="s">
        <v>356</v>
      </c>
      <c r="E93" s="38" t="s">
        <v>357</v>
      </c>
      <c r="F93" s="37" t="s">
        <v>445</v>
      </c>
      <c r="G93" s="37">
        <f>+_xlfn.XLOOKUP(GastoSueldos34[[#This Row],[Detalle del Gasto]],Personas_Cargos!C:C,Personas_Cargos!F:F,0,0,1)</f>
        <v>0</v>
      </c>
      <c r="H93" s="33">
        <f t="shared" si="6"/>
        <v>25000</v>
      </c>
      <c r="I93" s="52"/>
      <c r="J93" s="52"/>
      <c r="K93" s="41">
        <v>2500</v>
      </c>
      <c r="L93" s="41">
        <v>2500</v>
      </c>
      <c r="M93" s="41">
        <v>2500</v>
      </c>
      <c r="N93" s="41">
        <v>2500</v>
      </c>
      <c r="O93" s="41">
        <v>2500</v>
      </c>
      <c r="P93" s="41">
        <v>2500</v>
      </c>
      <c r="Q93" s="41">
        <v>2500</v>
      </c>
      <c r="R93" s="41">
        <v>2500</v>
      </c>
      <c r="S93" s="41">
        <v>2500</v>
      </c>
      <c r="T93" s="41">
        <v>2500</v>
      </c>
    </row>
    <row r="94" spans="1:20" ht="15.95">
      <c r="A94" s="30">
        <v>93</v>
      </c>
      <c r="B94" s="38" t="s">
        <v>133</v>
      </c>
      <c r="C94" s="38" t="s">
        <v>180</v>
      </c>
      <c r="D94" s="39" t="s">
        <v>356</v>
      </c>
      <c r="E94" s="38" t="s">
        <v>357</v>
      </c>
      <c r="F94" s="37" t="s">
        <v>446</v>
      </c>
      <c r="G94" s="37" t="str">
        <f>+_xlfn.XLOOKUP(GastoSueldos34[[#This Row],[Detalle del Gasto]],Personas_Cargos!C:C,Personas_Cargos!F:F,0,0,1)</f>
        <v>Ingeniero</v>
      </c>
      <c r="H94" s="40">
        <f t="shared" ref="H94:H98" si="7">+SUM(I94:T94)</f>
        <v>29163.116880000005</v>
      </c>
      <c r="I94" s="34">
        <v>2430.25974</v>
      </c>
      <c r="J94" s="34">
        <v>2430.25974</v>
      </c>
      <c r="K94" s="34">
        <v>2430.25974</v>
      </c>
      <c r="L94" s="34">
        <v>2430.25974</v>
      </c>
      <c r="M94" s="34">
        <v>2430.25974</v>
      </c>
      <c r="N94" s="34">
        <v>2430.25974</v>
      </c>
      <c r="O94" s="34">
        <v>2430.25974</v>
      </c>
      <c r="P94" s="34">
        <v>2430.25974</v>
      </c>
      <c r="Q94" s="34">
        <v>2430.25974</v>
      </c>
      <c r="R94" s="34">
        <v>2430.25974</v>
      </c>
      <c r="S94" s="34">
        <v>2430.25974</v>
      </c>
      <c r="T94" s="34">
        <v>2430.25974</v>
      </c>
    </row>
    <row r="95" spans="1:20" ht="15.95">
      <c r="A95" s="30">
        <v>94</v>
      </c>
      <c r="B95" s="38"/>
      <c r="C95" s="38"/>
      <c r="D95" s="39"/>
      <c r="E95" s="38"/>
      <c r="F95" s="37"/>
      <c r="G95" s="37">
        <f>+_xlfn.XLOOKUP(GastoSueldos34[[#This Row],[Detalle del Gasto]],Personas_Cargos!C:C,Personas_Cargos!F:F,0,0,1)</f>
        <v>0</v>
      </c>
      <c r="H95" s="40">
        <f t="shared" si="7"/>
        <v>0</v>
      </c>
      <c r="I95" s="41"/>
      <c r="J95" s="41"/>
      <c r="K95" s="41"/>
      <c r="L95" s="41"/>
      <c r="M95" s="41"/>
      <c r="N95" s="41"/>
      <c r="O95" s="41"/>
      <c r="P95" s="41"/>
      <c r="Q95" s="41"/>
      <c r="R95" s="41"/>
      <c r="S95" s="41"/>
      <c r="T95" s="41"/>
    </row>
    <row r="96" spans="1:20" ht="15.95">
      <c r="A96" s="30">
        <v>95</v>
      </c>
      <c r="B96" s="38"/>
      <c r="C96" s="38"/>
      <c r="D96" s="39"/>
      <c r="E96" s="38"/>
      <c r="F96" s="37"/>
      <c r="G96" s="37">
        <f>+_xlfn.XLOOKUP(GastoSueldos34[[#This Row],[Detalle del Gasto]],Personas_Cargos!C:C,Personas_Cargos!F:F,0,0,1)</f>
        <v>0</v>
      </c>
      <c r="H96" s="40">
        <f t="shared" si="7"/>
        <v>0</v>
      </c>
      <c r="I96" s="41"/>
      <c r="J96" s="41"/>
      <c r="K96" s="41"/>
      <c r="L96" s="41"/>
      <c r="M96" s="41"/>
      <c r="N96" s="41"/>
      <c r="O96" s="41"/>
      <c r="P96" s="41"/>
      <c r="Q96" s="41"/>
      <c r="R96" s="41"/>
      <c r="S96" s="41"/>
      <c r="T96" s="41"/>
    </row>
    <row r="97" spans="1:21" ht="15.95">
      <c r="A97" s="30">
        <v>96</v>
      </c>
      <c r="B97" s="38"/>
      <c r="C97" s="38"/>
      <c r="D97" s="39"/>
      <c r="E97" s="38"/>
      <c r="F97" s="37"/>
      <c r="G97" s="37">
        <f>+_xlfn.XLOOKUP(GastoSueldos34[[#This Row],[Detalle del Gasto]],Personas_Cargos!C:C,Personas_Cargos!F:F,0,0,1)</f>
        <v>0</v>
      </c>
      <c r="H97" s="40">
        <f t="shared" si="7"/>
        <v>0</v>
      </c>
      <c r="I97" s="41"/>
      <c r="J97" s="41"/>
      <c r="K97" s="41"/>
      <c r="L97" s="41"/>
      <c r="M97" s="41"/>
      <c r="N97" s="41"/>
      <c r="O97" s="41"/>
      <c r="P97" s="41"/>
      <c r="Q97" s="41"/>
      <c r="R97" s="41"/>
      <c r="S97" s="41"/>
      <c r="T97" s="41"/>
    </row>
    <row r="98" spans="1:21" ht="15.95">
      <c r="A98" s="30">
        <v>97</v>
      </c>
      <c r="B98" s="32"/>
      <c r="C98" s="32"/>
      <c r="D98" s="31"/>
      <c r="E98" s="32"/>
      <c r="F98" s="30"/>
      <c r="G98" s="30">
        <f>+_xlfn.XLOOKUP(GastoSueldos34[[#This Row],[Detalle del Gasto]],Personas_Cargos!C:C,Personas_Cargos!F:F,0,0,1)</f>
        <v>0</v>
      </c>
      <c r="H98" s="33">
        <f t="shared" si="7"/>
        <v>0</v>
      </c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</row>
    <row r="101" spans="1:21">
      <c r="H101" s="74" t="s">
        <v>468</v>
      </c>
      <c r="I101" s="64">
        <f>+COUNTIF(GastoSueldos34[ene-26],"&gt;0")</f>
        <v>89</v>
      </c>
      <c r="J101" s="64">
        <f>+COUNTIF(GastoSueldos34[feb-26],"&gt;0")</f>
        <v>84</v>
      </c>
      <c r="K101" s="64">
        <f>+COUNTIF(GastoSueldos34[mar-26],"&gt;0")</f>
        <v>73</v>
      </c>
      <c r="L101" s="64">
        <f>+COUNTIF(GastoSueldos34[abr-26],"&gt;0")</f>
        <v>70</v>
      </c>
      <c r="M101" s="64">
        <f>+COUNTIF(GastoSueldos34[may-26],"&gt;0")</f>
        <v>70</v>
      </c>
      <c r="N101" s="64">
        <f>+COUNTIF(GastoSueldos34[jun-26],"&gt;0")</f>
        <v>70</v>
      </c>
      <c r="O101" s="64">
        <f>+COUNTIF(GastoSueldos34[jul-26],"&gt;0")</f>
        <v>70</v>
      </c>
      <c r="P101" s="64">
        <f>+COUNTIF(GastoSueldos34[ago-26],"&gt;0")</f>
        <v>70</v>
      </c>
      <c r="Q101" s="64">
        <f>+COUNTIF(GastoSueldos34[sept-26],"&gt;0")</f>
        <v>71</v>
      </c>
      <c r="R101" s="64">
        <f>+COUNTIF(GastoSueldos34[oct-26],"&gt;0")</f>
        <v>70</v>
      </c>
      <c r="S101" s="64">
        <f>+COUNTIF(GastoSueldos34[nov-26],"&gt;0")</f>
        <v>70</v>
      </c>
      <c r="T101" s="64">
        <f>+COUNTIF(GastoSueldos34[dic-26],"&gt;0")</f>
        <v>70</v>
      </c>
      <c r="U101" s="59"/>
    </row>
    <row r="102" spans="1:21">
      <c r="M102" s="55"/>
    </row>
    <row r="103" spans="1:21">
      <c r="H103" t="s">
        <v>242</v>
      </c>
      <c r="I103">
        <f t="shared" ref="I103:T104" si="8">+COUNTIFS($C:$C,$H103,I:I,"&lt;&gt;")</f>
        <v>48</v>
      </c>
      <c r="J103">
        <f t="shared" si="8"/>
        <v>41</v>
      </c>
      <c r="K103">
        <f t="shared" si="8"/>
        <v>32</v>
      </c>
      <c r="L103">
        <f t="shared" si="8"/>
        <v>32</v>
      </c>
      <c r="M103">
        <f t="shared" si="8"/>
        <v>32</v>
      </c>
      <c r="N103">
        <f t="shared" si="8"/>
        <v>32</v>
      </c>
      <c r="O103">
        <f t="shared" si="8"/>
        <v>32</v>
      </c>
      <c r="P103">
        <f t="shared" si="8"/>
        <v>32</v>
      </c>
      <c r="Q103">
        <f t="shared" si="8"/>
        <v>32</v>
      </c>
      <c r="R103">
        <f t="shared" si="8"/>
        <v>32</v>
      </c>
      <c r="S103">
        <f t="shared" si="8"/>
        <v>32</v>
      </c>
      <c r="T103">
        <f t="shared" si="8"/>
        <v>32</v>
      </c>
    </row>
    <row r="104" spans="1:21">
      <c r="H104" t="s">
        <v>180</v>
      </c>
      <c r="I104">
        <f t="shared" si="8"/>
        <v>15</v>
      </c>
      <c r="J104">
        <f t="shared" si="8"/>
        <v>16</v>
      </c>
      <c r="K104">
        <f t="shared" si="8"/>
        <v>16</v>
      </c>
      <c r="L104">
        <f t="shared" si="8"/>
        <v>13</v>
      </c>
      <c r="M104">
        <f t="shared" si="8"/>
        <v>13</v>
      </c>
      <c r="N104">
        <f t="shared" si="8"/>
        <v>13</v>
      </c>
      <c r="O104">
        <f t="shared" si="8"/>
        <v>13</v>
      </c>
      <c r="P104">
        <f t="shared" si="8"/>
        <v>13</v>
      </c>
      <c r="Q104">
        <f t="shared" si="8"/>
        <v>13</v>
      </c>
      <c r="R104">
        <f t="shared" si="8"/>
        <v>13</v>
      </c>
      <c r="S104">
        <f t="shared" si="8"/>
        <v>13</v>
      </c>
      <c r="T104">
        <f t="shared" si="8"/>
        <v>13</v>
      </c>
    </row>
    <row r="105" spans="1:21">
      <c r="H105" s="74" t="s">
        <v>468</v>
      </c>
      <c r="I105" s="64">
        <f>+SUM(I103:I104)</f>
        <v>63</v>
      </c>
      <c r="J105" s="64">
        <f t="shared" ref="J105:T105" si="9">+SUM(J103:J104)</f>
        <v>57</v>
      </c>
      <c r="K105" s="64">
        <f t="shared" si="9"/>
        <v>48</v>
      </c>
      <c r="L105" s="64">
        <f>+SUM(L103:L104)</f>
        <v>45</v>
      </c>
      <c r="M105" s="64">
        <f t="shared" si="9"/>
        <v>45</v>
      </c>
      <c r="N105" s="64">
        <f t="shared" si="9"/>
        <v>45</v>
      </c>
      <c r="O105" s="64">
        <f t="shared" si="9"/>
        <v>45</v>
      </c>
      <c r="P105" s="64">
        <f t="shared" si="9"/>
        <v>45</v>
      </c>
      <c r="Q105" s="64">
        <f t="shared" si="9"/>
        <v>45</v>
      </c>
      <c r="R105" s="64">
        <f t="shared" si="9"/>
        <v>45</v>
      </c>
      <c r="S105" s="64">
        <f t="shared" si="9"/>
        <v>45</v>
      </c>
      <c r="T105" s="64">
        <f t="shared" si="9"/>
        <v>45</v>
      </c>
    </row>
    <row r="107" spans="1:21">
      <c r="H107" s="72" t="s">
        <v>490</v>
      </c>
      <c r="I107" s="59">
        <v>63.24</v>
      </c>
      <c r="J107" s="59">
        <v>53.32</v>
      </c>
      <c r="K107" s="59">
        <v>57.04</v>
      </c>
      <c r="L107" s="59">
        <v>68.2</v>
      </c>
      <c r="M107" s="59">
        <v>65.72</v>
      </c>
      <c r="N107" s="59">
        <v>64.48</v>
      </c>
      <c r="O107" s="59">
        <v>65.72</v>
      </c>
      <c r="P107" s="59">
        <v>68.2</v>
      </c>
      <c r="Q107" s="59">
        <v>68.2</v>
      </c>
      <c r="R107" s="59">
        <v>66.960000000000008</v>
      </c>
      <c r="S107" s="59">
        <v>64.48</v>
      </c>
      <c r="T107" s="59">
        <v>64.48</v>
      </c>
    </row>
    <row r="109" spans="1:21">
      <c r="H109" s="74" t="s">
        <v>491</v>
      </c>
      <c r="I109" s="75">
        <f>ROUNDUP(I107-I105,0)</f>
        <v>1</v>
      </c>
      <c r="J109" s="75">
        <f t="shared" ref="J109:T109" si="10">ROUNDUP(J107-J105,0)</f>
        <v>-4</v>
      </c>
      <c r="K109" s="75">
        <f t="shared" si="10"/>
        <v>10</v>
      </c>
      <c r="L109" s="75">
        <f t="shared" si="10"/>
        <v>24</v>
      </c>
      <c r="M109" s="75">
        <f t="shared" si="10"/>
        <v>21</v>
      </c>
      <c r="N109" s="75">
        <f t="shared" si="10"/>
        <v>20</v>
      </c>
      <c r="O109" s="75">
        <f t="shared" si="10"/>
        <v>21</v>
      </c>
      <c r="P109" s="75">
        <f t="shared" si="10"/>
        <v>24</v>
      </c>
      <c r="Q109" s="75">
        <f t="shared" si="10"/>
        <v>24</v>
      </c>
      <c r="R109" s="75">
        <f t="shared" si="10"/>
        <v>22</v>
      </c>
      <c r="S109" s="75">
        <f t="shared" si="10"/>
        <v>20</v>
      </c>
      <c r="T109" s="75">
        <f t="shared" si="10"/>
        <v>20</v>
      </c>
    </row>
    <row r="112" spans="1:21">
      <c r="F112" t="s">
        <v>492</v>
      </c>
      <c r="I112" t="s">
        <v>493</v>
      </c>
      <c r="J112" t="s">
        <v>494</v>
      </c>
      <c r="K112" t="s">
        <v>495</v>
      </c>
      <c r="L112" t="s">
        <v>496</v>
      </c>
      <c r="M112" t="s">
        <v>497</v>
      </c>
      <c r="N112" t="s">
        <v>498</v>
      </c>
      <c r="O112" t="s">
        <v>499</v>
      </c>
      <c r="P112" t="s">
        <v>500</v>
      </c>
      <c r="Q112" t="s">
        <v>501</v>
      </c>
      <c r="R112" t="s">
        <v>502</v>
      </c>
      <c r="S112" t="s">
        <v>503</v>
      </c>
      <c r="T112" t="s">
        <v>504</v>
      </c>
    </row>
    <row r="113" spans="6:20">
      <c r="F113" t="s">
        <v>505</v>
      </c>
      <c r="H113">
        <v>0.15</v>
      </c>
      <c r="I113" s="16">
        <v>3.8249999999999997</v>
      </c>
      <c r="J113" s="16">
        <v>3.2250000000000001</v>
      </c>
      <c r="K113" s="16">
        <v>3.4499999999999997</v>
      </c>
      <c r="L113" s="16">
        <v>4.125</v>
      </c>
      <c r="M113" s="16">
        <v>3.9749999999999996</v>
      </c>
      <c r="N113" s="16">
        <v>3.9</v>
      </c>
      <c r="O113" s="16">
        <v>3.9749999999999996</v>
      </c>
      <c r="P113" s="16">
        <v>4.125</v>
      </c>
      <c r="Q113" s="16">
        <v>4.125</v>
      </c>
      <c r="R113" s="16">
        <v>4.05</v>
      </c>
      <c r="S113" s="16">
        <v>3.9</v>
      </c>
      <c r="T113" s="16">
        <v>3.9</v>
      </c>
    </row>
    <row r="114" spans="6:20">
      <c r="F114" t="s">
        <v>481</v>
      </c>
      <c r="H114">
        <v>0.33</v>
      </c>
      <c r="I114" s="16">
        <v>8.4150000000000009</v>
      </c>
      <c r="J114" s="16">
        <v>7.0950000000000006</v>
      </c>
      <c r="K114" s="16">
        <v>7.5900000000000007</v>
      </c>
      <c r="L114" s="16">
        <v>9.0750000000000011</v>
      </c>
      <c r="M114" s="16">
        <v>8.745000000000001</v>
      </c>
      <c r="N114" s="16">
        <v>8.58</v>
      </c>
      <c r="O114" s="16">
        <v>8.745000000000001</v>
      </c>
      <c r="P114" s="16">
        <v>9.0750000000000011</v>
      </c>
      <c r="Q114" s="16">
        <v>9.0750000000000011</v>
      </c>
      <c r="R114" s="16">
        <v>8.91</v>
      </c>
      <c r="S114" s="16">
        <v>8.58</v>
      </c>
      <c r="T114" s="16">
        <v>8.58</v>
      </c>
    </row>
    <row r="115" spans="6:20">
      <c r="F115" t="s">
        <v>506</v>
      </c>
      <c r="H115">
        <v>0.5</v>
      </c>
      <c r="I115" s="16">
        <v>12.75</v>
      </c>
      <c r="J115" s="16">
        <v>10.75</v>
      </c>
      <c r="K115" s="16">
        <v>11.5</v>
      </c>
      <c r="L115" s="16">
        <v>13.75</v>
      </c>
      <c r="M115" s="16">
        <v>13.25</v>
      </c>
      <c r="N115" s="16">
        <v>13</v>
      </c>
      <c r="O115" s="16">
        <v>13.25</v>
      </c>
      <c r="P115" s="16">
        <v>13.75</v>
      </c>
      <c r="Q115" s="16">
        <v>13.75</v>
      </c>
      <c r="R115" s="16">
        <v>13.5</v>
      </c>
      <c r="S115" s="16">
        <v>13</v>
      </c>
      <c r="T115" s="16">
        <v>13</v>
      </c>
    </row>
    <row r="116" spans="6:20">
      <c r="F116" t="s">
        <v>507</v>
      </c>
      <c r="H116">
        <v>1.5</v>
      </c>
      <c r="I116" s="16">
        <v>38.25</v>
      </c>
      <c r="J116" s="16">
        <v>32.25</v>
      </c>
      <c r="K116" s="16">
        <v>34.5</v>
      </c>
      <c r="L116" s="16">
        <v>41.25</v>
      </c>
      <c r="M116" s="16">
        <v>39.75</v>
      </c>
      <c r="N116" s="16">
        <v>39</v>
      </c>
      <c r="O116" s="16">
        <v>39.75</v>
      </c>
      <c r="P116" s="16">
        <v>41.25</v>
      </c>
      <c r="Q116" s="16">
        <v>41.25</v>
      </c>
      <c r="R116" s="16">
        <v>40.5</v>
      </c>
      <c r="S116" s="16">
        <v>39</v>
      </c>
      <c r="T116" s="16">
        <v>39</v>
      </c>
    </row>
    <row r="117" spans="6:20">
      <c r="H117" t="s">
        <v>468</v>
      </c>
      <c r="I117" s="81">
        <f>+SUM(I113:I116)</f>
        <v>63.24</v>
      </c>
      <c r="J117" s="81">
        <f t="shared" ref="J117:T117" si="11">+SUM(J113:J116)</f>
        <v>53.32</v>
      </c>
      <c r="K117" s="81">
        <f t="shared" si="11"/>
        <v>57.04</v>
      </c>
      <c r="L117" s="81">
        <f t="shared" si="11"/>
        <v>68.2</v>
      </c>
      <c r="M117" s="81">
        <f t="shared" si="11"/>
        <v>65.72</v>
      </c>
      <c r="N117" s="81">
        <f t="shared" si="11"/>
        <v>64.48</v>
      </c>
      <c r="O117" s="81">
        <f t="shared" si="11"/>
        <v>65.72</v>
      </c>
      <c r="P117" s="81">
        <f t="shared" si="11"/>
        <v>68.2</v>
      </c>
      <c r="Q117" s="81">
        <f t="shared" si="11"/>
        <v>68.2</v>
      </c>
      <c r="R117" s="81">
        <f t="shared" si="11"/>
        <v>66.960000000000008</v>
      </c>
      <c r="S117" s="81">
        <f t="shared" si="11"/>
        <v>64.48</v>
      </c>
      <c r="T117" s="81">
        <f t="shared" si="11"/>
        <v>64.48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D47B8A-71F2-45B2-AE52-9F095159AB3E}">
  <dimension ref="A1:J71"/>
  <sheetViews>
    <sheetView zoomScale="90" zoomScaleNormal="90" workbookViewId="0">
      <selection activeCell="J21" sqref="J21"/>
    </sheetView>
  </sheetViews>
  <sheetFormatPr defaultColWidth="11.42578125" defaultRowHeight="14.45" outlineLevelCol="1"/>
  <cols>
    <col min="1" max="1" width="11.42578125" customWidth="1" outlineLevel="1"/>
    <col min="2" max="2" width="13.140625" customWidth="1" outlineLevel="1"/>
    <col min="3" max="3" width="29" customWidth="1" outlineLevel="1"/>
    <col min="4" max="6" width="15.85546875" customWidth="1" outlineLevel="1"/>
    <col min="8" max="8" width="32.7109375" bestFit="1" customWidth="1"/>
    <col min="9" max="10" width="29" bestFit="1" customWidth="1"/>
  </cols>
  <sheetData>
    <row r="1" spans="1:10">
      <c r="A1" t="s">
        <v>153</v>
      </c>
      <c r="B1" t="s">
        <v>209</v>
      </c>
      <c r="C1" t="s">
        <v>508</v>
      </c>
      <c r="D1" t="s">
        <v>509</v>
      </c>
      <c r="E1" s="80" t="s">
        <v>510</v>
      </c>
      <c r="F1" s="80" t="s">
        <v>479</v>
      </c>
      <c r="H1" s="44" t="s">
        <v>479</v>
      </c>
      <c r="I1" s="44" t="s">
        <v>509</v>
      </c>
      <c r="J1" s="44" t="s">
        <v>508</v>
      </c>
    </row>
    <row r="2" spans="1:10">
      <c r="A2" t="s">
        <v>141</v>
      </c>
      <c r="B2" t="s">
        <v>242</v>
      </c>
      <c r="C2" t="s">
        <v>358</v>
      </c>
      <c r="D2" t="s">
        <v>511</v>
      </c>
      <c r="E2" s="79" t="s">
        <v>511</v>
      </c>
      <c r="F2" s="79" t="s">
        <v>511</v>
      </c>
      <c r="H2" t="s">
        <v>480</v>
      </c>
      <c r="I2" t="s">
        <v>512</v>
      </c>
      <c r="J2" t="s">
        <v>147</v>
      </c>
    </row>
    <row r="3" spans="1:10">
      <c r="A3" t="s">
        <v>133</v>
      </c>
      <c r="B3" t="s">
        <v>242</v>
      </c>
      <c r="C3" t="s">
        <v>359</v>
      </c>
      <c r="D3" t="s">
        <v>512</v>
      </c>
      <c r="E3" s="79" t="s">
        <v>513</v>
      </c>
      <c r="F3" s="79" t="s">
        <v>480</v>
      </c>
      <c r="J3" t="s">
        <v>360</v>
      </c>
    </row>
    <row r="4" spans="1:10">
      <c r="A4" t="s">
        <v>133</v>
      </c>
      <c r="B4" t="s">
        <v>242</v>
      </c>
      <c r="C4" t="s">
        <v>360</v>
      </c>
      <c r="D4" t="s">
        <v>512</v>
      </c>
      <c r="E4" s="79" t="s">
        <v>513</v>
      </c>
      <c r="F4" s="79" t="s">
        <v>480</v>
      </c>
      <c r="J4" t="s">
        <v>359</v>
      </c>
    </row>
    <row r="5" spans="1:10">
      <c r="A5" t="s">
        <v>133</v>
      </c>
      <c r="B5" t="s">
        <v>242</v>
      </c>
      <c r="C5" s="78" t="s">
        <v>361</v>
      </c>
      <c r="D5" t="s">
        <v>505</v>
      </c>
      <c r="E5" s="79" t="s">
        <v>514</v>
      </c>
      <c r="F5" s="79" t="s">
        <v>482</v>
      </c>
      <c r="J5" t="s">
        <v>363</v>
      </c>
    </row>
    <row r="6" spans="1:10">
      <c r="A6" t="s">
        <v>133</v>
      </c>
      <c r="B6" t="s">
        <v>180</v>
      </c>
      <c r="C6" t="s">
        <v>147</v>
      </c>
      <c r="D6" t="s">
        <v>512</v>
      </c>
      <c r="E6" s="79" t="s">
        <v>513</v>
      </c>
      <c r="F6" s="79" t="s">
        <v>480</v>
      </c>
      <c r="H6" t="s">
        <v>481</v>
      </c>
      <c r="I6" t="s">
        <v>505</v>
      </c>
      <c r="J6" t="s">
        <v>365</v>
      </c>
    </row>
    <row r="7" spans="1:10">
      <c r="A7" t="s">
        <v>133</v>
      </c>
      <c r="B7" t="s">
        <v>180</v>
      </c>
      <c r="C7" t="s">
        <v>362</v>
      </c>
      <c r="D7" t="s">
        <v>515</v>
      </c>
      <c r="E7" s="79" t="s">
        <v>516</v>
      </c>
      <c r="F7" s="79" t="s">
        <v>482</v>
      </c>
      <c r="J7" t="s">
        <v>368</v>
      </c>
    </row>
    <row r="8" spans="1:10">
      <c r="A8" t="s">
        <v>133</v>
      </c>
      <c r="B8" t="s">
        <v>242</v>
      </c>
      <c r="C8" t="s">
        <v>363</v>
      </c>
      <c r="D8" t="s">
        <v>512</v>
      </c>
      <c r="E8" s="79" t="s">
        <v>513</v>
      </c>
      <c r="F8" s="79" t="s">
        <v>480</v>
      </c>
      <c r="I8" t="s">
        <v>515</v>
      </c>
      <c r="J8" t="s">
        <v>372</v>
      </c>
    </row>
    <row r="9" spans="1:10">
      <c r="A9" t="s">
        <v>133</v>
      </c>
      <c r="B9" t="s">
        <v>242</v>
      </c>
      <c r="C9" t="s">
        <v>364</v>
      </c>
      <c r="D9" t="s">
        <v>515</v>
      </c>
      <c r="E9" s="79" t="s">
        <v>516</v>
      </c>
      <c r="F9" s="79" t="s">
        <v>482</v>
      </c>
      <c r="J9" t="s">
        <v>369</v>
      </c>
    </row>
    <row r="10" spans="1:10">
      <c r="A10" t="s">
        <v>133</v>
      </c>
      <c r="B10" t="s">
        <v>242</v>
      </c>
      <c r="C10" t="s">
        <v>365</v>
      </c>
      <c r="D10" t="s">
        <v>505</v>
      </c>
      <c r="E10" s="79" t="s">
        <v>514</v>
      </c>
      <c r="F10" s="79" t="s">
        <v>481</v>
      </c>
      <c r="I10" t="s">
        <v>517</v>
      </c>
      <c r="J10" t="s">
        <v>425</v>
      </c>
    </row>
    <row r="11" spans="1:10">
      <c r="A11" t="s">
        <v>133</v>
      </c>
      <c r="B11" t="s">
        <v>180</v>
      </c>
      <c r="C11" t="s">
        <v>366</v>
      </c>
      <c r="D11" t="s">
        <v>505</v>
      </c>
      <c r="E11" s="79" t="s">
        <v>514</v>
      </c>
      <c r="F11" s="79" t="s">
        <v>482</v>
      </c>
      <c r="J11" t="s">
        <v>383</v>
      </c>
    </row>
    <row r="12" spans="1:10">
      <c r="A12" t="s">
        <v>133</v>
      </c>
      <c r="B12" t="s">
        <v>242</v>
      </c>
      <c r="C12" s="77" t="s">
        <v>367</v>
      </c>
      <c r="D12" t="s">
        <v>505</v>
      </c>
      <c r="E12" s="79" t="s">
        <v>514</v>
      </c>
      <c r="F12" s="79" t="s">
        <v>482</v>
      </c>
      <c r="J12" t="s">
        <v>393</v>
      </c>
    </row>
    <row r="13" spans="1:10">
      <c r="A13" t="s">
        <v>133</v>
      </c>
      <c r="B13" t="s">
        <v>242</v>
      </c>
      <c r="C13" t="s">
        <v>368</v>
      </c>
      <c r="D13" t="s">
        <v>505</v>
      </c>
      <c r="E13" s="79" t="s">
        <v>514</v>
      </c>
      <c r="F13" s="79" t="s">
        <v>481</v>
      </c>
      <c r="J13" t="s">
        <v>379</v>
      </c>
    </row>
    <row r="14" spans="1:10">
      <c r="A14" t="s">
        <v>133</v>
      </c>
      <c r="B14" t="s">
        <v>242</v>
      </c>
      <c r="C14" t="s">
        <v>369</v>
      </c>
      <c r="D14" t="s">
        <v>515</v>
      </c>
      <c r="E14" s="79" t="s">
        <v>516</v>
      </c>
      <c r="F14" s="79" t="s">
        <v>481</v>
      </c>
      <c r="H14" t="s">
        <v>482</v>
      </c>
      <c r="I14" t="s">
        <v>505</v>
      </c>
      <c r="J14" t="s">
        <v>366</v>
      </c>
    </row>
    <row r="15" spans="1:10">
      <c r="A15" t="s">
        <v>133</v>
      </c>
      <c r="B15" t="s">
        <v>242</v>
      </c>
      <c r="C15" t="s">
        <v>370</v>
      </c>
      <c r="D15" t="s">
        <v>515</v>
      </c>
      <c r="E15" s="79" t="s">
        <v>516</v>
      </c>
      <c r="F15" s="79" t="s">
        <v>482</v>
      </c>
      <c r="J15" t="s">
        <v>367</v>
      </c>
    </row>
    <row r="16" spans="1:10">
      <c r="A16" t="s">
        <v>133</v>
      </c>
      <c r="B16" t="s">
        <v>242</v>
      </c>
      <c r="C16" t="s">
        <v>371</v>
      </c>
      <c r="E16" s="79"/>
      <c r="F16" s="79"/>
      <c r="J16" t="s">
        <v>442</v>
      </c>
    </row>
    <row r="17" spans="1:10">
      <c r="A17" t="s">
        <v>135</v>
      </c>
      <c r="B17" t="s">
        <v>242</v>
      </c>
      <c r="C17" t="s">
        <v>372</v>
      </c>
      <c r="D17" t="s">
        <v>515</v>
      </c>
      <c r="E17" s="79" t="s">
        <v>516</v>
      </c>
      <c r="F17" s="79" t="s">
        <v>481</v>
      </c>
      <c r="J17" t="s">
        <v>361</v>
      </c>
    </row>
    <row r="18" spans="1:10">
      <c r="A18" t="s">
        <v>141</v>
      </c>
      <c r="B18" t="s">
        <v>242</v>
      </c>
      <c r="C18" t="s">
        <v>373</v>
      </c>
      <c r="E18" s="79"/>
      <c r="F18" s="79"/>
      <c r="I18" t="s">
        <v>515</v>
      </c>
      <c r="J18" t="s">
        <v>364</v>
      </c>
    </row>
    <row r="19" spans="1:10">
      <c r="A19" t="s">
        <v>133</v>
      </c>
      <c r="B19" t="s">
        <v>242</v>
      </c>
      <c r="C19" t="s">
        <v>374</v>
      </c>
      <c r="D19" t="s">
        <v>518</v>
      </c>
      <c r="E19" s="79" t="s">
        <v>482</v>
      </c>
      <c r="F19" s="79" t="s">
        <v>482</v>
      </c>
      <c r="J19" t="s">
        <v>362</v>
      </c>
    </row>
    <row r="20" spans="1:10">
      <c r="A20" t="s">
        <v>133</v>
      </c>
      <c r="B20" t="s">
        <v>242</v>
      </c>
      <c r="C20" t="s">
        <v>378</v>
      </c>
      <c r="D20" t="s">
        <v>518</v>
      </c>
      <c r="E20" s="79" t="s">
        <v>482</v>
      </c>
      <c r="F20" s="79" t="s">
        <v>482</v>
      </c>
      <c r="J20" t="s">
        <v>370</v>
      </c>
    </row>
    <row r="21" spans="1:10">
      <c r="A21" t="s">
        <v>133</v>
      </c>
      <c r="B21" t="s">
        <v>242</v>
      </c>
      <c r="C21" t="s">
        <v>379</v>
      </c>
      <c r="D21" t="s">
        <v>517</v>
      </c>
      <c r="E21" s="79" t="s">
        <v>516</v>
      </c>
      <c r="F21" s="79" t="s">
        <v>481</v>
      </c>
      <c r="I21" t="s">
        <v>517</v>
      </c>
      <c r="J21" t="s">
        <v>397</v>
      </c>
    </row>
    <row r="22" spans="1:10">
      <c r="A22" t="s">
        <v>133</v>
      </c>
      <c r="B22" t="s">
        <v>242</v>
      </c>
      <c r="C22" t="s">
        <v>380</v>
      </c>
      <c r="D22" t="s">
        <v>518</v>
      </c>
      <c r="E22" s="79" t="s">
        <v>482</v>
      </c>
      <c r="F22" s="79" t="s">
        <v>482</v>
      </c>
      <c r="I22" t="s">
        <v>518</v>
      </c>
      <c r="J22" t="s">
        <v>431</v>
      </c>
    </row>
    <row r="23" spans="1:10">
      <c r="A23" t="s">
        <v>133</v>
      </c>
      <c r="B23" t="s">
        <v>242</v>
      </c>
      <c r="C23" t="s">
        <v>381</v>
      </c>
      <c r="D23" t="s">
        <v>518</v>
      </c>
      <c r="E23" s="79" t="s">
        <v>482</v>
      </c>
      <c r="F23" s="79" t="s">
        <v>482</v>
      </c>
      <c r="J23" t="s">
        <v>414</v>
      </c>
    </row>
    <row r="24" spans="1:10">
      <c r="A24" t="s">
        <v>133</v>
      </c>
      <c r="B24" t="s">
        <v>242</v>
      </c>
      <c r="C24" t="s">
        <v>382</v>
      </c>
      <c r="D24" t="s">
        <v>518</v>
      </c>
      <c r="E24" s="79" t="s">
        <v>482</v>
      </c>
      <c r="F24" s="79" t="s">
        <v>482</v>
      </c>
      <c r="J24" t="s">
        <v>387</v>
      </c>
    </row>
    <row r="25" spans="1:10">
      <c r="A25" t="s">
        <v>133</v>
      </c>
      <c r="B25" t="s">
        <v>242</v>
      </c>
      <c r="C25" t="s">
        <v>383</v>
      </c>
      <c r="D25" t="s">
        <v>517</v>
      </c>
      <c r="E25" s="79" t="s">
        <v>516</v>
      </c>
      <c r="F25" s="79" t="s">
        <v>481</v>
      </c>
      <c r="J25" t="s">
        <v>430</v>
      </c>
    </row>
    <row r="26" spans="1:10">
      <c r="A26" t="s">
        <v>133</v>
      </c>
      <c r="B26" t="s">
        <v>242</v>
      </c>
      <c r="C26" t="s">
        <v>384</v>
      </c>
      <c r="D26" t="s">
        <v>518</v>
      </c>
      <c r="E26" s="79" t="s">
        <v>482</v>
      </c>
      <c r="F26" s="79" t="s">
        <v>482</v>
      </c>
      <c r="J26" t="s">
        <v>421</v>
      </c>
    </row>
    <row r="27" spans="1:10">
      <c r="A27" t="s">
        <v>133</v>
      </c>
      <c r="B27" t="s">
        <v>242</v>
      </c>
      <c r="C27" t="s">
        <v>385</v>
      </c>
      <c r="D27" t="s">
        <v>518</v>
      </c>
      <c r="E27" s="79" t="s">
        <v>482</v>
      </c>
      <c r="F27" s="79" t="s">
        <v>482</v>
      </c>
      <c r="J27" t="s">
        <v>403</v>
      </c>
    </row>
    <row r="28" spans="1:10">
      <c r="A28" t="s">
        <v>133</v>
      </c>
      <c r="B28" t="s">
        <v>242</v>
      </c>
      <c r="C28" t="s">
        <v>387</v>
      </c>
      <c r="D28" t="s">
        <v>518</v>
      </c>
      <c r="E28" s="79" t="s">
        <v>482</v>
      </c>
      <c r="F28" s="79" t="s">
        <v>482</v>
      </c>
      <c r="J28" t="s">
        <v>390</v>
      </c>
    </row>
    <row r="29" spans="1:10">
      <c r="A29" t="s">
        <v>133</v>
      </c>
      <c r="B29" t="s">
        <v>242</v>
      </c>
      <c r="C29" t="s">
        <v>388</v>
      </c>
      <c r="D29" t="s">
        <v>518</v>
      </c>
      <c r="E29" s="79" t="s">
        <v>482</v>
      </c>
      <c r="F29" s="79" t="s">
        <v>482</v>
      </c>
      <c r="J29" t="s">
        <v>394</v>
      </c>
    </row>
    <row r="30" spans="1:10">
      <c r="A30" t="s">
        <v>135</v>
      </c>
      <c r="B30" t="s">
        <v>242</v>
      </c>
      <c r="C30" t="s">
        <v>390</v>
      </c>
      <c r="D30" t="s">
        <v>518</v>
      </c>
      <c r="E30" s="79" t="s">
        <v>482</v>
      </c>
      <c r="F30" s="79" t="s">
        <v>482</v>
      </c>
      <c r="J30" t="s">
        <v>409</v>
      </c>
    </row>
    <row r="31" spans="1:10">
      <c r="A31" t="s">
        <v>133</v>
      </c>
      <c r="B31" t="s">
        <v>242</v>
      </c>
      <c r="C31" t="s">
        <v>391</v>
      </c>
      <c r="D31" t="s">
        <v>518</v>
      </c>
      <c r="E31" s="79" t="s">
        <v>482</v>
      </c>
      <c r="F31" s="79" t="s">
        <v>482</v>
      </c>
      <c r="J31" t="s">
        <v>429</v>
      </c>
    </row>
    <row r="32" spans="1:10">
      <c r="A32" t="s">
        <v>133</v>
      </c>
      <c r="B32" t="s">
        <v>180</v>
      </c>
      <c r="C32" t="s">
        <v>392</v>
      </c>
      <c r="E32" s="79"/>
      <c r="F32" s="79"/>
      <c r="J32" t="s">
        <v>384</v>
      </c>
    </row>
    <row r="33" spans="1:10">
      <c r="A33" t="s">
        <v>135</v>
      </c>
      <c r="B33" t="s">
        <v>242</v>
      </c>
      <c r="C33" s="77" t="s">
        <v>393</v>
      </c>
      <c r="D33" t="s">
        <v>517</v>
      </c>
      <c r="E33" s="79" t="s">
        <v>516</v>
      </c>
      <c r="F33" s="79" t="s">
        <v>481</v>
      </c>
      <c r="J33" t="s">
        <v>404</v>
      </c>
    </row>
    <row r="34" spans="1:10">
      <c r="A34" t="s">
        <v>133</v>
      </c>
      <c r="B34" t="s">
        <v>242</v>
      </c>
      <c r="C34" t="s">
        <v>394</v>
      </c>
      <c r="D34" t="s">
        <v>518</v>
      </c>
      <c r="E34" s="79" t="s">
        <v>482</v>
      </c>
      <c r="F34" s="79" t="s">
        <v>482</v>
      </c>
      <c r="J34" t="s">
        <v>396</v>
      </c>
    </row>
    <row r="35" spans="1:10">
      <c r="A35" t="s">
        <v>133</v>
      </c>
      <c r="B35" t="s">
        <v>242</v>
      </c>
      <c r="C35" t="s">
        <v>396</v>
      </c>
      <c r="D35" t="s">
        <v>518</v>
      </c>
      <c r="E35" s="79" t="s">
        <v>482</v>
      </c>
      <c r="F35" s="79" t="s">
        <v>482</v>
      </c>
      <c r="J35" t="s">
        <v>382</v>
      </c>
    </row>
    <row r="36" spans="1:10">
      <c r="A36" t="s">
        <v>135</v>
      </c>
      <c r="B36" t="s">
        <v>180</v>
      </c>
      <c r="C36" t="s">
        <v>397</v>
      </c>
      <c r="D36" t="s">
        <v>517</v>
      </c>
      <c r="E36" s="79" t="s">
        <v>516</v>
      </c>
      <c r="F36" s="79" t="s">
        <v>482</v>
      </c>
      <c r="J36" t="s">
        <v>388</v>
      </c>
    </row>
    <row r="37" spans="1:10">
      <c r="A37" t="s">
        <v>135</v>
      </c>
      <c r="B37" t="s">
        <v>180</v>
      </c>
      <c r="C37" t="s">
        <v>398</v>
      </c>
      <c r="D37" t="s">
        <v>518</v>
      </c>
      <c r="E37" s="79" t="s">
        <v>482</v>
      </c>
      <c r="F37" s="79" t="s">
        <v>482</v>
      </c>
      <c r="J37" t="s">
        <v>378</v>
      </c>
    </row>
    <row r="38" spans="1:10">
      <c r="A38" t="s">
        <v>135</v>
      </c>
      <c r="B38" t="s">
        <v>180</v>
      </c>
      <c r="C38" t="s">
        <v>399</v>
      </c>
      <c r="D38" t="s">
        <v>518</v>
      </c>
      <c r="E38" s="79" t="s">
        <v>482</v>
      </c>
      <c r="F38" s="79" t="s">
        <v>482</v>
      </c>
      <c r="J38" t="s">
        <v>385</v>
      </c>
    </row>
    <row r="39" spans="1:10">
      <c r="A39" t="s">
        <v>135</v>
      </c>
      <c r="B39" t="s">
        <v>180</v>
      </c>
      <c r="C39" t="s">
        <v>400</v>
      </c>
      <c r="D39" t="s">
        <v>518</v>
      </c>
      <c r="E39" s="79" t="s">
        <v>482</v>
      </c>
      <c r="F39" s="79" t="s">
        <v>482</v>
      </c>
      <c r="J39" t="s">
        <v>374</v>
      </c>
    </row>
    <row r="40" spans="1:10">
      <c r="A40" t="s">
        <v>133</v>
      </c>
      <c r="B40" t="s">
        <v>242</v>
      </c>
      <c r="C40" t="s">
        <v>401</v>
      </c>
      <c r="D40" t="s">
        <v>518</v>
      </c>
      <c r="E40" s="79" t="s">
        <v>482</v>
      </c>
      <c r="F40" s="79" t="s">
        <v>482</v>
      </c>
      <c r="J40" t="s">
        <v>410</v>
      </c>
    </row>
    <row r="41" spans="1:10">
      <c r="A41" t="s">
        <v>133</v>
      </c>
      <c r="B41" t="s">
        <v>242</v>
      </c>
      <c r="C41" t="s">
        <v>403</v>
      </c>
      <c r="D41" t="s">
        <v>518</v>
      </c>
      <c r="E41" s="79" t="s">
        <v>482</v>
      </c>
      <c r="F41" s="79" t="s">
        <v>482</v>
      </c>
      <c r="J41" t="s">
        <v>419</v>
      </c>
    </row>
    <row r="42" spans="1:10">
      <c r="A42" t="s">
        <v>133</v>
      </c>
      <c r="B42" t="s">
        <v>180</v>
      </c>
      <c r="C42" t="s">
        <v>404</v>
      </c>
      <c r="D42" t="s">
        <v>518</v>
      </c>
      <c r="E42" s="79" t="s">
        <v>482</v>
      </c>
      <c r="F42" s="79" t="s">
        <v>482</v>
      </c>
      <c r="J42" t="s">
        <v>444</v>
      </c>
    </row>
    <row r="43" spans="1:10">
      <c r="A43" t="s">
        <v>133</v>
      </c>
      <c r="B43" t="s">
        <v>242</v>
      </c>
      <c r="C43" t="s">
        <v>406</v>
      </c>
      <c r="D43" t="s">
        <v>518</v>
      </c>
      <c r="E43" s="79" t="s">
        <v>482</v>
      </c>
      <c r="F43" s="79" t="s">
        <v>482</v>
      </c>
      <c r="J43" t="s">
        <v>423</v>
      </c>
    </row>
    <row r="44" spans="1:10">
      <c r="A44" t="s">
        <v>135</v>
      </c>
      <c r="B44" t="s">
        <v>242</v>
      </c>
      <c r="C44" t="s">
        <v>407</v>
      </c>
      <c r="D44" t="s">
        <v>518</v>
      </c>
      <c r="E44" s="79" t="s">
        <v>482</v>
      </c>
      <c r="F44" s="79" t="s">
        <v>482</v>
      </c>
      <c r="J44" t="s">
        <v>426</v>
      </c>
    </row>
    <row r="45" spans="1:10">
      <c r="A45" t="s">
        <v>133</v>
      </c>
      <c r="B45" t="s">
        <v>242</v>
      </c>
      <c r="C45" t="s">
        <v>408</v>
      </c>
      <c r="D45" t="s">
        <v>518</v>
      </c>
      <c r="E45" s="79" t="s">
        <v>482</v>
      </c>
      <c r="F45" s="79" t="s">
        <v>482</v>
      </c>
      <c r="J45" t="s">
        <v>381</v>
      </c>
    </row>
    <row r="46" spans="1:10">
      <c r="A46" t="s">
        <v>133</v>
      </c>
      <c r="B46" t="s">
        <v>242</v>
      </c>
      <c r="C46" t="s">
        <v>409</v>
      </c>
      <c r="D46" t="s">
        <v>518</v>
      </c>
      <c r="E46" s="79" t="s">
        <v>482</v>
      </c>
      <c r="F46" s="79" t="s">
        <v>482</v>
      </c>
      <c r="J46" t="s">
        <v>411</v>
      </c>
    </row>
    <row r="47" spans="1:10">
      <c r="A47" t="s">
        <v>133</v>
      </c>
      <c r="B47" t="s">
        <v>180</v>
      </c>
      <c r="C47" t="s">
        <v>410</v>
      </c>
      <c r="D47" t="s">
        <v>518</v>
      </c>
      <c r="E47" s="79" t="s">
        <v>482</v>
      </c>
      <c r="F47" s="79" t="s">
        <v>482</v>
      </c>
      <c r="J47" t="s">
        <v>422</v>
      </c>
    </row>
    <row r="48" spans="1:10">
      <c r="A48" t="s">
        <v>133</v>
      </c>
      <c r="B48" t="s">
        <v>242</v>
      </c>
      <c r="C48" t="s">
        <v>411</v>
      </c>
      <c r="D48" t="s">
        <v>518</v>
      </c>
      <c r="E48" s="79" t="s">
        <v>482</v>
      </c>
      <c r="F48" s="79" t="s">
        <v>482</v>
      </c>
      <c r="J48" t="s">
        <v>428</v>
      </c>
    </row>
    <row r="49" spans="1:10">
      <c r="A49" t="s">
        <v>133</v>
      </c>
      <c r="B49" t="s">
        <v>242</v>
      </c>
      <c r="C49" t="s">
        <v>414</v>
      </c>
      <c r="D49" t="s">
        <v>518</v>
      </c>
      <c r="E49" s="79" t="s">
        <v>482</v>
      </c>
      <c r="F49" s="79" t="s">
        <v>482</v>
      </c>
      <c r="J49" t="s">
        <v>408</v>
      </c>
    </row>
    <row r="50" spans="1:10">
      <c r="A50" t="s">
        <v>133</v>
      </c>
      <c r="B50" t="s">
        <v>242</v>
      </c>
      <c r="C50" t="s">
        <v>416</v>
      </c>
      <c r="D50" t="s">
        <v>518</v>
      </c>
      <c r="E50" s="79" t="s">
        <v>482</v>
      </c>
      <c r="F50" s="79" t="s">
        <v>482</v>
      </c>
      <c r="J50" t="s">
        <v>427</v>
      </c>
    </row>
    <row r="51" spans="1:10">
      <c r="A51" t="s">
        <v>135</v>
      </c>
      <c r="B51" t="s">
        <v>242</v>
      </c>
      <c r="C51" t="s">
        <v>419</v>
      </c>
      <c r="D51" t="s">
        <v>518</v>
      </c>
      <c r="E51" s="79" t="s">
        <v>482</v>
      </c>
      <c r="F51" s="79" t="s">
        <v>482</v>
      </c>
      <c r="J51" t="s">
        <v>380</v>
      </c>
    </row>
    <row r="52" spans="1:10">
      <c r="A52" t="s">
        <v>133</v>
      </c>
      <c r="B52" t="s">
        <v>242</v>
      </c>
      <c r="C52" t="s">
        <v>420</v>
      </c>
      <c r="D52" t="s">
        <v>518</v>
      </c>
      <c r="E52" s="79" t="s">
        <v>482</v>
      </c>
      <c r="F52" s="79" t="s">
        <v>482</v>
      </c>
      <c r="J52" t="s">
        <v>400</v>
      </c>
    </row>
    <row r="53" spans="1:10">
      <c r="A53" t="s">
        <v>133</v>
      </c>
      <c r="B53" t="s">
        <v>242</v>
      </c>
      <c r="C53" t="s">
        <v>421</v>
      </c>
      <c r="D53" t="s">
        <v>518</v>
      </c>
      <c r="E53" s="79" t="s">
        <v>482</v>
      </c>
      <c r="F53" s="79" t="s">
        <v>482</v>
      </c>
      <c r="J53" t="s">
        <v>432</v>
      </c>
    </row>
    <row r="54" spans="1:10">
      <c r="A54" t="s">
        <v>133</v>
      </c>
      <c r="B54" t="s">
        <v>180</v>
      </c>
      <c r="C54" t="s">
        <v>422</v>
      </c>
      <c r="D54" t="s">
        <v>518</v>
      </c>
      <c r="E54" s="79" t="s">
        <v>482</v>
      </c>
      <c r="F54" s="79" t="s">
        <v>482</v>
      </c>
      <c r="J54" t="s">
        <v>436</v>
      </c>
    </row>
    <row r="55" spans="1:10">
      <c r="A55" t="s">
        <v>133</v>
      </c>
      <c r="B55" t="s">
        <v>242</v>
      </c>
      <c r="C55" t="s">
        <v>423</v>
      </c>
      <c r="D55" t="s">
        <v>518</v>
      </c>
      <c r="E55" s="79" t="s">
        <v>482</v>
      </c>
      <c r="F55" s="79" t="s">
        <v>482</v>
      </c>
      <c r="J55" t="s">
        <v>416</v>
      </c>
    </row>
    <row r="56" spans="1:10">
      <c r="A56" t="s">
        <v>133</v>
      </c>
      <c r="B56" t="s">
        <v>242</v>
      </c>
      <c r="C56" t="s">
        <v>424</v>
      </c>
      <c r="D56" t="s">
        <v>518</v>
      </c>
      <c r="E56" s="79" t="s">
        <v>482</v>
      </c>
      <c r="F56" s="79" t="s">
        <v>482</v>
      </c>
      <c r="J56" t="s">
        <v>399</v>
      </c>
    </row>
    <row r="57" spans="1:10">
      <c r="A57" t="s">
        <v>135</v>
      </c>
      <c r="B57" t="s">
        <v>242</v>
      </c>
      <c r="C57" t="s">
        <v>425</v>
      </c>
      <c r="D57" t="s">
        <v>517</v>
      </c>
      <c r="E57" s="79" t="s">
        <v>516</v>
      </c>
      <c r="F57" s="79" t="s">
        <v>481</v>
      </c>
      <c r="J57" t="s">
        <v>434</v>
      </c>
    </row>
    <row r="58" spans="1:10">
      <c r="A58" t="s">
        <v>133</v>
      </c>
      <c r="B58" t="s">
        <v>242</v>
      </c>
      <c r="C58" t="s">
        <v>426</v>
      </c>
      <c r="D58" t="s">
        <v>518</v>
      </c>
      <c r="E58" s="79" t="s">
        <v>482</v>
      </c>
      <c r="F58" s="79" t="s">
        <v>482</v>
      </c>
      <c r="J58" t="s">
        <v>424</v>
      </c>
    </row>
    <row r="59" spans="1:10">
      <c r="A59" t="s">
        <v>135</v>
      </c>
      <c r="B59" t="s">
        <v>180</v>
      </c>
      <c r="C59" t="s">
        <v>427</v>
      </c>
      <c r="D59" t="s">
        <v>518</v>
      </c>
      <c r="E59" s="79" t="s">
        <v>482</v>
      </c>
      <c r="F59" s="79" t="s">
        <v>482</v>
      </c>
      <c r="J59" t="s">
        <v>439</v>
      </c>
    </row>
    <row r="60" spans="1:10">
      <c r="A60" t="s">
        <v>135</v>
      </c>
      <c r="B60" t="s">
        <v>242</v>
      </c>
      <c r="C60" t="s">
        <v>428</v>
      </c>
      <c r="D60" t="s">
        <v>518</v>
      </c>
      <c r="E60" s="79" t="s">
        <v>482</v>
      </c>
      <c r="F60" s="79" t="s">
        <v>482</v>
      </c>
      <c r="J60" t="s">
        <v>398</v>
      </c>
    </row>
    <row r="61" spans="1:10">
      <c r="A61" t="s">
        <v>133</v>
      </c>
      <c r="B61" t="s">
        <v>242</v>
      </c>
      <c r="C61" t="s">
        <v>429</v>
      </c>
      <c r="D61" t="s">
        <v>518</v>
      </c>
      <c r="E61" s="79" t="s">
        <v>482</v>
      </c>
      <c r="F61" s="79" t="s">
        <v>482</v>
      </c>
      <c r="J61" t="s">
        <v>440</v>
      </c>
    </row>
    <row r="62" spans="1:10">
      <c r="A62" t="s">
        <v>135</v>
      </c>
      <c r="B62" t="s">
        <v>242</v>
      </c>
      <c r="C62" t="s">
        <v>430</v>
      </c>
      <c r="D62" t="s">
        <v>518</v>
      </c>
      <c r="E62" s="79" t="s">
        <v>482</v>
      </c>
      <c r="F62" s="79" t="s">
        <v>482</v>
      </c>
      <c r="J62" t="s">
        <v>401</v>
      </c>
    </row>
    <row r="63" spans="1:10">
      <c r="A63" t="s">
        <v>133</v>
      </c>
      <c r="B63" t="s">
        <v>242</v>
      </c>
      <c r="C63" t="s">
        <v>431</v>
      </c>
      <c r="D63" t="s">
        <v>518</v>
      </c>
      <c r="E63" s="79" t="s">
        <v>482</v>
      </c>
      <c r="F63" s="79" t="s">
        <v>482</v>
      </c>
      <c r="J63" t="s">
        <v>391</v>
      </c>
    </row>
    <row r="64" spans="1:10">
      <c r="A64" t="s">
        <v>135</v>
      </c>
      <c r="B64" t="s">
        <v>180</v>
      </c>
      <c r="C64" t="s">
        <v>432</v>
      </c>
      <c r="D64" t="s">
        <v>518</v>
      </c>
      <c r="E64" s="79" t="s">
        <v>482</v>
      </c>
      <c r="F64" s="79" t="s">
        <v>482</v>
      </c>
      <c r="J64" t="s">
        <v>420</v>
      </c>
    </row>
    <row r="65" spans="1:10">
      <c r="A65" t="s">
        <v>135</v>
      </c>
      <c r="B65" t="s">
        <v>242</v>
      </c>
      <c r="C65" t="s">
        <v>434</v>
      </c>
      <c r="D65" t="s">
        <v>518</v>
      </c>
      <c r="E65" s="79" t="s">
        <v>482</v>
      </c>
      <c r="F65" s="79" t="s">
        <v>482</v>
      </c>
      <c r="J65" t="s">
        <v>406</v>
      </c>
    </row>
    <row r="66" spans="1:10">
      <c r="A66" t="s">
        <v>135</v>
      </c>
      <c r="B66" t="s">
        <v>180</v>
      </c>
      <c r="C66" t="s">
        <v>436</v>
      </c>
      <c r="D66" t="s">
        <v>518</v>
      </c>
      <c r="E66" s="79" t="s">
        <v>482</v>
      </c>
      <c r="F66" s="79" t="s">
        <v>482</v>
      </c>
      <c r="J66" t="s">
        <v>446</v>
      </c>
    </row>
    <row r="67" spans="1:10">
      <c r="A67" t="s">
        <v>135</v>
      </c>
      <c r="B67" t="s">
        <v>180</v>
      </c>
      <c r="C67" t="s">
        <v>439</v>
      </c>
      <c r="D67" t="s">
        <v>518</v>
      </c>
      <c r="E67" s="79" t="s">
        <v>482</v>
      </c>
      <c r="F67" s="79" t="s">
        <v>482</v>
      </c>
      <c r="J67" t="s">
        <v>407</v>
      </c>
    </row>
    <row r="68" spans="1:10">
      <c r="A68" t="s">
        <v>135</v>
      </c>
      <c r="B68" t="s">
        <v>180</v>
      </c>
      <c r="C68" t="s">
        <v>440</v>
      </c>
      <c r="D68" t="s">
        <v>518</v>
      </c>
      <c r="E68" s="79" t="s">
        <v>482</v>
      </c>
      <c r="F68" s="79" t="s">
        <v>482</v>
      </c>
      <c r="H68" t="s">
        <v>519</v>
      </c>
      <c r="I68" t="s">
        <v>519</v>
      </c>
      <c r="J68" t="s">
        <v>392</v>
      </c>
    </row>
    <row r="69" spans="1:10">
      <c r="A69" t="s">
        <v>133</v>
      </c>
      <c r="B69" t="s">
        <v>242</v>
      </c>
      <c r="C69" t="s">
        <v>442</v>
      </c>
      <c r="D69" t="s">
        <v>505</v>
      </c>
      <c r="E69" s="79" t="s">
        <v>514</v>
      </c>
      <c r="F69" s="79" t="s">
        <v>482</v>
      </c>
      <c r="J69" t="s">
        <v>371</v>
      </c>
    </row>
    <row r="70" spans="1:10">
      <c r="A70" t="s">
        <v>133</v>
      </c>
      <c r="B70" t="s">
        <v>242</v>
      </c>
      <c r="C70" t="s">
        <v>444</v>
      </c>
      <c r="D70" t="s">
        <v>518</v>
      </c>
      <c r="E70" s="79" t="s">
        <v>482</v>
      </c>
      <c r="F70" s="79" t="s">
        <v>482</v>
      </c>
      <c r="J70" t="s">
        <v>373</v>
      </c>
    </row>
    <row r="71" spans="1:10">
      <c r="A71" t="s">
        <v>133</v>
      </c>
      <c r="B71" t="s">
        <v>180</v>
      </c>
      <c r="C71" t="s">
        <v>446</v>
      </c>
      <c r="D71" t="s">
        <v>518</v>
      </c>
      <c r="E71" s="79" t="s">
        <v>482</v>
      </c>
      <c r="F71" s="79" t="s">
        <v>482</v>
      </c>
      <c r="H71" t="s">
        <v>520</v>
      </c>
    </row>
  </sheetData>
  <autoFilter ref="A1:F71" xr:uid="{21D47B8A-71F2-45B2-AE52-9F095159AB3E}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724945-7161-4056-975C-043A579034BC}">
  <sheetPr>
    <tabColor rgb="FFFFC000"/>
  </sheetPr>
  <dimension ref="A1:P163"/>
  <sheetViews>
    <sheetView tabSelected="1" zoomScale="80" zoomScaleNormal="80" workbookViewId="0">
      <selection activeCell="F13" sqref="F13"/>
    </sheetView>
  </sheetViews>
  <sheetFormatPr defaultColWidth="11.5703125" defaultRowHeight="12.6" outlineLevelCol="1"/>
  <cols>
    <col min="1" max="1" width="29.28515625" style="35" customWidth="1"/>
    <col min="2" max="2" width="30.42578125" style="35" bestFit="1" customWidth="1"/>
    <col min="3" max="3" width="18.7109375" style="35" bestFit="1" customWidth="1"/>
    <col min="4" max="4" width="14.140625" style="35" bestFit="1" customWidth="1" outlineLevel="1"/>
    <col min="5" max="15" width="17.140625" style="35" customWidth="1" outlineLevel="1"/>
    <col min="16" max="16" width="13.28515625" style="35" bestFit="1" customWidth="1"/>
    <col min="17" max="16384" width="11.5703125" style="35"/>
  </cols>
  <sheetData>
    <row r="1" spans="1:16">
      <c r="A1" s="54" t="s">
        <v>153</v>
      </c>
      <c r="B1" s="35" t="s">
        <v>521</v>
      </c>
    </row>
    <row r="2" spans="1:16">
      <c r="A2" s="54" t="s">
        <v>522</v>
      </c>
      <c r="B2" s="35" t="s">
        <v>521</v>
      </c>
    </row>
    <row r="3" spans="1:16" ht="14.45">
      <c r="A3"/>
      <c r="B3"/>
      <c r="C3"/>
      <c r="D3"/>
      <c r="E3"/>
      <c r="F3"/>
      <c r="G3"/>
      <c r="H3"/>
      <c r="I3"/>
      <c r="J3"/>
      <c r="K3"/>
      <c r="L3"/>
      <c r="M3"/>
      <c r="N3"/>
      <c r="O3"/>
      <c r="P3"/>
    </row>
    <row r="4" spans="1:16" ht="14.45">
      <c r="A4" s="54" t="s">
        <v>209</v>
      </c>
      <c r="B4" s="54" t="s">
        <v>1</v>
      </c>
      <c r="C4" s="54" t="s">
        <v>211</v>
      </c>
      <c r="D4" s="35" t="s">
        <v>523</v>
      </c>
      <c r="E4"/>
      <c r="F4"/>
      <c r="G4"/>
      <c r="H4"/>
      <c r="I4"/>
      <c r="J4"/>
      <c r="K4"/>
      <c r="L4"/>
      <c r="M4"/>
      <c r="N4"/>
      <c r="O4"/>
      <c r="P4"/>
    </row>
    <row r="5" spans="1:16" ht="14.45">
      <c r="A5" s="35" t="s">
        <v>242</v>
      </c>
      <c r="D5" s="36">
        <v>3888528</v>
      </c>
      <c r="E5"/>
      <c r="F5"/>
      <c r="G5"/>
      <c r="H5"/>
      <c r="I5"/>
      <c r="J5"/>
      <c r="K5"/>
      <c r="L5"/>
      <c r="M5"/>
      <c r="N5"/>
      <c r="O5"/>
      <c r="P5"/>
    </row>
    <row r="6" spans="1:16" ht="14.45">
      <c r="A6" s="35" t="s">
        <v>10</v>
      </c>
      <c r="D6" s="36">
        <v>1256845</v>
      </c>
      <c r="E6"/>
      <c r="F6" s="16"/>
      <c r="G6"/>
      <c r="H6"/>
      <c r="I6"/>
      <c r="J6"/>
      <c r="K6"/>
      <c r="L6"/>
      <c r="M6"/>
      <c r="N6"/>
      <c r="O6"/>
      <c r="P6"/>
    </row>
    <row r="7" spans="1:16" ht="14.45">
      <c r="A7" s="35" t="s">
        <v>180</v>
      </c>
      <c r="D7" s="36">
        <v>1079024</v>
      </c>
      <c r="E7"/>
      <c r="F7"/>
      <c r="G7"/>
      <c r="H7"/>
      <c r="I7"/>
      <c r="J7"/>
      <c r="K7"/>
      <c r="L7"/>
      <c r="M7"/>
      <c r="N7"/>
      <c r="O7"/>
      <c r="P7"/>
    </row>
    <row r="8" spans="1:16" ht="14.45">
      <c r="A8" s="35" t="s">
        <v>132</v>
      </c>
      <c r="D8" s="36">
        <v>815308</v>
      </c>
      <c r="E8"/>
      <c r="F8"/>
      <c r="G8"/>
      <c r="H8"/>
      <c r="I8"/>
      <c r="J8"/>
      <c r="K8"/>
      <c r="L8"/>
      <c r="M8"/>
      <c r="N8"/>
      <c r="O8"/>
      <c r="P8"/>
    </row>
    <row r="9" spans="1:16" ht="14.45">
      <c r="A9" s="35" t="s">
        <v>179</v>
      </c>
      <c r="D9" s="36">
        <v>476239</v>
      </c>
      <c r="E9"/>
      <c r="F9"/>
      <c r="G9"/>
      <c r="H9"/>
      <c r="I9"/>
      <c r="J9"/>
      <c r="K9"/>
      <c r="L9"/>
      <c r="M9"/>
      <c r="N9"/>
      <c r="O9"/>
      <c r="P9"/>
    </row>
    <row r="10" spans="1:16" ht="14.45">
      <c r="A10" s="35" t="s">
        <v>316</v>
      </c>
      <c r="D10" s="36">
        <v>128930</v>
      </c>
      <c r="E10"/>
      <c r="F10"/>
      <c r="G10"/>
      <c r="H10"/>
      <c r="I10"/>
      <c r="J10"/>
      <c r="K10"/>
      <c r="L10"/>
      <c r="M10"/>
      <c r="N10"/>
      <c r="O10"/>
      <c r="P10"/>
    </row>
    <row r="11" spans="1:16" ht="14.45">
      <c r="A11" s="35" t="s">
        <v>520</v>
      </c>
      <c r="D11" s="36">
        <v>7644874</v>
      </c>
      <c r="E11"/>
      <c r="F11"/>
      <c r="G11"/>
      <c r="H11"/>
      <c r="I11"/>
      <c r="J11"/>
      <c r="K11"/>
      <c r="L11"/>
      <c r="M11"/>
      <c r="N11"/>
      <c r="O11"/>
      <c r="P11"/>
    </row>
    <row r="12" spans="1:16" ht="14.4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</row>
    <row r="13" spans="1:16" ht="14.4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</row>
    <row r="14" spans="1:16" ht="14.4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</row>
    <row r="15" spans="1:16" ht="14.4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</row>
    <row r="16" spans="1:16" ht="14.4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</row>
    <row r="17" spans="1:16" ht="14.45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</row>
    <row r="18" spans="1:16" ht="14.45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</row>
    <row r="19" spans="1:16" ht="14.45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</row>
    <row r="20" spans="1:16" ht="14.45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</row>
    <row r="21" spans="1:16" ht="14.4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</row>
    <row r="22" spans="1:16" ht="14.4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</row>
    <row r="23" spans="1:16" ht="14.4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</row>
    <row r="24" spans="1:16" ht="14.4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</row>
    <row r="25" spans="1:16" ht="14.4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</row>
    <row r="26" spans="1:16" ht="14.4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</row>
    <row r="27" spans="1:16" ht="14.4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</row>
    <row r="28" spans="1:16" ht="14.4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</row>
    <row r="29" spans="1:16" ht="14.4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</row>
    <row r="30" spans="1:16" ht="14.4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</row>
    <row r="31" spans="1:16" ht="14.4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</row>
    <row r="32" spans="1:16" ht="14.4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</row>
    <row r="33" spans="1:16" ht="14.4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</row>
    <row r="34" spans="1:16" ht="14.4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</row>
    <row r="35" spans="1:16" ht="14.4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</row>
    <row r="36" spans="1:16" ht="14.4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</row>
    <row r="37" spans="1:16" ht="14.4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</row>
    <row r="38" spans="1:16" ht="14.4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</row>
    <row r="39" spans="1:16" ht="14.4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</row>
    <row r="40" spans="1:16" ht="14.4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</row>
    <row r="41" spans="1:16" ht="14.4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</row>
    <row r="42" spans="1:16" ht="14.4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</row>
    <row r="43" spans="1:16" ht="14.4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</row>
    <row r="44" spans="1:16" ht="14.4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</row>
    <row r="45" spans="1:16" ht="14.4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</row>
    <row r="46" spans="1:16" ht="14.4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</row>
    <row r="47" spans="1:16" ht="14.4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</row>
    <row r="48" spans="1:16" ht="14.4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</row>
    <row r="49" spans="1:16" ht="14.4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</row>
    <row r="50" spans="1:16" ht="14.4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</row>
    <row r="51" spans="1:16" ht="14.4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</row>
    <row r="52" spans="1:16" ht="14.4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</row>
    <row r="53" spans="1:16" ht="14.4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</row>
    <row r="54" spans="1:16" ht="14.4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</row>
    <row r="55" spans="1:16" ht="14.4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</row>
    <row r="56" spans="1:16" ht="14.4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</row>
    <row r="57" spans="1:16" ht="14.4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</row>
    <row r="58" spans="1:16" ht="14.4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</row>
    <row r="59" spans="1:16" ht="14.4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</row>
    <row r="60" spans="1:16" ht="14.4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</row>
    <row r="61" spans="1:16" ht="14.4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</row>
    <row r="62" spans="1:16" ht="14.4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</row>
    <row r="63" spans="1:16" ht="14.4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</row>
    <row r="64" spans="1:16" ht="14.4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</row>
    <row r="65" spans="1:16" ht="14.4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</row>
    <row r="66" spans="1:16" ht="14.4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</row>
    <row r="67" spans="1:16" ht="14.4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</row>
    <row r="68" spans="1:16" ht="14.4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</row>
    <row r="69" spans="1:16" ht="14.4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</row>
    <row r="70" spans="1:16" ht="14.4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</row>
    <row r="71" spans="1:16" ht="14.4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</row>
    <row r="72" spans="1:16" ht="14.4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</row>
    <row r="73" spans="1:16" ht="14.4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</row>
    <row r="74" spans="1:16" ht="14.4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</row>
    <row r="75" spans="1:16" ht="14.4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</row>
    <row r="76" spans="1:16" ht="14.4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</row>
    <row r="77" spans="1:16" ht="14.4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</row>
    <row r="78" spans="1:16" ht="14.4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</row>
    <row r="79" spans="1:16" ht="14.4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</row>
    <row r="80" spans="1:16" ht="14.4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</row>
    <row r="81" spans="1:16" ht="14.4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</row>
    <row r="82" spans="1:16" ht="14.4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</row>
    <row r="83" spans="1:16" ht="14.4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</row>
    <row r="84" spans="1:16" ht="14.4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</row>
    <row r="85" spans="1:16" ht="14.4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</row>
    <row r="86" spans="1:16" ht="14.4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</row>
    <row r="87" spans="1:16" ht="14.4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</row>
    <row r="88" spans="1:16" ht="14.4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</row>
    <row r="89" spans="1:16" ht="14.4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</row>
    <row r="90" spans="1:16" ht="14.4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</row>
    <row r="91" spans="1:16" ht="14.4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</row>
    <row r="92" spans="1:16" ht="14.4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</row>
    <row r="93" spans="1:16" ht="14.4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</row>
    <row r="94" spans="1:16" ht="14.4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</row>
    <row r="95" spans="1:16" ht="14.4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</row>
    <row r="96" spans="1:16" ht="14.4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</row>
    <row r="97" spans="1:16" ht="14.4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</row>
    <row r="98" spans="1:16" ht="14.4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</row>
    <row r="99" spans="1:16" ht="14.4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</row>
    <row r="100" spans="1:16" ht="14.4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</row>
    <row r="101" spans="1:16" ht="14.4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</row>
    <row r="102" spans="1:16" ht="14.4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</row>
    <row r="103" spans="1:16" ht="14.4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</row>
    <row r="104" spans="1:16" ht="14.4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</row>
    <row r="105" spans="1:16" ht="14.4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</row>
    <row r="106" spans="1:16" ht="14.4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</row>
    <row r="107" spans="1:16" ht="14.4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</row>
    <row r="108" spans="1:16" ht="14.4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</row>
    <row r="109" spans="1:16" ht="14.4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</row>
    <row r="110" spans="1:16" ht="14.4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</row>
    <row r="111" spans="1:16" ht="14.4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</row>
    <row r="112" spans="1:16" ht="14.4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</row>
    <row r="113" spans="1:16" ht="14.4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</row>
    <row r="114" spans="1:16" ht="14.4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</row>
    <row r="115" spans="1:16" ht="14.4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</row>
    <row r="116" spans="1:16" ht="14.4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</row>
    <row r="117" spans="1:16" ht="14.4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</row>
    <row r="118" spans="1:16" ht="14.4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</row>
    <row r="119" spans="1:16" ht="14.4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</row>
    <row r="120" spans="1:16" ht="14.4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</row>
    <row r="121" spans="1:16" ht="14.4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</row>
    <row r="122" spans="1:16" ht="14.4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</row>
    <row r="123" spans="1:16" ht="14.4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</row>
    <row r="124" spans="1:16" ht="14.4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</row>
    <row r="125" spans="1:16" ht="14.4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</row>
    <row r="126" spans="1:16" ht="14.4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</row>
    <row r="127" spans="1:16" ht="14.4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</row>
    <row r="128" spans="1:16" ht="14.4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</row>
    <row r="129" spans="1:16" ht="14.4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</row>
    <row r="130" spans="1:16" ht="14.4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</row>
    <row r="131" spans="1:16" ht="14.4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</row>
    <row r="132" spans="1:16" ht="14.4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</row>
    <row r="133" spans="1:16" ht="14.4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</row>
    <row r="134" spans="1:16" ht="14.4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</row>
    <row r="135" spans="1:16" ht="14.4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</row>
    <row r="136" spans="1:16" ht="14.4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</row>
    <row r="137" spans="1:16" ht="14.4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</row>
    <row r="138" spans="1:16" ht="14.4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</row>
    <row r="139" spans="1:16" ht="14.4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</row>
    <row r="140" spans="1:16" ht="14.4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</row>
    <row r="141" spans="1:16" ht="14.4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</row>
    <row r="142" spans="1:16" ht="14.4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</row>
    <row r="143" spans="1:16" ht="14.4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</row>
    <row r="144" spans="1:16" ht="14.4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</row>
    <row r="145" spans="1:16" ht="14.4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</row>
    <row r="146" spans="1:16" ht="14.4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</row>
    <row r="147" spans="1:16" ht="14.4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</row>
    <row r="148" spans="1:16" ht="14.4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</row>
    <row r="149" spans="1:16" ht="14.4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</row>
    <row r="150" spans="1:16" ht="14.4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</row>
    <row r="151" spans="1:16" ht="14.4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</row>
    <row r="152" spans="1:16" ht="14.4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</row>
    <row r="153" spans="1:16" ht="14.4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</row>
    <row r="154" spans="1:16" ht="14.4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</row>
    <row r="155" spans="1:16" ht="14.4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</row>
    <row r="156" spans="1:16" ht="14.4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</row>
    <row r="157" spans="1:16" ht="14.4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</row>
    <row r="158" spans="1:16" ht="14.4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</row>
    <row r="159" spans="1:16" ht="14.4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</row>
    <row r="160" spans="1:16" ht="14.4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</row>
    <row r="161" spans="1:16" ht="14.4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</row>
    <row r="162" spans="1:16" ht="14.4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</row>
    <row r="163" spans="1:16" ht="14.4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</row>
  </sheetData>
  <phoneticPr fontId="7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8EB9CB-4313-43B6-8B40-34C6AF1EE60D}">
  <sheetPr codeName="Hoja12">
    <tabColor theme="6"/>
  </sheetPr>
  <dimension ref="A1:T106"/>
  <sheetViews>
    <sheetView zoomScale="80" zoomScaleNormal="80" workbookViewId="0">
      <selection activeCell="I31" sqref="I31"/>
    </sheetView>
  </sheetViews>
  <sheetFormatPr defaultColWidth="0" defaultRowHeight="12.95"/>
  <cols>
    <col min="1" max="1" width="4.28515625" style="2" customWidth="1"/>
    <col min="2" max="2" width="12.42578125" style="2" bestFit="1" customWidth="1"/>
    <col min="3" max="3" width="12.42578125" style="2" customWidth="1"/>
    <col min="4" max="4" width="21.42578125" style="2" bestFit="1" customWidth="1"/>
    <col min="5" max="5" width="23" style="2" bestFit="1" customWidth="1"/>
    <col min="6" max="6" width="47.5703125" style="2" customWidth="1"/>
    <col min="7" max="7" width="15.42578125" style="2" customWidth="1"/>
    <col min="8" max="19" width="11.5703125" style="2" bestFit="1" customWidth="1"/>
    <col min="20" max="20" width="0" style="2" hidden="1" customWidth="1"/>
    <col min="21" max="16384" width="11.5703125" style="2" hidden="1"/>
  </cols>
  <sheetData>
    <row r="1" spans="1:20" ht="23.45">
      <c r="A1" s="97" t="s">
        <v>205</v>
      </c>
      <c r="B1" s="97"/>
      <c r="C1" s="97"/>
      <c r="D1" s="97"/>
      <c r="E1" s="97"/>
      <c r="F1" s="97"/>
      <c r="G1" s="97"/>
      <c r="H1" s="97"/>
      <c r="I1" s="97"/>
      <c r="J1" s="97"/>
      <c r="K1" s="97"/>
      <c r="L1" s="97"/>
      <c r="M1" s="97"/>
      <c r="N1" s="97"/>
      <c r="O1" s="97"/>
      <c r="P1" s="97"/>
      <c r="Q1" s="97"/>
      <c r="R1" s="97"/>
      <c r="S1" s="97"/>
    </row>
    <row r="2" spans="1:20" ht="6" customHeight="1">
      <c r="A2" s="96"/>
      <c r="B2" s="96"/>
      <c r="C2" s="96"/>
      <c r="D2" s="96"/>
      <c r="E2" s="96"/>
      <c r="F2" s="96"/>
      <c r="G2" s="96"/>
      <c r="H2" s="96"/>
      <c r="I2" s="96"/>
      <c r="J2" s="96"/>
      <c r="K2" s="96"/>
      <c r="L2" s="96"/>
      <c r="M2" s="96"/>
      <c r="N2" s="96"/>
      <c r="O2" s="96"/>
      <c r="P2" s="96"/>
      <c r="Q2" s="96"/>
      <c r="R2" s="96"/>
      <c r="S2" s="96"/>
    </row>
    <row r="3" spans="1:20" ht="14.65" customHeight="1">
      <c r="A3" s="98" t="s">
        <v>129</v>
      </c>
      <c r="B3" s="98"/>
      <c r="C3" s="6"/>
      <c r="D3" s="6"/>
      <c r="E3" s="6"/>
      <c r="G3" s="4" t="s">
        <v>524</v>
      </c>
      <c r="H3" s="5">
        <v>46023</v>
      </c>
      <c r="I3" s="5">
        <v>46054</v>
      </c>
      <c r="J3" s="5">
        <v>46082</v>
      </c>
      <c r="K3" s="5">
        <v>46113</v>
      </c>
      <c r="L3" s="5">
        <v>46143</v>
      </c>
      <c r="M3" s="5">
        <v>46174</v>
      </c>
      <c r="N3" s="5">
        <v>46204</v>
      </c>
      <c r="O3" s="5">
        <v>46235</v>
      </c>
      <c r="P3" s="5">
        <v>46266</v>
      </c>
      <c r="Q3" s="5">
        <v>46296</v>
      </c>
      <c r="R3" s="5">
        <v>46327</v>
      </c>
      <c r="S3" s="5">
        <v>46357</v>
      </c>
    </row>
    <row r="4" spans="1:20" ht="14.65" customHeight="1">
      <c r="A4" s="98" t="s">
        <v>207</v>
      </c>
      <c r="B4" s="98"/>
      <c r="C4" s="6"/>
      <c r="D4" s="6"/>
      <c r="E4" s="6"/>
      <c r="G4" s="20">
        <f>+SUM(G7:G106)</f>
        <v>3872971.0779586174</v>
      </c>
      <c r="H4" s="12">
        <f t="shared" ref="H4:S4" si="0">+SUM(H7:H106)</f>
        <v>1648806.2267823732</v>
      </c>
      <c r="I4" s="12">
        <f t="shared" si="0"/>
        <v>896557.35628207121</v>
      </c>
      <c r="J4" s="12">
        <f t="shared" si="0"/>
        <v>575651.22995065921</v>
      </c>
      <c r="K4" s="12">
        <f t="shared" si="0"/>
        <v>373655.40126320114</v>
      </c>
      <c r="L4" s="12">
        <f t="shared" si="0"/>
        <v>262631.3437220456</v>
      </c>
      <c r="M4" s="12">
        <f t="shared" si="0"/>
        <v>59555.951262760274</v>
      </c>
      <c r="N4" s="12">
        <f t="shared" si="0"/>
        <v>56113.568695506459</v>
      </c>
      <c r="O4" s="12">
        <f t="shared" si="0"/>
        <v>0</v>
      </c>
      <c r="P4" s="12">
        <f t="shared" si="0"/>
        <v>0</v>
      </c>
      <c r="Q4" s="12">
        <f t="shared" si="0"/>
        <v>0</v>
      </c>
      <c r="R4" s="12">
        <f t="shared" si="0"/>
        <v>0</v>
      </c>
      <c r="S4" s="12">
        <f t="shared" si="0"/>
        <v>0</v>
      </c>
    </row>
    <row r="5" spans="1:20" ht="5.65" customHeight="1">
      <c r="A5" s="96"/>
      <c r="B5" s="96"/>
      <c r="C5" s="96"/>
      <c r="D5" s="96"/>
      <c r="E5" s="96"/>
      <c r="F5" s="96"/>
      <c r="G5" s="96"/>
      <c r="H5" s="96"/>
      <c r="I5" s="96"/>
      <c r="J5" s="96"/>
      <c r="K5" s="96"/>
      <c r="L5" s="96"/>
      <c r="M5" s="96"/>
      <c r="N5" s="96"/>
      <c r="O5" s="96"/>
      <c r="P5" s="96"/>
      <c r="Q5" s="96"/>
      <c r="R5" s="96"/>
      <c r="S5" s="96"/>
    </row>
    <row r="6" spans="1:20">
      <c r="A6" s="4" t="s">
        <v>208</v>
      </c>
      <c r="B6" s="4" t="s">
        <v>153</v>
      </c>
      <c r="C6" s="4" t="s">
        <v>209</v>
      </c>
      <c r="D6" s="4" t="s">
        <v>0</v>
      </c>
      <c r="E6" s="4" t="s">
        <v>1</v>
      </c>
      <c r="F6" s="4" t="s">
        <v>525</v>
      </c>
      <c r="G6" s="4" t="s">
        <v>524</v>
      </c>
      <c r="H6" s="5" t="s">
        <v>212</v>
      </c>
      <c r="I6" s="5" t="s">
        <v>213</v>
      </c>
      <c r="J6" s="5" t="s">
        <v>214</v>
      </c>
      <c r="K6" s="5" t="s">
        <v>215</v>
      </c>
      <c r="L6" s="5" t="s">
        <v>216</v>
      </c>
      <c r="M6" s="5" t="s">
        <v>217</v>
      </c>
      <c r="N6" s="5" t="s">
        <v>218</v>
      </c>
      <c r="O6" s="5" t="s">
        <v>219</v>
      </c>
      <c r="P6" s="5" t="s">
        <v>220</v>
      </c>
      <c r="Q6" s="5" t="s">
        <v>221</v>
      </c>
      <c r="R6" s="5" t="s">
        <v>222</v>
      </c>
      <c r="S6" s="5" t="s">
        <v>223</v>
      </c>
      <c r="T6" s="3"/>
    </row>
    <row r="7" spans="1:20">
      <c r="A7" s="7">
        <v>1</v>
      </c>
      <c r="B7" s="2" t="s">
        <v>144</v>
      </c>
      <c r="C7" s="2" t="s">
        <v>526</v>
      </c>
      <c r="D7" s="2" t="s">
        <v>165</v>
      </c>
      <c r="E7" s="2" t="s">
        <v>165</v>
      </c>
      <c r="F7" s="2" t="s">
        <v>527</v>
      </c>
      <c r="G7" s="11">
        <f t="shared" ref="G7:G38" si="1">+SUM(H7:S7)</f>
        <v>1343879.3</v>
      </c>
      <c r="H7" s="12">
        <v>1217640</v>
      </c>
      <c r="I7" s="12">
        <f>84159.3+42080</f>
        <v>126239.3</v>
      </c>
      <c r="J7" s="12"/>
      <c r="K7" s="12"/>
      <c r="L7" s="12"/>
      <c r="M7" s="12"/>
      <c r="N7" s="12"/>
      <c r="O7" s="12"/>
      <c r="P7" s="12"/>
      <c r="Q7" s="12"/>
      <c r="R7" s="12"/>
      <c r="S7" s="12"/>
    </row>
    <row r="8" spans="1:20">
      <c r="A8" s="7">
        <v>22</v>
      </c>
      <c r="B8" s="2" t="s">
        <v>141</v>
      </c>
      <c r="C8" s="2" t="s">
        <v>526</v>
      </c>
      <c r="D8" s="2" t="s">
        <v>165</v>
      </c>
      <c r="E8" s="2" t="s">
        <v>165</v>
      </c>
      <c r="F8" s="94" t="s">
        <v>528</v>
      </c>
      <c r="G8" s="11">
        <f t="shared" si="1"/>
        <v>499350</v>
      </c>
      <c r="H8" s="12"/>
      <c r="I8" s="12">
        <v>100308.80606578384</v>
      </c>
      <c r="J8" s="12">
        <v>54530.222127296031</v>
      </c>
      <c r="K8" s="12">
        <v>158251.92866296455</v>
      </c>
      <c r="L8" s="12">
        <v>178260.05766766344</v>
      </c>
      <c r="M8" s="12">
        <v>0</v>
      </c>
      <c r="N8" s="12">
        <v>7998.9854762921459</v>
      </c>
      <c r="O8" s="12"/>
      <c r="P8" s="12"/>
      <c r="Q8" s="12"/>
      <c r="R8" s="12"/>
      <c r="S8" s="12"/>
    </row>
    <row r="9" spans="1:20">
      <c r="A9" s="7">
        <v>3</v>
      </c>
      <c r="B9" s="2" t="s">
        <v>133</v>
      </c>
      <c r="C9" s="2" t="s">
        <v>526</v>
      </c>
      <c r="D9" s="2" t="s">
        <v>165</v>
      </c>
      <c r="E9" s="2" t="s">
        <v>165</v>
      </c>
      <c r="F9" s="2" t="s">
        <v>529</v>
      </c>
      <c r="G9" s="11">
        <f t="shared" si="1"/>
        <v>252730.02617142853</v>
      </c>
      <c r="H9" s="12"/>
      <c r="I9" s="12">
        <v>132678.81739893439</v>
      </c>
      <c r="J9" s="12">
        <v>120051.20877249414</v>
      </c>
      <c r="K9" s="12">
        <v>0</v>
      </c>
      <c r="L9" s="12" t="s">
        <v>530</v>
      </c>
      <c r="M9" s="12" t="s">
        <v>530</v>
      </c>
      <c r="N9" s="12"/>
      <c r="O9" s="12"/>
      <c r="P9" s="12"/>
      <c r="Q9" s="12"/>
      <c r="R9" s="12"/>
      <c r="S9" s="12"/>
    </row>
    <row r="10" spans="1:20">
      <c r="A10" s="7">
        <v>8</v>
      </c>
      <c r="B10" s="2" t="s">
        <v>133</v>
      </c>
      <c r="C10" s="2" t="s">
        <v>526</v>
      </c>
      <c r="D10" s="2" t="s">
        <v>165</v>
      </c>
      <c r="E10" s="2" t="s">
        <v>165</v>
      </c>
      <c r="F10" s="2" t="s">
        <v>531</v>
      </c>
      <c r="G10" s="11">
        <f t="shared" si="1"/>
        <v>217000</v>
      </c>
      <c r="H10" s="46">
        <v>8417.167167167172</v>
      </c>
      <c r="I10" s="46">
        <v>22509.13413413415</v>
      </c>
      <c r="J10" s="46">
        <v>26120.370370370405</v>
      </c>
      <c r="K10" s="46">
        <v>46375.8758758759</v>
      </c>
      <c r="L10" s="46">
        <v>39642.142142142155</v>
      </c>
      <c r="M10" s="46">
        <v>28238.238238238206</v>
      </c>
      <c r="N10" s="12">
        <v>45697.072072072013</v>
      </c>
      <c r="O10" s="12"/>
      <c r="P10" s="12"/>
      <c r="Q10" s="12"/>
      <c r="R10" s="12"/>
      <c r="S10" s="12"/>
    </row>
    <row r="11" spans="1:20">
      <c r="A11" s="7">
        <v>4</v>
      </c>
      <c r="B11" s="2" t="s">
        <v>135</v>
      </c>
      <c r="C11" s="2" t="s">
        <v>526</v>
      </c>
      <c r="D11" s="2" t="s">
        <v>165</v>
      </c>
      <c r="E11" s="2" t="s">
        <v>165</v>
      </c>
      <c r="F11" s="2" t="s">
        <v>532</v>
      </c>
      <c r="G11" s="11">
        <f t="shared" si="1"/>
        <v>213000</v>
      </c>
      <c r="H11" s="46">
        <v>12317.794892582089</v>
      </c>
      <c r="I11" s="46">
        <v>54480.340494527809</v>
      </c>
      <c r="J11" s="46">
        <v>46709.768950141937</v>
      </c>
      <c r="K11" s="46">
        <v>47170.247263883168</v>
      </c>
      <c r="L11" s="46">
        <v>31657.884069720312</v>
      </c>
      <c r="M11" s="46">
        <v>18246.453182002384</v>
      </c>
      <c r="N11" s="12">
        <v>2417.5111471423006</v>
      </c>
      <c r="O11" s="12"/>
      <c r="P11" s="12"/>
      <c r="Q11" s="12"/>
      <c r="R11" s="12"/>
      <c r="S11" s="12"/>
    </row>
    <row r="12" spans="1:20">
      <c r="A12" s="7">
        <v>5</v>
      </c>
      <c r="B12" s="2" t="s">
        <v>144</v>
      </c>
      <c r="C12" s="2" t="s">
        <v>526</v>
      </c>
      <c r="D12" s="2" t="s">
        <v>165</v>
      </c>
      <c r="E12" s="2" t="s">
        <v>165</v>
      </c>
      <c r="F12" s="2" t="s">
        <v>533</v>
      </c>
      <c r="G12" s="11">
        <f t="shared" si="1"/>
        <v>178686</v>
      </c>
      <c r="H12" s="46">
        <v>33597</v>
      </c>
      <c r="I12" s="46">
        <v>64484</v>
      </c>
      <c r="J12" s="46">
        <v>80605</v>
      </c>
      <c r="K12" s="46"/>
      <c r="L12" s="46"/>
      <c r="M12" s="46"/>
      <c r="N12" s="12"/>
      <c r="O12" s="12"/>
      <c r="P12" s="12"/>
      <c r="Q12" s="12"/>
      <c r="R12" s="12"/>
      <c r="S12" s="12"/>
    </row>
    <row r="13" spans="1:20">
      <c r="A13" s="7">
        <v>2</v>
      </c>
      <c r="B13" s="2" t="s">
        <v>135</v>
      </c>
      <c r="C13" s="2" t="s">
        <v>526</v>
      </c>
      <c r="D13" s="2" t="s">
        <v>165</v>
      </c>
      <c r="E13" s="2" t="s">
        <v>165</v>
      </c>
      <c r="F13" s="94" t="s">
        <v>534</v>
      </c>
      <c r="G13" s="11">
        <f t="shared" si="1"/>
        <v>160000</v>
      </c>
      <c r="H13" s="12">
        <v>0</v>
      </c>
      <c r="I13" s="12">
        <v>45169.569202566447</v>
      </c>
      <c r="J13" s="12">
        <v>52111.212954476025</v>
      </c>
      <c r="K13" s="12">
        <v>62719.217842957529</v>
      </c>
      <c r="L13" s="12">
        <v>0</v>
      </c>
      <c r="M13" s="12">
        <v>0</v>
      </c>
      <c r="N13" s="12"/>
      <c r="O13" s="12"/>
      <c r="P13" s="12"/>
      <c r="Q13" s="12"/>
      <c r="R13" s="12"/>
      <c r="S13" s="12"/>
    </row>
    <row r="14" spans="1:20">
      <c r="A14" s="7">
        <v>7</v>
      </c>
      <c r="B14" s="2" t="s">
        <v>144</v>
      </c>
      <c r="C14" s="2" t="s">
        <v>526</v>
      </c>
      <c r="D14" s="2" t="s">
        <v>165</v>
      </c>
      <c r="E14" s="2" t="s">
        <v>165</v>
      </c>
      <c r="F14" s="2" t="s">
        <v>535</v>
      </c>
      <c r="G14" s="11">
        <f t="shared" si="1"/>
        <v>153748</v>
      </c>
      <c r="H14" s="46">
        <v>87873</v>
      </c>
      <c r="I14" s="46">
        <v>11774.507874015748</v>
      </c>
      <c r="J14" s="46">
        <v>14964.517716535434</v>
      </c>
      <c r="K14" s="46">
        <v>12993.454724409448</v>
      </c>
      <c r="L14" s="46">
        <v>13071.259842519685</v>
      </c>
      <c r="M14" s="46">
        <v>13071.259842519685</v>
      </c>
      <c r="N14" s="12"/>
      <c r="O14" s="12"/>
      <c r="P14" s="12"/>
      <c r="Q14" s="12"/>
      <c r="R14" s="12"/>
      <c r="S14" s="12"/>
    </row>
    <row r="15" spans="1:20">
      <c r="A15" s="7">
        <v>6</v>
      </c>
      <c r="B15" s="2" t="s">
        <v>138</v>
      </c>
      <c r="C15" s="2" t="s">
        <v>526</v>
      </c>
      <c r="D15" s="2" t="s">
        <v>165</v>
      </c>
      <c r="E15" s="2" t="s">
        <v>165</v>
      </c>
      <c r="F15" s="2" t="s">
        <v>536</v>
      </c>
      <c r="G15" s="11">
        <f t="shared" si="1"/>
        <v>130000</v>
      </c>
      <c r="H15" s="12">
        <v>0</v>
      </c>
      <c r="I15" s="12">
        <v>75316.205533596862</v>
      </c>
      <c r="J15" s="12">
        <v>54683.794466403138</v>
      </c>
      <c r="K15" s="12"/>
      <c r="L15" s="12"/>
      <c r="M15" s="12"/>
      <c r="N15" s="12"/>
      <c r="O15" s="12"/>
      <c r="P15" s="12"/>
      <c r="Q15" s="12"/>
      <c r="R15" s="12"/>
      <c r="S15" s="12"/>
    </row>
    <row r="16" spans="1:20">
      <c r="A16" s="7">
        <v>9</v>
      </c>
      <c r="B16" s="2" t="s">
        <v>138</v>
      </c>
      <c r="C16" s="2" t="s">
        <v>526</v>
      </c>
      <c r="D16" s="2" t="s">
        <v>165</v>
      </c>
      <c r="E16" s="2" t="s">
        <v>165</v>
      </c>
      <c r="F16" s="2" t="s">
        <v>537</v>
      </c>
      <c r="G16" s="11">
        <f t="shared" si="1"/>
        <v>110000</v>
      </c>
      <c r="H16" s="12">
        <v>0</v>
      </c>
      <c r="I16" s="12">
        <v>59681.1224489796</v>
      </c>
      <c r="J16" s="12">
        <v>50318.8775510204</v>
      </c>
      <c r="K16" s="12"/>
      <c r="L16" s="12"/>
      <c r="M16" s="12"/>
      <c r="N16" s="12"/>
      <c r="O16" s="12"/>
      <c r="P16" s="12"/>
      <c r="Q16" s="12"/>
      <c r="R16" s="12"/>
      <c r="S16" s="12"/>
    </row>
    <row r="17" spans="1:19">
      <c r="A17" s="7">
        <v>11</v>
      </c>
      <c r="B17" s="2" t="s">
        <v>135</v>
      </c>
      <c r="C17" s="2" t="s">
        <v>526</v>
      </c>
      <c r="D17" s="2" t="s">
        <v>165</v>
      </c>
      <c r="E17" s="2" t="s">
        <v>165</v>
      </c>
      <c r="F17" s="2" t="s">
        <v>538</v>
      </c>
      <c r="G17" s="11">
        <f t="shared" si="1"/>
        <v>110000</v>
      </c>
      <c r="H17" s="46">
        <v>25868.200449774486</v>
      </c>
      <c r="I17" s="46">
        <v>40593.628331681968</v>
      </c>
      <c r="J17" s="46">
        <v>23639.555487947771</v>
      </c>
      <c r="K17" s="46">
        <v>19898.615730595775</v>
      </c>
      <c r="L17" s="46" t="s">
        <v>530</v>
      </c>
      <c r="M17" s="46" t="s">
        <v>530</v>
      </c>
      <c r="N17" s="12"/>
      <c r="O17" s="12"/>
      <c r="P17" s="12"/>
      <c r="Q17" s="12"/>
      <c r="R17" s="12"/>
      <c r="S17" s="12"/>
    </row>
    <row r="18" spans="1:19">
      <c r="A18" s="7">
        <v>10</v>
      </c>
      <c r="B18" s="2" t="s">
        <v>135</v>
      </c>
      <c r="C18" s="2" t="s">
        <v>526</v>
      </c>
      <c r="D18" s="2" t="s">
        <v>165</v>
      </c>
      <c r="E18" s="2" t="s">
        <v>165</v>
      </c>
      <c r="F18" s="2" t="s">
        <v>539</v>
      </c>
      <c r="G18" s="11">
        <f t="shared" si="1"/>
        <v>90000</v>
      </c>
      <c r="H18" s="12">
        <v>46000</v>
      </c>
      <c r="I18" s="12">
        <v>34000</v>
      </c>
      <c r="J18" s="12">
        <v>10000</v>
      </c>
      <c r="K18" s="12"/>
      <c r="L18" s="12"/>
      <c r="M18" s="12"/>
      <c r="N18" s="12"/>
      <c r="O18" s="12"/>
      <c r="P18" s="12"/>
      <c r="Q18" s="12"/>
      <c r="R18" s="12"/>
      <c r="S18" s="12"/>
    </row>
    <row r="19" spans="1:19">
      <c r="A19" s="7">
        <v>12</v>
      </c>
      <c r="B19" s="2" t="s">
        <v>133</v>
      </c>
      <c r="C19" s="2" t="s">
        <v>526</v>
      </c>
      <c r="D19" s="2" t="s">
        <v>165</v>
      </c>
      <c r="E19" s="2" t="s">
        <v>165</v>
      </c>
      <c r="F19" s="2" t="s">
        <v>540</v>
      </c>
      <c r="G19" s="11">
        <f t="shared" si="1"/>
        <v>76150</v>
      </c>
      <c r="H19" s="46"/>
      <c r="I19" s="46">
        <v>25383.333333333332</v>
      </c>
      <c r="J19" s="46">
        <v>25383.333333333332</v>
      </c>
      <c r="K19" s="46">
        <v>25383.333333333332</v>
      </c>
      <c r="L19" s="46"/>
      <c r="M19" s="46"/>
      <c r="N19" s="12"/>
      <c r="O19" s="12"/>
      <c r="P19" s="12"/>
      <c r="Q19" s="12"/>
      <c r="R19" s="12"/>
      <c r="S19" s="12"/>
    </row>
    <row r="20" spans="1:19">
      <c r="A20" s="7">
        <v>14</v>
      </c>
      <c r="B20" s="2" t="s">
        <v>135</v>
      </c>
      <c r="C20" s="2" t="s">
        <v>526</v>
      </c>
      <c r="D20" s="2" t="s">
        <v>165</v>
      </c>
      <c r="E20" s="2" t="s">
        <v>165</v>
      </c>
      <c r="F20" s="2" t="s">
        <v>541</v>
      </c>
      <c r="G20" s="11">
        <f t="shared" si="1"/>
        <v>65000</v>
      </c>
      <c r="H20" s="12">
        <v>60081.967213114745</v>
      </c>
      <c r="I20" s="12">
        <v>4918.0327868852546</v>
      </c>
      <c r="J20" s="12" t="s">
        <v>530</v>
      </c>
      <c r="K20" s="12" t="s">
        <v>530</v>
      </c>
      <c r="L20" s="12" t="s">
        <v>530</v>
      </c>
      <c r="M20" s="12" t="s">
        <v>530</v>
      </c>
      <c r="N20" s="12"/>
      <c r="O20" s="12"/>
      <c r="P20" s="12"/>
      <c r="Q20" s="12"/>
      <c r="R20" s="12"/>
      <c r="S20" s="12"/>
    </row>
    <row r="21" spans="1:19">
      <c r="A21" s="7">
        <v>13</v>
      </c>
      <c r="B21" s="2" t="s">
        <v>135</v>
      </c>
      <c r="C21" s="2" t="s">
        <v>526</v>
      </c>
      <c r="D21" s="2" t="s">
        <v>165</v>
      </c>
      <c r="E21" s="2" t="s">
        <v>165</v>
      </c>
      <c r="F21" s="2" t="s">
        <v>542</v>
      </c>
      <c r="G21" s="11">
        <f t="shared" si="1"/>
        <v>56306</v>
      </c>
      <c r="H21" s="46">
        <v>40000</v>
      </c>
      <c r="I21" s="46">
        <v>16306</v>
      </c>
      <c r="J21" s="46"/>
      <c r="K21" s="46"/>
      <c r="L21" s="46"/>
      <c r="M21" s="46"/>
      <c r="N21" s="12"/>
      <c r="O21" s="12"/>
      <c r="P21" s="12"/>
      <c r="Q21" s="12"/>
      <c r="R21" s="12"/>
      <c r="S21" s="12"/>
    </row>
    <row r="22" spans="1:19">
      <c r="A22" s="7">
        <v>20</v>
      </c>
      <c r="B22" s="2" t="s">
        <v>144</v>
      </c>
      <c r="C22" s="2" t="s">
        <v>526</v>
      </c>
      <c r="D22" s="2" t="s">
        <v>165</v>
      </c>
      <c r="E22" s="2" t="s">
        <v>165</v>
      </c>
      <c r="F22" s="2" t="s">
        <v>543</v>
      </c>
      <c r="G22" s="11">
        <f t="shared" si="1"/>
        <v>50000</v>
      </c>
      <c r="H22" s="12">
        <v>22921.287530430076</v>
      </c>
      <c r="I22" s="12">
        <v>27078.712469569924</v>
      </c>
      <c r="J22" s="12"/>
      <c r="K22" s="12"/>
      <c r="L22" s="12"/>
      <c r="M22" s="12"/>
      <c r="N22" s="12"/>
      <c r="O22" s="12"/>
      <c r="P22" s="12"/>
      <c r="Q22" s="12"/>
      <c r="R22" s="12"/>
      <c r="S22" s="12"/>
    </row>
    <row r="23" spans="1:19">
      <c r="A23" s="7">
        <v>15</v>
      </c>
      <c r="B23" s="2" t="s">
        <v>138</v>
      </c>
      <c r="C23" s="2" t="s">
        <v>526</v>
      </c>
      <c r="D23" s="2" t="s">
        <v>165</v>
      </c>
      <c r="E23" s="2" t="s">
        <v>165</v>
      </c>
      <c r="F23" s="2" t="s">
        <v>544</v>
      </c>
      <c r="G23" s="11">
        <f t="shared" si="1"/>
        <v>45167.686199999996</v>
      </c>
      <c r="H23" s="12">
        <v>45167.686199999996</v>
      </c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</row>
    <row r="24" spans="1:19">
      <c r="A24" s="7">
        <v>16</v>
      </c>
      <c r="B24" s="2" t="s">
        <v>133</v>
      </c>
      <c r="C24" s="2" t="s">
        <v>526</v>
      </c>
      <c r="D24" s="2" t="s">
        <v>165</v>
      </c>
      <c r="E24" s="2" t="s">
        <v>165</v>
      </c>
      <c r="F24" s="2" t="s">
        <v>545</v>
      </c>
      <c r="G24" s="11">
        <f t="shared" si="1"/>
        <v>37347</v>
      </c>
      <c r="H24" s="12">
        <v>3009.0000000000005</v>
      </c>
      <c r="I24" s="12">
        <v>22302</v>
      </c>
      <c r="J24" s="12">
        <v>12036</v>
      </c>
      <c r="K24" s="12">
        <v>0</v>
      </c>
      <c r="L24" s="12" t="s">
        <v>530</v>
      </c>
      <c r="M24" s="12" t="s">
        <v>530</v>
      </c>
      <c r="N24" s="12"/>
      <c r="O24" s="12"/>
      <c r="P24" s="12"/>
      <c r="Q24" s="12"/>
      <c r="R24" s="12"/>
      <c r="S24" s="12"/>
    </row>
    <row r="25" spans="1:19">
      <c r="A25" s="7">
        <v>17</v>
      </c>
      <c r="B25" s="2" t="s">
        <v>141</v>
      </c>
      <c r="C25" s="2" t="s">
        <v>526</v>
      </c>
      <c r="D25" s="2" t="s">
        <v>165</v>
      </c>
      <c r="E25" s="2" t="s">
        <v>165</v>
      </c>
      <c r="F25" s="2" t="s">
        <v>546</v>
      </c>
      <c r="G25" s="11">
        <f t="shared" si="1"/>
        <v>35000</v>
      </c>
      <c r="H25" s="12">
        <v>6163.5220125786182</v>
      </c>
      <c r="I25" s="12">
        <v>28836.477987421382</v>
      </c>
      <c r="J25" s="12"/>
      <c r="K25" s="12"/>
      <c r="L25" s="12"/>
      <c r="M25" s="12"/>
      <c r="N25" s="12"/>
      <c r="O25" s="12"/>
      <c r="P25" s="12"/>
      <c r="Q25" s="12"/>
      <c r="R25" s="12"/>
      <c r="S25" s="12"/>
    </row>
    <row r="26" spans="1:19">
      <c r="A26" s="7">
        <v>18</v>
      </c>
      <c r="B26" s="2" t="s">
        <v>133</v>
      </c>
      <c r="C26" s="2" t="s">
        <v>526</v>
      </c>
      <c r="D26" s="2" t="s">
        <v>165</v>
      </c>
      <c r="E26" s="2" t="s">
        <v>165</v>
      </c>
      <c r="F26" s="2" t="s">
        <v>547</v>
      </c>
      <c r="G26" s="11">
        <f t="shared" si="1"/>
        <v>17056</v>
      </c>
      <c r="H26" s="12">
        <v>17056</v>
      </c>
      <c r="I26" s="12"/>
      <c r="J26" s="12"/>
      <c r="K26" s="12" t="s">
        <v>530</v>
      </c>
      <c r="L26" s="12" t="s">
        <v>530</v>
      </c>
      <c r="M26" s="12" t="s">
        <v>530</v>
      </c>
      <c r="N26" s="12"/>
      <c r="O26" s="12"/>
      <c r="P26" s="12"/>
      <c r="Q26" s="12"/>
      <c r="R26" s="12"/>
      <c r="S26" s="12"/>
    </row>
    <row r="27" spans="1:19">
      <c r="A27" s="7">
        <v>23</v>
      </c>
      <c r="B27" s="2" t="s">
        <v>133</v>
      </c>
      <c r="C27" s="2" t="s">
        <v>526</v>
      </c>
      <c r="D27" s="2" t="s">
        <v>165</v>
      </c>
      <c r="E27" s="2" t="s">
        <v>165</v>
      </c>
      <c r="F27" s="94" t="s">
        <v>548</v>
      </c>
      <c r="G27" s="11">
        <f t="shared" si="1"/>
        <v>15553.065587188614</v>
      </c>
      <c r="H27" s="12">
        <v>5695.6013167259789</v>
      </c>
      <c r="I27" s="12">
        <v>4497.3682206405683</v>
      </c>
      <c r="J27" s="12">
        <v>4497.3682206405701</v>
      </c>
      <c r="K27" s="12">
        <v>862.72782918149642</v>
      </c>
      <c r="L27" s="12"/>
      <c r="M27" s="12"/>
      <c r="N27" s="12"/>
      <c r="O27" s="12"/>
      <c r="P27" s="12"/>
      <c r="Q27" s="12"/>
      <c r="R27" s="12"/>
      <c r="S27" s="12"/>
    </row>
    <row r="28" spans="1:19">
      <c r="A28" s="7">
        <v>19</v>
      </c>
      <c r="B28" s="2" t="s">
        <v>133</v>
      </c>
      <c r="C28" s="2" t="s">
        <v>526</v>
      </c>
      <c r="D28" s="2" t="s">
        <v>165</v>
      </c>
      <c r="E28" s="2" t="s">
        <v>165</v>
      </c>
      <c r="F28" s="2" t="s">
        <v>549</v>
      </c>
      <c r="G28" s="11">
        <f t="shared" si="1"/>
        <v>11964</v>
      </c>
      <c r="H28" s="12">
        <v>11964</v>
      </c>
      <c r="I28" s="12" t="s">
        <v>530</v>
      </c>
      <c r="J28" s="12" t="s">
        <v>530</v>
      </c>
      <c r="K28" s="12" t="s">
        <v>530</v>
      </c>
      <c r="L28" s="12" t="s">
        <v>530</v>
      </c>
      <c r="M28" s="12" t="s">
        <v>530</v>
      </c>
      <c r="N28" s="12"/>
      <c r="O28" s="12"/>
      <c r="P28" s="12"/>
      <c r="Q28" s="12"/>
      <c r="R28" s="12"/>
      <c r="S28" s="12"/>
    </row>
    <row r="29" spans="1:19">
      <c r="A29" s="7">
        <v>21</v>
      </c>
      <c r="B29" s="2" t="s">
        <v>135</v>
      </c>
      <c r="C29" s="2" t="s">
        <v>526</v>
      </c>
      <c r="D29" s="2" t="s">
        <v>165</v>
      </c>
      <c r="E29" s="2" t="s">
        <v>165</v>
      </c>
      <c r="F29" s="2" t="s">
        <v>550</v>
      </c>
      <c r="G29" s="11">
        <f t="shared" si="1"/>
        <v>5034</v>
      </c>
      <c r="H29" s="12">
        <v>5034</v>
      </c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</row>
    <row r="30" spans="1:19">
      <c r="A30" s="7">
        <v>24</v>
      </c>
      <c r="C30" s="2" t="s">
        <v>526</v>
      </c>
      <c r="D30" s="2" t="s">
        <v>165</v>
      </c>
      <c r="E30" s="2" t="s">
        <v>165</v>
      </c>
      <c r="G30" s="11">
        <f t="shared" si="1"/>
        <v>0</v>
      </c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</row>
    <row r="31" spans="1:19">
      <c r="A31" s="7">
        <v>25</v>
      </c>
      <c r="C31" s="2" t="s">
        <v>526</v>
      </c>
      <c r="D31" s="2" t="s">
        <v>165</v>
      </c>
      <c r="E31" s="2" t="s">
        <v>165</v>
      </c>
      <c r="G31" s="11">
        <f t="shared" si="1"/>
        <v>0</v>
      </c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</row>
    <row r="32" spans="1:19">
      <c r="A32" s="7">
        <v>26</v>
      </c>
      <c r="C32" s="2" t="s">
        <v>526</v>
      </c>
      <c r="D32" s="2" t="s">
        <v>165</v>
      </c>
      <c r="E32" s="2" t="s">
        <v>165</v>
      </c>
      <c r="G32" s="11">
        <f t="shared" si="1"/>
        <v>0</v>
      </c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</row>
    <row r="33" spans="1:19">
      <c r="A33" s="7">
        <v>27</v>
      </c>
      <c r="C33" s="2" t="s">
        <v>526</v>
      </c>
      <c r="D33" s="2" t="s">
        <v>165</v>
      </c>
      <c r="E33" s="2" t="s">
        <v>165</v>
      </c>
      <c r="G33" s="11">
        <f t="shared" si="1"/>
        <v>0</v>
      </c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</row>
    <row r="34" spans="1:19">
      <c r="A34" s="7">
        <v>28</v>
      </c>
      <c r="C34" s="2" t="s">
        <v>526</v>
      </c>
      <c r="D34" s="2" t="s">
        <v>165</v>
      </c>
      <c r="E34" s="2" t="s">
        <v>165</v>
      </c>
      <c r="G34" s="11">
        <f t="shared" si="1"/>
        <v>0</v>
      </c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</row>
    <row r="35" spans="1:19">
      <c r="A35" s="7">
        <v>29</v>
      </c>
      <c r="C35" s="2" t="s">
        <v>526</v>
      </c>
      <c r="D35" s="2" t="s">
        <v>165</v>
      </c>
      <c r="E35" s="2" t="s">
        <v>165</v>
      </c>
      <c r="G35" s="11">
        <f t="shared" si="1"/>
        <v>0</v>
      </c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</row>
    <row r="36" spans="1:19">
      <c r="A36" s="7">
        <v>30</v>
      </c>
      <c r="C36" s="2" t="s">
        <v>526</v>
      </c>
      <c r="D36" s="2" t="s">
        <v>165</v>
      </c>
      <c r="E36" s="2" t="s">
        <v>165</v>
      </c>
      <c r="G36" s="11">
        <f t="shared" si="1"/>
        <v>0</v>
      </c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</row>
    <row r="37" spans="1:19">
      <c r="A37" s="7">
        <v>31</v>
      </c>
      <c r="C37" s="2" t="s">
        <v>526</v>
      </c>
      <c r="D37" s="2" t="s">
        <v>165</v>
      </c>
      <c r="E37" s="2" t="s">
        <v>165</v>
      </c>
      <c r="G37" s="11">
        <f t="shared" si="1"/>
        <v>0</v>
      </c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</row>
    <row r="38" spans="1:19">
      <c r="A38" s="7">
        <v>32</v>
      </c>
      <c r="C38" s="2" t="s">
        <v>526</v>
      </c>
      <c r="D38" s="2" t="s">
        <v>165</v>
      </c>
      <c r="E38" s="2" t="s">
        <v>165</v>
      </c>
      <c r="G38" s="11">
        <f t="shared" si="1"/>
        <v>0</v>
      </c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</row>
    <row r="39" spans="1:19">
      <c r="A39" s="7">
        <v>33</v>
      </c>
      <c r="C39" s="2" t="s">
        <v>526</v>
      </c>
      <c r="D39" s="2" t="s">
        <v>165</v>
      </c>
      <c r="E39" s="2" t="s">
        <v>165</v>
      </c>
      <c r="G39" s="11">
        <f t="shared" ref="G39:G70" si="2">+SUM(H39:S39)</f>
        <v>0</v>
      </c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</row>
    <row r="40" spans="1:19">
      <c r="A40" s="7">
        <v>34</v>
      </c>
      <c r="C40" s="2" t="s">
        <v>526</v>
      </c>
      <c r="D40" s="2" t="s">
        <v>165</v>
      </c>
      <c r="E40" s="2" t="s">
        <v>165</v>
      </c>
      <c r="G40" s="11">
        <f t="shared" si="2"/>
        <v>0</v>
      </c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</row>
    <row r="41" spans="1:19">
      <c r="A41" s="7">
        <v>35</v>
      </c>
      <c r="C41" s="2" t="s">
        <v>526</v>
      </c>
      <c r="D41" s="2" t="s">
        <v>165</v>
      </c>
      <c r="E41" s="2" t="s">
        <v>165</v>
      </c>
      <c r="G41" s="11">
        <f t="shared" si="2"/>
        <v>0</v>
      </c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</row>
    <row r="42" spans="1:19">
      <c r="A42" s="7">
        <v>36</v>
      </c>
      <c r="C42" s="2" t="s">
        <v>526</v>
      </c>
      <c r="D42" s="2" t="s">
        <v>165</v>
      </c>
      <c r="E42" s="2" t="s">
        <v>165</v>
      </c>
      <c r="G42" s="11">
        <f t="shared" si="2"/>
        <v>0</v>
      </c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</row>
    <row r="43" spans="1:19">
      <c r="A43" s="7">
        <v>37</v>
      </c>
      <c r="C43" s="2" t="s">
        <v>526</v>
      </c>
      <c r="D43" s="2" t="s">
        <v>165</v>
      </c>
      <c r="E43" s="2" t="s">
        <v>165</v>
      </c>
      <c r="G43" s="11">
        <f t="shared" si="2"/>
        <v>0</v>
      </c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</row>
    <row r="44" spans="1:19">
      <c r="A44" s="7">
        <v>38</v>
      </c>
      <c r="C44" s="2" t="s">
        <v>526</v>
      </c>
      <c r="D44" s="2" t="s">
        <v>165</v>
      </c>
      <c r="E44" s="2" t="s">
        <v>165</v>
      </c>
      <c r="G44" s="11">
        <f t="shared" si="2"/>
        <v>0</v>
      </c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</row>
    <row r="45" spans="1:19">
      <c r="A45" s="7">
        <v>39</v>
      </c>
      <c r="C45" s="2" t="s">
        <v>526</v>
      </c>
      <c r="D45" s="2" t="s">
        <v>165</v>
      </c>
      <c r="E45" s="2" t="s">
        <v>165</v>
      </c>
      <c r="G45" s="11">
        <f t="shared" si="2"/>
        <v>0</v>
      </c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</row>
    <row r="46" spans="1:19">
      <c r="A46" s="7">
        <v>40</v>
      </c>
      <c r="C46" s="2" t="s">
        <v>526</v>
      </c>
      <c r="D46" s="2" t="s">
        <v>165</v>
      </c>
      <c r="E46" s="2" t="s">
        <v>165</v>
      </c>
      <c r="G46" s="11">
        <f t="shared" si="2"/>
        <v>0</v>
      </c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</row>
    <row r="47" spans="1:19">
      <c r="A47" s="7">
        <v>41</v>
      </c>
      <c r="C47" s="2" t="s">
        <v>526</v>
      </c>
      <c r="D47" s="2" t="s">
        <v>165</v>
      </c>
      <c r="E47" s="2" t="s">
        <v>165</v>
      </c>
      <c r="G47" s="11">
        <f t="shared" si="2"/>
        <v>0</v>
      </c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</row>
    <row r="48" spans="1:19">
      <c r="A48" s="7">
        <v>42</v>
      </c>
      <c r="C48" s="2" t="s">
        <v>526</v>
      </c>
      <c r="D48" s="2" t="s">
        <v>165</v>
      </c>
      <c r="E48" s="2" t="s">
        <v>165</v>
      </c>
      <c r="G48" s="11">
        <f t="shared" si="2"/>
        <v>0</v>
      </c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</row>
    <row r="49" spans="1:19">
      <c r="A49" s="7">
        <v>43</v>
      </c>
      <c r="C49" s="2" t="s">
        <v>526</v>
      </c>
      <c r="D49" s="2" t="s">
        <v>165</v>
      </c>
      <c r="E49" s="2" t="s">
        <v>165</v>
      </c>
      <c r="G49" s="11">
        <f t="shared" si="2"/>
        <v>0</v>
      </c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</row>
    <row r="50" spans="1:19">
      <c r="A50" s="7">
        <v>44</v>
      </c>
      <c r="C50" s="2" t="s">
        <v>526</v>
      </c>
      <c r="D50" s="2" t="s">
        <v>165</v>
      </c>
      <c r="E50" s="2" t="s">
        <v>165</v>
      </c>
      <c r="G50" s="11">
        <f t="shared" si="2"/>
        <v>0</v>
      </c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</row>
    <row r="51" spans="1:19">
      <c r="A51" s="7">
        <v>45</v>
      </c>
      <c r="C51" s="2" t="s">
        <v>526</v>
      </c>
      <c r="D51" s="2" t="s">
        <v>165</v>
      </c>
      <c r="E51" s="2" t="s">
        <v>165</v>
      </c>
      <c r="G51" s="11">
        <f t="shared" si="2"/>
        <v>0</v>
      </c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</row>
    <row r="52" spans="1:19">
      <c r="A52" s="7">
        <v>46</v>
      </c>
      <c r="C52" s="2" t="s">
        <v>526</v>
      </c>
      <c r="D52" s="2" t="s">
        <v>165</v>
      </c>
      <c r="E52" s="2" t="s">
        <v>165</v>
      </c>
      <c r="G52" s="11">
        <f t="shared" si="2"/>
        <v>0</v>
      </c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</row>
    <row r="53" spans="1:19">
      <c r="A53" s="7">
        <v>47</v>
      </c>
      <c r="C53" s="2" t="s">
        <v>526</v>
      </c>
      <c r="D53" s="2" t="s">
        <v>165</v>
      </c>
      <c r="E53" s="2" t="s">
        <v>165</v>
      </c>
      <c r="G53" s="11">
        <f t="shared" si="2"/>
        <v>0</v>
      </c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</row>
    <row r="54" spans="1:19">
      <c r="A54" s="7">
        <v>48</v>
      </c>
      <c r="C54" s="2" t="s">
        <v>526</v>
      </c>
      <c r="D54" s="2" t="s">
        <v>165</v>
      </c>
      <c r="E54" s="2" t="s">
        <v>165</v>
      </c>
      <c r="G54" s="11">
        <f t="shared" si="2"/>
        <v>0</v>
      </c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</row>
    <row r="55" spans="1:19">
      <c r="A55" s="7">
        <v>49</v>
      </c>
      <c r="C55" s="2" t="s">
        <v>526</v>
      </c>
      <c r="D55" s="2" t="s">
        <v>165</v>
      </c>
      <c r="E55" s="2" t="s">
        <v>165</v>
      </c>
      <c r="G55" s="11">
        <f t="shared" si="2"/>
        <v>0</v>
      </c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</row>
    <row r="56" spans="1:19">
      <c r="A56" s="7">
        <v>50</v>
      </c>
      <c r="C56" s="2" t="s">
        <v>526</v>
      </c>
      <c r="D56" s="2" t="s">
        <v>165</v>
      </c>
      <c r="E56" s="2" t="s">
        <v>165</v>
      </c>
      <c r="G56" s="11">
        <f t="shared" si="2"/>
        <v>0</v>
      </c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</row>
    <row r="57" spans="1:19">
      <c r="A57" s="7">
        <v>51</v>
      </c>
      <c r="C57" s="2" t="s">
        <v>526</v>
      </c>
      <c r="D57" s="2" t="s">
        <v>165</v>
      </c>
      <c r="E57" s="2" t="s">
        <v>165</v>
      </c>
      <c r="G57" s="11">
        <f t="shared" si="2"/>
        <v>0</v>
      </c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</row>
    <row r="58" spans="1:19">
      <c r="A58" s="7">
        <v>52</v>
      </c>
      <c r="C58" s="2" t="s">
        <v>526</v>
      </c>
      <c r="D58" s="2" t="s">
        <v>165</v>
      </c>
      <c r="E58" s="2" t="s">
        <v>165</v>
      </c>
      <c r="G58" s="11">
        <f t="shared" si="2"/>
        <v>0</v>
      </c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</row>
    <row r="59" spans="1:19">
      <c r="A59" s="7">
        <v>53</v>
      </c>
      <c r="C59" s="2" t="s">
        <v>526</v>
      </c>
      <c r="D59" s="2" t="s">
        <v>165</v>
      </c>
      <c r="E59" s="2" t="s">
        <v>165</v>
      </c>
      <c r="G59" s="11">
        <f t="shared" si="2"/>
        <v>0</v>
      </c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</row>
    <row r="60" spans="1:19">
      <c r="A60" s="7">
        <v>54</v>
      </c>
      <c r="C60" s="2" t="s">
        <v>526</v>
      </c>
      <c r="D60" s="2" t="s">
        <v>165</v>
      </c>
      <c r="E60" s="2" t="s">
        <v>165</v>
      </c>
      <c r="G60" s="11">
        <f t="shared" si="2"/>
        <v>0</v>
      </c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</row>
    <row r="61" spans="1:19">
      <c r="A61" s="7">
        <v>55</v>
      </c>
      <c r="C61" s="2" t="s">
        <v>526</v>
      </c>
      <c r="D61" s="2" t="s">
        <v>165</v>
      </c>
      <c r="E61" s="2" t="s">
        <v>165</v>
      </c>
      <c r="G61" s="11">
        <f t="shared" si="2"/>
        <v>0</v>
      </c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</row>
    <row r="62" spans="1:19">
      <c r="A62" s="7">
        <v>56</v>
      </c>
      <c r="C62" s="2" t="s">
        <v>526</v>
      </c>
      <c r="D62" s="2" t="s">
        <v>165</v>
      </c>
      <c r="E62" s="2" t="s">
        <v>165</v>
      </c>
      <c r="G62" s="11">
        <f t="shared" si="2"/>
        <v>0</v>
      </c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</row>
    <row r="63" spans="1:19">
      <c r="A63" s="7">
        <v>57</v>
      </c>
      <c r="C63" s="2" t="s">
        <v>526</v>
      </c>
      <c r="D63" s="2" t="s">
        <v>165</v>
      </c>
      <c r="E63" s="2" t="s">
        <v>165</v>
      </c>
      <c r="G63" s="11">
        <f t="shared" si="2"/>
        <v>0</v>
      </c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</row>
    <row r="64" spans="1:19">
      <c r="A64" s="7">
        <v>58</v>
      </c>
      <c r="C64" s="2" t="s">
        <v>526</v>
      </c>
      <c r="D64" s="2" t="s">
        <v>165</v>
      </c>
      <c r="E64" s="2" t="s">
        <v>165</v>
      </c>
      <c r="G64" s="11">
        <f t="shared" si="2"/>
        <v>0</v>
      </c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</row>
    <row r="65" spans="1:19">
      <c r="A65" s="7">
        <v>59</v>
      </c>
      <c r="C65" s="2" t="s">
        <v>526</v>
      </c>
      <c r="D65" s="2" t="s">
        <v>165</v>
      </c>
      <c r="E65" s="2" t="s">
        <v>165</v>
      </c>
      <c r="G65" s="11">
        <f t="shared" si="2"/>
        <v>0</v>
      </c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</row>
    <row r="66" spans="1:19">
      <c r="A66" s="7">
        <v>60</v>
      </c>
      <c r="C66" s="2" t="s">
        <v>526</v>
      </c>
      <c r="D66" s="2" t="s">
        <v>165</v>
      </c>
      <c r="E66" s="2" t="s">
        <v>165</v>
      </c>
      <c r="G66" s="11">
        <f t="shared" si="2"/>
        <v>0</v>
      </c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</row>
    <row r="67" spans="1:19">
      <c r="A67" s="7">
        <v>61</v>
      </c>
      <c r="C67" s="2" t="s">
        <v>526</v>
      </c>
      <c r="D67" s="2" t="s">
        <v>165</v>
      </c>
      <c r="E67" s="2" t="s">
        <v>165</v>
      </c>
      <c r="G67" s="11">
        <f t="shared" si="2"/>
        <v>0</v>
      </c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</row>
    <row r="68" spans="1:19">
      <c r="A68" s="7">
        <v>62</v>
      </c>
      <c r="C68" s="2" t="s">
        <v>526</v>
      </c>
      <c r="D68" s="2" t="s">
        <v>165</v>
      </c>
      <c r="E68" s="2" t="s">
        <v>165</v>
      </c>
      <c r="G68" s="11">
        <f t="shared" si="2"/>
        <v>0</v>
      </c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</row>
    <row r="69" spans="1:19">
      <c r="A69" s="7">
        <v>63</v>
      </c>
      <c r="C69" s="2" t="s">
        <v>526</v>
      </c>
      <c r="D69" s="2" t="s">
        <v>165</v>
      </c>
      <c r="E69" s="2" t="s">
        <v>165</v>
      </c>
      <c r="G69" s="11">
        <f t="shared" si="2"/>
        <v>0</v>
      </c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</row>
    <row r="70" spans="1:19">
      <c r="A70" s="7">
        <v>64</v>
      </c>
      <c r="C70" s="2" t="s">
        <v>526</v>
      </c>
      <c r="D70" s="2" t="s">
        <v>165</v>
      </c>
      <c r="E70" s="2" t="s">
        <v>165</v>
      </c>
      <c r="G70" s="11">
        <f t="shared" si="2"/>
        <v>0</v>
      </c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</row>
    <row r="71" spans="1:19">
      <c r="A71" s="7">
        <v>65</v>
      </c>
      <c r="C71" s="2" t="s">
        <v>526</v>
      </c>
      <c r="D71" s="2" t="s">
        <v>165</v>
      </c>
      <c r="E71" s="2" t="s">
        <v>165</v>
      </c>
      <c r="G71" s="11">
        <f t="shared" ref="G71:G102" si="3">+SUM(H71:S71)</f>
        <v>0</v>
      </c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</row>
    <row r="72" spans="1:19">
      <c r="A72" s="7">
        <v>66</v>
      </c>
      <c r="C72" s="2" t="s">
        <v>526</v>
      </c>
      <c r="D72" s="2" t="s">
        <v>165</v>
      </c>
      <c r="E72" s="2" t="s">
        <v>165</v>
      </c>
      <c r="G72" s="11">
        <f t="shared" si="3"/>
        <v>0</v>
      </c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</row>
    <row r="73" spans="1:19">
      <c r="A73" s="7">
        <v>67</v>
      </c>
      <c r="C73" s="2" t="s">
        <v>526</v>
      </c>
      <c r="D73" s="2" t="s">
        <v>165</v>
      </c>
      <c r="E73" s="2" t="s">
        <v>165</v>
      </c>
      <c r="G73" s="11">
        <f t="shared" si="3"/>
        <v>0</v>
      </c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</row>
    <row r="74" spans="1:19">
      <c r="A74" s="7">
        <v>68</v>
      </c>
      <c r="C74" s="2" t="s">
        <v>526</v>
      </c>
      <c r="D74" s="2" t="s">
        <v>165</v>
      </c>
      <c r="E74" s="2" t="s">
        <v>165</v>
      </c>
      <c r="G74" s="11">
        <f t="shared" si="3"/>
        <v>0</v>
      </c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</row>
    <row r="75" spans="1:19">
      <c r="A75" s="7">
        <v>69</v>
      </c>
      <c r="C75" s="2" t="s">
        <v>526</v>
      </c>
      <c r="D75" s="2" t="s">
        <v>165</v>
      </c>
      <c r="E75" s="2" t="s">
        <v>165</v>
      </c>
      <c r="G75" s="11">
        <f t="shared" si="3"/>
        <v>0</v>
      </c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</row>
    <row r="76" spans="1:19">
      <c r="A76" s="7">
        <v>70</v>
      </c>
      <c r="C76" s="2" t="s">
        <v>526</v>
      </c>
      <c r="D76" s="2" t="s">
        <v>165</v>
      </c>
      <c r="E76" s="2" t="s">
        <v>165</v>
      </c>
      <c r="G76" s="11">
        <f t="shared" si="3"/>
        <v>0</v>
      </c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</row>
    <row r="77" spans="1:19">
      <c r="A77" s="7">
        <v>71</v>
      </c>
      <c r="C77" s="2" t="s">
        <v>526</v>
      </c>
      <c r="D77" s="2" t="s">
        <v>165</v>
      </c>
      <c r="E77" s="2" t="s">
        <v>165</v>
      </c>
      <c r="G77" s="11">
        <f t="shared" si="3"/>
        <v>0</v>
      </c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</row>
    <row r="78" spans="1:19">
      <c r="A78" s="7">
        <v>72</v>
      </c>
      <c r="C78" s="2" t="s">
        <v>526</v>
      </c>
      <c r="D78" s="2" t="s">
        <v>165</v>
      </c>
      <c r="E78" s="2" t="s">
        <v>165</v>
      </c>
      <c r="G78" s="11">
        <f t="shared" si="3"/>
        <v>0</v>
      </c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</row>
    <row r="79" spans="1:19">
      <c r="A79" s="7">
        <v>73</v>
      </c>
      <c r="C79" s="2" t="s">
        <v>526</v>
      </c>
      <c r="D79" s="2" t="s">
        <v>165</v>
      </c>
      <c r="E79" s="2" t="s">
        <v>165</v>
      </c>
      <c r="G79" s="11">
        <f t="shared" si="3"/>
        <v>0</v>
      </c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</row>
    <row r="80" spans="1:19">
      <c r="A80" s="7">
        <v>74</v>
      </c>
      <c r="C80" s="2" t="s">
        <v>526</v>
      </c>
      <c r="D80" s="2" t="s">
        <v>165</v>
      </c>
      <c r="E80" s="2" t="s">
        <v>165</v>
      </c>
      <c r="G80" s="11">
        <f t="shared" si="3"/>
        <v>0</v>
      </c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</row>
    <row r="81" spans="1:19">
      <c r="A81" s="7">
        <v>75</v>
      </c>
      <c r="C81" s="2" t="s">
        <v>526</v>
      </c>
      <c r="D81" s="2" t="s">
        <v>165</v>
      </c>
      <c r="E81" s="2" t="s">
        <v>165</v>
      </c>
      <c r="G81" s="11">
        <f t="shared" si="3"/>
        <v>0</v>
      </c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</row>
    <row r="82" spans="1:19">
      <c r="A82" s="7">
        <v>76</v>
      </c>
      <c r="C82" s="2" t="s">
        <v>526</v>
      </c>
      <c r="D82" s="2" t="s">
        <v>165</v>
      </c>
      <c r="E82" s="2" t="s">
        <v>165</v>
      </c>
      <c r="G82" s="11">
        <f t="shared" si="3"/>
        <v>0</v>
      </c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</row>
    <row r="83" spans="1:19">
      <c r="A83" s="7">
        <v>77</v>
      </c>
      <c r="C83" s="2" t="s">
        <v>526</v>
      </c>
      <c r="D83" s="2" t="s">
        <v>165</v>
      </c>
      <c r="E83" s="2" t="s">
        <v>165</v>
      </c>
      <c r="G83" s="11">
        <f t="shared" si="3"/>
        <v>0</v>
      </c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</row>
    <row r="84" spans="1:19">
      <c r="A84" s="7">
        <v>78</v>
      </c>
      <c r="C84" s="2" t="s">
        <v>526</v>
      </c>
      <c r="D84" s="2" t="s">
        <v>165</v>
      </c>
      <c r="E84" s="2" t="s">
        <v>165</v>
      </c>
      <c r="G84" s="11">
        <f t="shared" si="3"/>
        <v>0</v>
      </c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</row>
    <row r="85" spans="1:19">
      <c r="A85" s="7">
        <v>79</v>
      </c>
      <c r="C85" s="2" t="s">
        <v>526</v>
      </c>
      <c r="D85" s="2" t="s">
        <v>165</v>
      </c>
      <c r="E85" s="2" t="s">
        <v>165</v>
      </c>
      <c r="G85" s="11">
        <f t="shared" si="3"/>
        <v>0</v>
      </c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</row>
    <row r="86" spans="1:19">
      <c r="A86" s="7">
        <v>80</v>
      </c>
      <c r="C86" s="2" t="s">
        <v>526</v>
      </c>
      <c r="D86" s="2" t="s">
        <v>165</v>
      </c>
      <c r="E86" s="2" t="s">
        <v>165</v>
      </c>
      <c r="G86" s="11">
        <f t="shared" si="3"/>
        <v>0</v>
      </c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</row>
    <row r="87" spans="1:19">
      <c r="A87" s="7">
        <v>81</v>
      </c>
      <c r="C87" s="2" t="s">
        <v>526</v>
      </c>
      <c r="D87" s="2" t="s">
        <v>165</v>
      </c>
      <c r="E87" s="2" t="s">
        <v>165</v>
      </c>
      <c r="G87" s="11">
        <f t="shared" si="3"/>
        <v>0</v>
      </c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</row>
    <row r="88" spans="1:19">
      <c r="A88" s="7">
        <v>82</v>
      </c>
      <c r="C88" s="2" t="s">
        <v>526</v>
      </c>
      <c r="D88" s="2" t="s">
        <v>165</v>
      </c>
      <c r="E88" s="2" t="s">
        <v>165</v>
      </c>
      <c r="G88" s="11">
        <f t="shared" si="3"/>
        <v>0</v>
      </c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</row>
    <row r="89" spans="1:19">
      <c r="A89" s="7">
        <v>83</v>
      </c>
      <c r="C89" s="2" t="s">
        <v>526</v>
      </c>
      <c r="D89" s="2" t="s">
        <v>165</v>
      </c>
      <c r="E89" s="2" t="s">
        <v>165</v>
      </c>
      <c r="G89" s="11">
        <f t="shared" si="3"/>
        <v>0</v>
      </c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</row>
    <row r="90" spans="1:19">
      <c r="A90" s="7">
        <v>84</v>
      </c>
      <c r="C90" s="2" t="s">
        <v>526</v>
      </c>
      <c r="D90" s="2" t="s">
        <v>165</v>
      </c>
      <c r="E90" s="2" t="s">
        <v>165</v>
      </c>
      <c r="G90" s="11">
        <f t="shared" si="3"/>
        <v>0</v>
      </c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</row>
    <row r="91" spans="1:19">
      <c r="A91" s="7">
        <v>85</v>
      </c>
      <c r="C91" s="2" t="s">
        <v>526</v>
      </c>
      <c r="D91" s="2" t="s">
        <v>165</v>
      </c>
      <c r="E91" s="2" t="s">
        <v>165</v>
      </c>
      <c r="G91" s="11">
        <f t="shared" si="3"/>
        <v>0</v>
      </c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</row>
    <row r="92" spans="1:19">
      <c r="A92" s="7">
        <v>86</v>
      </c>
      <c r="C92" s="2" t="s">
        <v>526</v>
      </c>
      <c r="D92" s="2" t="s">
        <v>165</v>
      </c>
      <c r="E92" s="2" t="s">
        <v>165</v>
      </c>
      <c r="G92" s="11">
        <f t="shared" si="3"/>
        <v>0</v>
      </c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</row>
    <row r="93" spans="1:19">
      <c r="A93" s="7">
        <v>87</v>
      </c>
      <c r="C93" s="2" t="s">
        <v>526</v>
      </c>
      <c r="D93" s="2" t="s">
        <v>165</v>
      </c>
      <c r="E93" s="2" t="s">
        <v>165</v>
      </c>
      <c r="G93" s="11">
        <f t="shared" si="3"/>
        <v>0</v>
      </c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</row>
    <row r="94" spans="1:19">
      <c r="A94" s="7">
        <v>88</v>
      </c>
      <c r="C94" s="2" t="s">
        <v>526</v>
      </c>
      <c r="D94" s="2" t="s">
        <v>165</v>
      </c>
      <c r="E94" s="2" t="s">
        <v>165</v>
      </c>
      <c r="G94" s="11">
        <f t="shared" si="3"/>
        <v>0</v>
      </c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</row>
    <row r="95" spans="1:19">
      <c r="A95" s="7">
        <v>89</v>
      </c>
      <c r="C95" s="2" t="s">
        <v>526</v>
      </c>
      <c r="D95" s="2" t="s">
        <v>165</v>
      </c>
      <c r="E95" s="2" t="s">
        <v>165</v>
      </c>
      <c r="G95" s="11">
        <f t="shared" si="3"/>
        <v>0</v>
      </c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</row>
    <row r="96" spans="1:19">
      <c r="A96" s="7">
        <v>90</v>
      </c>
      <c r="C96" s="2" t="s">
        <v>526</v>
      </c>
      <c r="D96" s="2" t="s">
        <v>165</v>
      </c>
      <c r="E96" s="2" t="s">
        <v>165</v>
      </c>
      <c r="G96" s="11">
        <f t="shared" si="3"/>
        <v>0</v>
      </c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</row>
    <row r="97" spans="1:19">
      <c r="A97" s="7">
        <v>91</v>
      </c>
      <c r="C97" s="2" t="s">
        <v>526</v>
      </c>
      <c r="D97" s="2" t="s">
        <v>165</v>
      </c>
      <c r="E97" s="2" t="s">
        <v>165</v>
      </c>
      <c r="G97" s="11">
        <f t="shared" si="3"/>
        <v>0</v>
      </c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</row>
    <row r="98" spans="1:19">
      <c r="A98" s="7">
        <v>92</v>
      </c>
      <c r="C98" s="2" t="s">
        <v>526</v>
      </c>
      <c r="D98" s="2" t="s">
        <v>165</v>
      </c>
      <c r="E98" s="2" t="s">
        <v>165</v>
      </c>
      <c r="G98" s="11">
        <f t="shared" si="3"/>
        <v>0</v>
      </c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</row>
    <row r="99" spans="1:19">
      <c r="A99" s="7">
        <v>93</v>
      </c>
      <c r="C99" s="2" t="s">
        <v>526</v>
      </c>
      <c r="D99" s="2" t="s">
        <v>165</v>
      </c>
      <c r="E99" s="2" t="s">
        <v>165</v>
      </c>
      <c r="G99" s="11">
        <f t="shared" si="3"/>
        <v>0</v>
      </c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</row>
    <row r="100" spans="1:19">
      <c r="A100" s="7">
        <v>94</v>
      </c>
      <c r="C100" s="2" t="s">
        <v>526</v>
      </c>
      <c r="D100" s="2" t="s">
        <v>165</v>
      </c>
      <c r="E100" s="2" t="s">
        <v>165</v>
      </c>
      <c r="G100" s="11">
        <f t="shared" si="3"/>
        <v>0</v>
      </c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</row>
    <row r="101" spans="1:19">
      <c r="A101" s="7">
        <v>95</v>
      </c>
      <c r="C101" s="2" t="s">
        <v>526</v>
      </c>
      <c r="D101" s="2" t="s">
        <v>165</v>
      </c>
      <c r="E101" s="2" t="s">
        <v>165</v>
      </c>
      <c r="G101" s="11">
        <f t="shared" si="3"/>
        <v>0</v>
      </c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</row>
    <row r="102" spans="1:19">
      <c r="A102" s="7">
        <v>96</v>
      </c>
      <c r="C102" s="2" t="s">
        <v>526</v>
      </c>
      <c r="D102" s="2" t="s">
        <v>165</v>
      </c>
      <c r="E102" s="2" t="s">
        <v>165</v>
      </c>
      <c r="G102" s="11">
        <f t="shared" si="3"/>
        <v>0</v>
      </c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</row>
    <row r="103" spans="1:19">
      <c r="A103" s="7">
        <v>97</v>
      </c>
      <c r="C103" s="2" t="s">
        <v>526</v>
      </c>
      <c r="D103" s="2" t="s">
        <v>165</v>
      </c>
      <c r="E103" s="2" t="s">
        <v>165</v>
      </c>
      <c r="G103" s="11">
        <f t="shared" ref="G103:G106" si="4">+SUM(H103:S103)</f>
        <v>0</v>
      </c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</row>
    <row r="104" spans="1:19">
      <c r="A104" s="7">
        <v>98</v>
      </c>
      <c r="C104" s="2" t="s">
        <v>526</v>
      </c>
      <c r="D104" s="2" t="s">
        <v>165</v>
      </c>
      <c r="E104" s="2" t="s">
        <v>165</v>
      </c>
      <c r="G104" s="11">
        <f t="shared" si="4"/>
        <v>0</v>
      </c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</row>
    <row r="105" spans="1:19">
      <c r="A105" s="7">
        <v>99</v>
      </c>
      <c r="C105" s="2" t="s">
        <v>526</v>
      </c>
      <c r="D105" s="2" t="s">
        <v>165</v>
      </c>
      <c r="E105" s="2" t="s">
        <v>165</v>
      </c>
      <c r="G105" s="11">
        <f t="shared" si="4"/>
        <v>0</v>
      </c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</row>
    <row r="106" spans="1:19">
      <c r="A106" s="7">
        <v>100</v>
      </c>
      <c r="C106" s="2" t="s">
        <v>526</v>
      </c>
      <c r="D106" s="2" t="s">
        <v>165</v>
      </c>
      <c r="E106" s="2" t="s">
        <v>165</v>
      </c>
      <c r="G106" s="11">
        <f t="shared" si="4"/>
        <v>0</v>
      </c>
      <c r="H106" s="12"/>
      <c r="I106" s="12"/>
      <c r="J106" s="12"/>
      <c r="K106" s="12"/>
      <c r="L106" s="12"/>
      <c r="M106" s="12"/>
      <c r="N106" s="12"/>
      <c r="O106" s="12"/>
      <c r="P106" s="12"/>
      <c r="Q106" s="12"/>
      <c r="R106" s="12"/>
      <c r="S106" s="12"/>
    </row>
  </sheetData>
  <mergeCells count="5">
    <mergeCell ref="A5:S5"/>
    <mergeCell ref="A1:S1"/>
    <mergeCell ref="A2:S2"/>
    <mergeCell ref="A3:B3"/>
    <mergeCell ref="A4:B4"/>
  </mergeCells>
  <pageMargins left="0.7" right="0.7" top="0.75" bottom="0.75" header="0.3" footer="0.3"/>
  <pageSetup scale="42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18E38EAA-6D4A-4D01-8E5F-06CE76DE4CA0}">
          <x14:formula1>
            <xm:f>INPUT!$A$2:$A$9</xm:f>
          </x14:formula1>
          <xm:sqref>F4</xm:sqref>
        </x14:dataValidation>
        <x14:dataValidation type="list" allowBlank="1" showInputMessage="1" showErrorMessage="1" xr:uid="{F631812B-D62D-4A24-8A48-1837EF1F18E4}">
          <x14:formula1>
            <xm:f>INPUT!$C$2:$C$7</xm:f>
          </x14:formula1>
          <xm:sqref>B7:B56</xm:sqref>
        </x14:dataValidation>
        <x14:dataValidation type="list" allowBlank="1" showInputMessage="1" showErrorMessage="1" xr:uid="{55F46C31-3EED-48C0-BE89-984C66CFBA7F}">
          <x14:formula1>
            <xm:f>INPUT!$B$2:$B$10</xm:f>
          </x14:formula1>
          <xm:sqref>F3</xm:sqref>
        </x14:dataValidation>
        <x14:dataValidation type="list" allowBlank="1" showInputMessage="1" showErrorMessage="1" xr:uid="{16803A19-B0BE-4473-8666-924056D6014C}">
          <x14:formula1>
            <xm:f>Categorías!$T$1</xm:f>
          </x14:formula1>
          <xm:sqref>D7:E106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1D52F7-C303-4F55-BB12-A162D24BE317}">
  <dimension ref="A1:T117"/>
  <sheetViews>
    <sheetView zoomScale="80" zoomScaleNormal="80" workbookViewId="0">
      <selection activeCell="Q34" sqref="Q34"/>
    </sheetView>
  </sheetViews>
  <sheetFormatPr defaultColWidth="11.42578125" defaultRowHeight="14.45"/>
  <cols>
    <col min="1" max="1" width="27.85546875" bestFit="1" customWidth="1"/>
    <col min="2" max="2" width="14.7109375" bestFit="1" customWidth="1"/>
    <col min="3" max="3" width="14.42578125" bestFit="1" customWidth="1"/>
    <col min="4" max="4" width="27.85546875" bestFit="1" customWidth="1"/>
    <col min="6" max="6" width="26.85546875" bestFit="1" customWidth="1"/>
    <col min="7" max="7" width="12" bestFit="1" customWidth="1"/>
    <col min="9" max="9" width="12.140625" bestFit="1" customWidth="1"/>
    <col min="17" max="18" width="14.5703125" bestFit="1" customWidth="1"/>
  </cols>
  <sheetData>
    <row r="1" spans="1:20">
      <c r="A1" s="99" t="s">
        <v>471</v>
      </c>
      <c r="B1" s="99"/>
      <c r="C1" s="99"/>
      <c r="R1" t="s">
        <v>467</v>
      </c>
      <c r="S1" t="s">
        <v>551</v>
      </c>
      <c r="T1" t="s">
        <v>552</v>
      </c>
    </row>
    <row r="2" spans="1:20">
      <c r="A2" t="s">
        <v>553</v>
      </c>
      <c r="B2" t="s">
        <v>554</v>
      </c>
      <c r="C2" t="s">
        <v>555</v>
      </c>
      <c r="E2" t="s">
        <v>553</v>
      </c>
      <c r="F2" t="s">
        <v>554</v>
      </c>
      <c r="G2" t="s">
        <v>555</v>
      </c>
      <c r="I2" t="s">
        <v>242</v>
      </c>
      <c r="J2" s="16">
        <f>+_xlfn.XLOOKUP($I2,Presupuesto2026!$A:$A,Presupuesto2026!D:D,"!",0,1)</f>
        <v>3888528</v>
      </c>
      <c r="R2" t="s">
        <v>242</v>
      </c>
      <c r="S2" s="16">
        <v>3888.5279999999998</v>
      </c>
      <c r="T2" s="55">
        <f>+S2/$S$8</f>
        <v>0.50864513921354371</v>
      </c>
    </row>
    <row r="3" spans="1:20">
      <c r="A3" t="s">
        <v>132</v>
      </c>
      <c r="B3" s="53">
        <f>+C3/1000000</f>
        <v>0.81530800000000003</v>
      </c>
      <c r="C3" s="16">
        <f>+_xlfn.XLOOKUP($A3,Presupuesto2026!$A:$A,Presupuesto2026!$D:$D,"!",0,1)</f>
        <v>815308</v>
      </c>
      <c r="E3" t="s">
        <v>471</v>
      </c>
      <c r="F3" s="53">
        <f>+G3/1000000</f>
        <v>2.5483920000000002</v>
      </c>
      <c r="G3" s="16">
        <f>+C3+C4+C5</f>
        <v>2548392</v>
      </c>
      <c r="I3" t="s">
        <v>180</v>
      </c>
      <c r="J3" s="16">
        <f>+_xlfn.XLOOKUP($I3,Presupuesto2026!$A:$A,Presupuesto2026!D:D,"!",0,1)</f>
        <v>1079024</v>
      </c>
      <c r="R3" t="s">
        <v>10</v>
      </c>
      <c r="S3" s="16">
        <v>1256.845</v>
      </c>
      <c r="T3" s="55">
        <f t="shared" ref="T3:T7" si="0">+S3/$S$8</f>
        <v>0.16440362522652435</v>
      </c>
    </row>
    <row r="4" spans="1:20">
      <c r="A4" t="s">
        <v>10</v>
      </c>
      <c r="B4" s="53">
        <f t="shared" ref="B4:B5" si="1">+C4/1000000</f>
        <v>1.256845</v>
      </c>
      <c r="C4" s="16">
        <f>+_xlfn.XLOOKUP($A4,Presupuesto2026!$A:$A,Presupuesto2026!$D:$D,"!",0,1)</f>
        <v>1256845</v>
      </c>
      <c r="E4" t="s">
        <v>472</v>
      </c>
      <c r="F4" s="53">
        <f>+G4/1000000</f>
        <v>5.096482</v>
      </c>
      <c r="G4" s="16">
        <f>+J5</f>
        <v>5096482</v>
      </c>
      <c r="I4" t="s">
        <v>316</v>
      </c>
      <c r="J4" s="16">
        <f>+_xlfn.XLOOKUP($I4,Presupuesto2026!$A:$A,Presupuesto2026!D:D,"!",0,1)</f>
        <v>128930</v>
      </c>
      <c r="R4" t="s">
        <v>180</v>
      </c>
      <c r="S4" s="16">
        <v>1079.0239999999999</v>
      </c>
      <c r="T4" s="55">
        <f t="shared" si="0"/>
        <v>0.14114346423498936</v>
      </c>
    </row>
    <row r="5" spans="1:20">
      <c r="A5" t="s">
        <v>179</v>
      </c>
      <c r="B5" s="53">
        <f t="shared" si="1"/>
        <v>0.47623900000000002</v>
      </c>
      <c r="C5" s="16">
        <f>+_xlfn.XLOOKUP($A5,Presupuesto2026!$A:$A,Presupuesto2026!$D:$D,"!",0,1)</f>
        <v>476239</v>
      </c>
      <c r="G5" s="18">
        <f>SUM(G3:G4)</f>
        <v>7644874</v>
      </c>
      <c r="J5" s="18">
        <f>SUM(J2:J4)</f>
        <v>5096482</v>
      </c>
      <c r="R5" t="s">
        <v>132</v>
      </c>
      <c r="S5" s="16">
        <v>815.30799999999999</v>
      </c>
      <c r="T5" s="55">
        <f t="shared" si="0"/>
        <v>0.10664767005970277</v>
      </c>
    </row>
    <row r="6" spans="1:20">
      <c r="B6" s="53"/>
      <c r="C6" s="18">
        <f>SUM(C3:C5)</f>
        <v>2548392</v>
      </c>
      <c r="R6" t="s">
        <v>179</v>
      </c>
      <c r="S6" s="16">
        <v>476.23899999999998</v>
      </c>
      <c r="T6" s="55">
        <f t="shared" si="0"/>
        <v>6.2295205911830596E-2</v>
      </c>
    </row>
    <row r="7" spans="1:20">
      <c r="R7" t="s">
        <v>316</v>
      </c>
      <c r="S7" s="16">
        <v>128.93</v>
      </c>
      <c r="T7" s="55">
        <f t="shared" si="0"/>
        <v>1.6864895353409359E-2</v>
      </c>
    </row>
    <row r="8" spans="1:20">
      <c r="R8" t="s">
        <v>520</v>
      </c>
      <c r="S8" s="16">
        <f>SUM(S2:S7)</f>
        <v>7644.8739999999989</v>
      </c>
      <c r="T8" s="93">
        <f>SUM(T2:T7)</f>
        <v>1</v>
      </c>
    </row>
    <row r="24" spans="1:7">
      <c r="A24" s="54" t="s">
        <v>153</v>
      </c>
      <c r="B24" s="35" t="s">
        <v>521</v>
      </c>
    </row>
    <row r="25" spans="1:7">
      <c r="A25" s="54" t="s">
        <v>522</v>
      </c>
      <c r="B25" s="35" t="s">
        <v>521</v>
      </c>
      <c r="C25" s="35"/>
    </row>
    <row r="26" spans="1:7">
      <c r="A26" s="54" t="s">
        <v>209</v>
      </c>
      <c r="B26" s="35" t="s">
        <v>132</v>
      </c>
      <c r="C26" s="35"/>
    </row>
    <row r="27" spans="1:7" ht="15" thickBot="1"/>
    <row r="28" spans="1:7">
      <c r="A28" s="54" t="s">
        <v>1</v>
      </c>
      <c r="B28" s="35" t="s">
        <v>523</v>
      </c>
      <c r="D28" s="56" t="s">
        <v>1</v>
      </c>
      <c r="E28" s="56" t="s">
        <v>555</v>
      </c>
    </row>
    <row r="29" spans="1:7">
      <c r="A29" s="35" t="s">
        <v>357</v>
      </c>
      <c r="B29" s="36">
        <v>577620</v>
      </c>
      <c r="D29" s="35" t="s">
        <v>357</v>
      </c>
      <c r="E29" s="36">
        <v>577620</v>
      </c>
      <c r="F29" s="16">
        <f>+E29+F28</f>
        <v>577620</v>
      </c>
      <c r="G29" s="55">
        <f>+F29/$E$36</f>
        <v>0.70846845609266684</v>
      </c>
    </row>
    <row r="30" spans="1:7">
      <c r="A30" s="35" t="s">
        <v>174</v>
      </c>
      <c r="B30" s="36">
        <v>146297</v>
      </c>
      <c r="D30" s="88" t="s">
        <v>174</v>
      </c>
      <c r="E30" s="89">
        <v>146297</v>
      </c>
      <c r="F30" s="17">
        <f t="shared" ref="F30:F35" si="2">+E30+F29</f>
        <v>723917</v>
      </c>
      <c r="G30" s="90">
        <f t="shared" ref="G30:G35" si="3">+F30/$E$36</f>
        <v>0.88790616552272272</v>
      </c>
    </row>
    <row r="31" spans="1:7">
      <c r="A31" s="35" t="s">
        <v>173</v>
      </c>
      <c r="B31" s="36">
        <v>37000</v>
      </c>
      <c r="D31" s="35" t="s">
        <v>173</v>
      </c>
      <c r="E31" s="36">
        <v>37000</v>
      </c>
      <c r="F31" s="16">
        <f t="shared" si="2"/>
        <v>760917</v>
      </c>
      <c r="G31" s="55">
        <f t="shared" si="3"/>
        <v>0.93328778817330382</v>
      </c>
    </row>
    <row r="32" spans="1:7">
      <c r="A32" s="35" t="s">
        <v>171</v>
      </c>
      <c r="B32" s="36">
        <v>24000</v>
      </c>
      <c r="D32" s="35" t="s">
        <v>171</v>
      </c>
      <c r="E32" s="36">
        <v>24000</v>
      </c>
      <c r="F32" s="16">
        <f t="shared" si="2"/>
        <v>784917</v>
      </c>
      <c r="G32" s="55">
        <f t="shared" si="3"/>
        <v>0.96272451637908618</v>
      </c>
    </row>
    <row r="33" spans="1:7">
      <c r="A33" s="35" t="s">
        <v>67</v>
      </c>
      <c r="B33" s="36">
        <v>12391</v>
      </c>
      <c r="D33" s="35" t="s">
        <v>67</v>
      </c>
      <c r="E33" s="36">
        <v>12391</v>
      </c>
      <c r="F33" s="16">
        <f t="shared" si="2"/>
        <v>797308</v>
      </c>
      <c r="G33" s="55">
        <f t="shared" si="3"/>
        <v>0.97792245384566323</v>
      </c>
    </row>
    <row r="34" spans="1:7">
      <c r="A34" s="35" t="s">
        <v>43</v>
      </c>
      <c r="B34" s="36">
        <v>12000</v>
      </c>
      <c r="D34" s="35" t="s">
        <v>43</v>
      </c>
      <c r="E34" s="36">
        <v>12000</v>
      </c>
      <c r="F34" s="16">
        <f t="shared" si="2"/>
        <v>809308</v>
      </c>
      <c r="G34" s="55">
        <f t="shared" si="3"/>
        <v>0.99264081794855441</v>
      </c>
    </row>
    <row r="35" spans="1:7">
      <c r="A35" s="35" t="s">
        <v>166</v>
      </c>
      <c r="B35" s="36">
        <v>6000</v>
      </c>
      <c r="D35" s="35" t="s">
        <v>166</v>
      </c>
      <c r="E35" s="36">
        <v>6000</v>
      </c>
      <c r="F35" s="16">
        <f t="shared" si="2"/>
        <v>815308</v>
      </c>
      <c r="G35" s="55">
        <f t="shared" si="3"/>
        <v>1</v>
      </c>
    </row>
    <row r="36" spans="1:7">
      <c r="A36" s="35" t="s">
        <v>520</v>
      </c>
      <c r="B36" s="36">
        <v>815308</v>
      </c>
      <c r="E36" s="16">
        <f>SUM(E29:E35)</f>
        <v>815308</v>
      </c>
    </row>
    <row r="40" spans="1:7">
      <c r="A40" s="54" t="s">
        <v>153</v>
      </c>
      <c r="B40" s="35" t="s">
        <v>521</v>
      </c>
    </row>
    <row r="41" spans="1:7">
      <c r="A41" s="54" t="s">
        <v>522</v>
      </c>
      <c r="B41" s="35" t="s">
        <v>521</v>
      </c>
    </row>
    <row r="42" spans="1:7">
      <c r="A42" s="54" t="s">
        <v>209</v>
      </c>
      <c r="B42" s="35" t="s">
        <v>10</v>
      </c>
    </row>
    <row r="43" spans="1:7" ht="15" thickBot="1"/>
    <row r="44" spans="1:7">
      <c r="A44" s="54" t="s">
        <v>1</v>
      </c>
      <c r="B44" s="35" t="s">
        <v>523</v>
      </c>
      <c r="D44" s="56" t="s">
        <v>1</v>
      </c>
      <c r="E44" s="56" t="s">
        <v>555</v>
      </c>
    </row>
    <row r="45" spans="1:7">
      <c r="A45" s="35" t="s">
        <v>198</v>
      </c>
      <c r="B45" s="36">
        <v>360000</v>
      </c>
      <c r="C45" s="16"/>
      <c r="D45" s="35" t="s">
        <v>198</v>
      </c>
      <c r="E45" s="36">
        <v>360000</v>
      </c>
      <c r="F45">
        <f>+E45+F44</f>
        <v>360000</v>
      </c>
      <c r="G45" s="55">
        <f>+F45/$E$73</f>
        <v>0.2864315010999765</v>
      </c>
    </row>
    <row r="46" spans="1:7">
      <c r="A46" s="35" t="s">
        <v>357</v>
      </c>
      <c r="B46" s="36">
        <v>242600</v>
      </c>
      <c r="C46" s="16"/>
      <c r="D46" s="35" t="s">
        <v>357</v>
      </c>
      <c r="E46" s="36">
        <v>242600</v>
      </c>
      <c r="F46">
        <f t="shared" ref="F46:F72" si="4">+E46+F45</f>
        <v>602600</v>
      </c>
      <c r="G46" s="55">
        <f t="shared" ref="G46:G72" si="5">+F46/$E$73</f>
        <v>0.47945450711901627</v>
      </c>
    </row>
    <row r="47" spans="1:7">
      <c r="A47" s="35" t="s">
        <v>187</v>
      </c>
      <c r="B47" s="36">
        <v>218748</v>
      </c>
      <c r="C47" s="16"/>
      <c r="D47" s="35" t="s">
        <v>187</v>
      </c>
      <c r="E47" s="36">
        <v>218748</v>
      </c>
      <c r="F47">
        <f t="shared" si="4"/>
        <v>821348</v>
      </c>
      <c r="G47" s="55">
        <f t="shared" si="5"/>
        <v>0.65349983490406538</v>
      </c>
    </row>
    <row r="48" spans="1:7">
      <c r="A48" s="35" t="s">
        <v>172</v>
      </c>
      <c r="B48" s="36">
        <v>72000</v>
      </c>
      <c r="C48" s="16"/>
      <c r="D48" s="35" t="s">
        <v>172</v>
      </c>
      <c r="E48" s="36">
        <v>72000</v>
      </c>
      <c r="F48">
        <f t="shared" si="4"/>
        <v>893348</v>
      </c>
      <c r="G48" s="55">
        <f t="shared" si="5"/>
        <v>0.71078613512406064</v>
      </c>
    </row>
    <row r="49" spans="1:7">
      <c r="A49" s="35" t="s">
        <v>195</v>
      </c>
      <c r="B49" s="36">
        <v>70010</v>
      </c>
      <c r="C49" s="16"/>
      <c r="D49" s="35" t="s">
        <v>195</v>
      </c>
      <c r="E49" s="36">
        <v>70010</v>
      </c>
      <c r="F49">
        <f t="shared" si="4"/>
        <v>963358</v>
      </c>
      <c r="G49" s="55">
        <f t="shared" si="5"/>
        <v>0.76648910565742001</v>
      </c>
    </row>
    <row r="50" spans="1:7">
      <c r="A50" s="35" t="s">
        <v>194</v>
      </c>
      <c r="B50" s="36">
        <v>38520</v>
      </c>
      <c r="C50" s="16"/>
      <c r="D50" s="35" t="s">
        <v>194</v>
      </c>
      <c r="E50" s="36">
        <v>38520</v>
      </c>
      <c r="F50">
        <f t="shared" si="4"/>
        <v>1001878</v>
      </c>
      <c r="G50" s="55">
        <f t="shared" si="5"/>
        <v>0.79713727627511743</v>
      </c>
    </row>
    <row r="51" spans="1:7">
      <c r="A51" s="35" t="s">
        <v>35</v>
      </c>
      <c r="B51" s="36">
        <v>37040</v>
      </c>
      <c r="C51" s="16"/>
      <c r="D51" s="35" t="s">
        <v>35</v>
      </c>
      <c r="E51" s="36">
        <v>37040</v>
      </c>
      <c r="F51">
        <f t="shared" si="4"/>
        <v>1038918</v>
      </c>
      <c r="G51" s="55">
        <f t="shared" si="5"/>
        <v>0.82660789516607058</v>
      </c>
    </row>
    <row r="52" spans="1:7">
      <c r="A52" s="35" t="s">
        <v>47</v>
      </c>
      <c r="B52" s="36">
        <v>30000</v>
      </c>
      <c r="C52" s="16"/>
      <c r="D52" s="35" t="s">
        <v>47</v>
      </c>
      <c r="E52" s="36">
        <v>30000</v>
      </c>
      <c r="F52">
        <f t="shared" si="4"/>
        <v>1068918</v>
      </c>
      <c r="G52" s="55">
        <f t="shared" si="5"/>
        <v>0.850477186924402</v>
      </c>
    </row>
    <row r="53" spans="1:7">
      <c r="A53" s="35" t="s">
        <v>66</v>
      </c>
      <c r="B53" s="36">
        <v>21336</v>
      </c>
      <c r="C53" s="16"/>
      <c r="D53" s="35" t="s">
        <v>66</v>
      </c>
      <c r="E53" s="36">
        <v>21336</v>
      </c>
      <c r="F53">
        <f t="shared" si="4"/>
        <v>1090254</v>
      </c>
      <c r="G53" s="55">
        <f t="shared" si="5"/>
        <v>0.86745302722292728</v>
      </c>
    </row>
    <row r="54" spans="1:7">
      <c r="A54" s="35" t="s">
        <v>188</v>
      </c>
      <c r="B54" s="36">
        <v>20400</v>
      </c>
      <c r="C54" s="16"/>
      <c r="D54" s="35" t="s">
        <v>188</v>
      </c>
      <c r="E54" s="36">
        <v>20400</v>
      </c>
      <c r="F54">
        <f t="shared" si="4"/>
        <v>1110654</v>
      </c>
      <c r="G54" s="55">
        <f t="shared" si="5"/>
        <v>0.88368414561859254</v>
      </c>
    </row>
    <row r="55" spans="1:7">
      <c r="A55" s="35" t="s">
        <v>186</v>
      </c>
      <c r="B55" s="36">
        <v>19200</v>
      </c>
      <c r="C55" s="16"/>
      <c r="D55" s="88" t="s">
        <v>186</v>
      </c>
      <c r="E55" s="89">
        <v>19200</v>
      </c>
      <c r="F55" s="14">
        <f t="shared" si="4"/>
        <v>1129854</v>
      </c>
      <c r="G55" s="90">
        <f t="shared" si="5"/>
        <v>0.89896049234392472</v>
      </c>
    </row>
    <row r="56" spans="1:7">
      <c r="A56" s="35" t="s">
        <v>168</v>
      </c>
      <c r="B56" s="36">
        <v>17520</v>
      </c>
      <c r="C56" s="16"/>
      <c r="D56" s="35" t="s">
        <v>168</v>
      </c>
      <c r="E56" s="36">
        <v>17520</v>
      </c>
      <c r="F56">
        <f t="shared" si="4"/>
        <v>1147374</v>
      </c>
      <c r="G56" s="55">
        <f t="shared" si="5"/>
        <v>0.91290015873079022</v>
      </c>
    </row>
    <row r="57" spans="1:7">
      <c r="A57" s="35" t="s">
        <v>34</v>
      </c>
      <c r="B57" s="36">
        <v>14268</v>
      </c>
      <c r="C57" s="16"/>
      <c r="D57" s="35" t="s">
        <v>34</v>
      </c>
      <c r="E57" s="36">
        <v>14268</v>
      </c>
      <c r="F57">
        <f t="shared" si="4"/>
        <v>1161642</v>
      </c>
      <c r="G57" s="55">
        <f t="shared" si="5"/>
        <v>0.92425239389105263</v>
      </c>
    </row>
    <row r="58" spans="1:7">
      <c r="A58" s="35" t="s">
        <v>192</v>
      </c>
      <c r="B58" s="36">
        <v>13400</v>
      </c>
      <c r="C58" s="16"/>
      <c r="D58" s="35" t="s">
        <v>192</v>
      </c>
      <c r="E58" s="36">
        <v>13400</v>
      </c>
      <c r="F58">
        <f t="shared" si="4"/>
        <v>1175042</v>
      </c>
      <c r="G58" s="55">
        <f t="shared" si="5"/>
        <v>0.93491401087644066</v>
      </c>
    </row>
    <row r="59" spans="1:7">
      <c r="A59" s="35" t="s">
        <v>72</v>
      </c>
      <c r="B59" s="36">
        <v>12000</v>
      </c>
      <c r="C59" s="16"/>
      <c r="D59" s="35" t="s">
        <v>72</v>
      </c>
      <c r="E59" s="36">
        <v>12000</v>
      </c>
      <c r="F59">
        <f t="shared" si="4"/>
        <v>1187042</v>
      </c>
      <c r="G59" s="55">
        <f t="shared" si="5"/>
        <v>0.9444617275797732</v>
      </c>
    </row>
    <row r="60" spans="1:7">
      <c r="A60" s="35" t="s">
        <v>178</v>
      </c>
      <c r="B60" s="36">
        <v>10800</v>
      </c>
      <c r="C60" s="16"/>
      <c r="D60" s="35" t="s">
        <v>178</v>
      </c>
      <c r="E60" s="36">
        <v>10800</v>
      </c>
      <c r="F60">
        <f t="shared" si="4"/>
        <v>1197842</v>
      </c>
      <c r="G60" s="55">
        <f t="shared" si="5"/>
        <v>0.95305467261277244</v>
      </c>
    </row>
    <row r="61" spans="1:7">
      <c r="A61" s="35" t="s">
        <v>67</v>
      </c>
      <c r="B61" s="36">
        <v>10651</v>
      </c>
      <c r="C61" s="16"/>
      <c r="D61" s="35" t="s">
        <v>67</v>
      </c>
      <c r="E61" s="36">
        <v>10651</v>
      </c>
      <c r="F61">
        <f t="shared" si="4"/>
        <v>1208493</v>
      </c>
      <c r="G61" s="55">
        <f t="shared" si="5"/>
        <v>0.96152906683003869</v>
      </c>
    </row>
    <row r="62" spans="1:7">
      <c r="A62" s="35" t="s">
        <v>199</v>
      </c>
      <c r="B62" s="36">
        <v>9600</v>
      </c>
      <c r="C62" s="16"/>
      <c r="D62" s="35" t="s">
        <v>199</v>
      </c>
      <c r="E62" s="36">
        <v>9600</v>
      </c>
      <c r="F62">
        <f t="shared" si="4"/>
        <v>1218093</v>
      </c>
      <c r="G62" s="55">
        <f t="shared" si="5"/>
        <v>0.96916724019270473</v>
      </c>
    </row>
    <row r="63" spans="1:7">
      <c r="A63" s="35" t="s">
        <v>189</v>
      </c>
      <c r="B63" s="36">
        <v>7668</v>
      </c>
      <c r="C63" s="16"/>
      <c r="D63" s="35" t="s">
        <v>189</v>
      </c>
      <c r="E63" s="36">
        <v>7668</v>
      </c>
      <c r="F63">
        <f t="shared" si="4"/>
        <v>1225761</v>
      </c>
      <c r="G63" s="55">
        <f t="shared" si="5"/>
        <v>0.97526823116613426</v>
      </c>
    </row>
    <row r="64" spans="1:7">
      <c r="A64" s="35" t="s">
        <v>202</v>
      </c>
      <c r="B64" s="36">
        <v>6624</v>
      </c>
      <c r="C64" s="16"/>
      <c r="D64" s="35" t="s">
        <v>202</v>
      </c>
      <c r="E64" s="36">
        <v>6624</v>
      </c>
      <c r="F64">
        <f t="shared" si="4"/>
        <v>1232385</v>
      </c>
      <c r="G64" s="55">
        <f t="shared" si="5"/>
        <v>0.98053857078637385</v>
      </c>
    </row>
    <row r="65" spans="1:7">
      <c r="A65" s="35" t="s">
        <v>201</v>
      </c>
      <c r="B65" s="36">
        <v>6380</v>
      </c>
      <c r="C65" s="16"/>
      <c r="D65" s="35" t="s">
        <v>201</v>
      </c>
      <c r="E65" s="36">
        <v>6380</v>
      </c>
      <c r="F65">
        <f t="shared" si="4"/>
        <v>1238765</v>
      </c>
      <c r="G65" s="55">
        <f t="shared" si="5"/>
        <v>0.98561477350031224</v>
      </c>
    </row>
    <row r="66" spans="1:7">
      <c r="A66" s="35" t="s">
        <v>46</v>
      </c>
      <c r="B66" s="36">
        <v>6336</v>
      </c>
      <c r="C66" s="16"/>
      <c r="D66" s="35" t="s">
        <v>46</v>
      </c>
      <c r="E66" s="36">
        <v>6336</v>
      </c>
      <c r="F66">
        <f t="shared" si="4"/>
        <v>1245101</v>
      </c>
      <c r="G66" s="55">
        <f t="shared" si="5"/>
        <v>0.99065596791967192</v>
      </c>
    </row>
    <row r="67" spans="1:7">
      <c r="A67" s="35" t="s">
        <v>184</v>
      </c>
      <c r="B67" s="36">
        <v>3840</v>
      </c>
      <c r="C67" s="16"/>
      <c r="D67" s="35" t="s">
        <v>184</v>
      </c>
      <c r="E67" s="36">
        <v>3840</v>
      </c>
      <c r="F67">
        <f t="shared" si="4"/>
        <v>1248941</v>
      </c>
      <c r="G67" s="55">
        <f t="shared" si="5"/>
        <v>0.99371123726473831</v>
      </c>
    </row>
    <row r="68" spans="1:7">
      <c r="A68" s="35" t="s">
        <v>191</v>
      </c>
      <c r="B68" s="36">
        <v>3600</v>
      </c>
      <c r="C68" s="16"/>
      <c r="D68" s="35" t="s">
        <v>191</v>
      </c>
      <c r="E68" s="36">
        <v>3600</v>
      </c>
      <c r="F68">
        <f t="shared" si="4"/>
        <v>1252541</v>
      </c>
      <c r="G68" s="55">
        <f t="shared" si="5"/>
        <v>0.99657555227573802</v>
      </c>
    </row>
    <row r="69" spans="1:7">
      <c r="A69" s="35" t="s">
        <v>197</v>
      </c>
      <c r="B69" s="36">
        <v>2612</v>
      </c>
      <c r="C69" s="16"/>
      <c r="D69" s="35" t="s">
        <v>197</v>
      </c>
      <c r="E69" s="36">
        <v>2612</v>
      </c>
      <c r="F69">
        <f t="shared" si="4"/>
        <v>1255153</v>
      </c>
      <c r="G69" s="55">
        <f t="shared" si="5"/>
        <v>0.99865377194483007</v>
      </c>
    </row>
    <row r="70" spans="1:7">
      <c r="A70" s="35" t="s">
        <v>182</v>
      </c>
      <c r="B70" s="36">
        <v>1092</v>
      </c>
      <c r="C70" s="16"/>
      <c r="D70" s="35" t="s">
        <v>182</v>
      </c>
      <c r="E70" s="36">
        <v>1092</v>
      </c>
      <c r="F70">
        <f t="shared" si="4"/>
        <v>1256245</v>
      </c>
      <c r="G70" s="55">
        <f t="shared" si="5"/>
        <v>0.99952261416483335</v>
      </c>
    </row>
    <row r="71" spans="1:7">
      <c r="A71" s="35" t="s">
        <v>193</v>
      </c>
      <c r="B71" s="36">
        <v>600</v>
      </c>
      <c r="C71" s="16"/>
      <c r="D71" s="35" t="s">
        <v>193</v>
      </c>
      <c r="E71" s="36">
        <v>600</v>
      </c>
      <c r="F71">
        <f t="shared" si="4"/>
        <v>1256845</v>
      </c>
      <c r="G71" s="55">
        <f t="shared" si="5"/>
        <v>1</v>
      </c>
    </row>
    <row r="72" spans="1:7">
      <c r="A72" s="35" t="s">
        <v>173</v>
      </c>
      <c r="B72" s="36">
        <v>0</v>
      </c>
      <c r="C72" s="16"/>
      <c r="D72" t="s">
        <v>173</v>
      </c>
      <c r="E72">
        <v>0</v>
      </c>
      <c r="F72">
        <f t="shared" si="4"/>
        <v>1256845</v>
      </c>
      <c r="G72" s="55">
        <f t="shared" si="5"/>
        <v>1</v>
      </c>
    </row>
    <row r="73" spans="1:7">
      <c r="A73" s="35" t="s">
        <v>520</v>
      </c>
      <c r="B73" s="36">
        <v>1256845</v>
      </c>
      <c r="E73" s="16">
        <f>SUM(E45:E72)</f>
        <v>1256845</v>
      </c>
    </row>
    <row r="77" spans="1:7">
      <c r="A77" s="54" t="s">
        <v>153</v>
      </c>
      <c r="B77" s="35" t="s">
        <v>521</v>
      </c>
    </row>
    <row r="78" spans="1:7">
      <c r="A78" s="54" t="s">
        <v>522</v>
      </c>
      <c r="B78" s="35" t="s">
        <v>521</v>
      </c>
    </row>
    <row r="79" spans="1:7">
      <c r="A79" s="54" t="s">
        <v>209</v>
      </c>
      <c r="B79" s="35" t="s">
        <v>242</v>
      </c>
    </row>
    <row r="80" spans="1:7" ht="15" thickBot="1"/>
    <row r="81" spans="1:7">
      <c r="A81" s="54" t="s">
        <v>1</v>
      </c>
      <c r="B81" s="35" t="s">
        <v>523</v>
      </c>
      <c r="D81" s="56" t="s">
        <v>1</v>
      </c>
      <c r="E81" s="56" t="s">
        <v>555</v>
      </c>
    </row>
    <row r="82" spans="1:7">
      <c r="A82" s="35" t="s">
        <v>357</v>
      </c>
      <c r="B82" s="36">
        <v>3292876</v>
      </c>
      <c r="D82" s="35" t="s">
        <v>357</v>
      </c>
      <c r="E82" s="36">
        <v>3292876</v>
      </c>
      <c r="F82">
        <f t="shared" ref="F82:F90" si="6">+E82+F81</f>
        <v>3292876</v>
      </c>
      <c r="G82" s="55">
        <f>+F82/$E$91</f>
        <v>0.84681812757938224</v>
      </c>
    </row>
    <row r="83" spans="1:7">
      <c r="A83" s="35" t="s">
        <v>68</v>
      </c>
      <c r="B83" s="36">
        <v>401250</v>
      </c>
      <c r="D83" s="88" t="s">
        <v>68</v>
      </c>
      <c r="E83" s="89">
        <v>401250</v>
      </c>
      <c r="F83" s="14">
        <f t="shared" si="6"/>
        <v>3694126</v>
      </c>
      <c r="G83" s="90">
        <f t="shared" ref="G83:G90" si="7">+F83/$E$91</f>
        <v>0.95000627486802203</v>
      </c>
    </row>
    <row r="84" spans="1:7">
      <c r="A84" s="35" t="s">
        <v>172</v>
      </c>
      <c r="B84" s="36">
        <v>81300</v>
      </c>
      <c r="D84" s="35" t="s">
        <v>172</v>
      </c>
      <c r="E84" s="36">
        <v>81300</v>
      </c>
      <c r="F84">
        <f t="shared" si="6"/>
        <v>3775426</v>
      </c>
      <c r="G84" s="55">
        <f t="shared" si="7"/>
        <v>0.97091392938407539</v>
      </c>
    </row>
    <row r="85" spans="1:7">
      <c r="A85" s="35" t="s">
        <v>187</v>
      </c>
      <c r="B85" s="36">
        <v>60000</v>
      </c>
      <c r="D85" s="35" t="s">
        <v>187</v>
      </c>
      <c r="E85" s="36">
        <v>60000</v>
      </c>
      <c r="F85">
        <f t="shared" si="6"/>
        <v>3835426</v>
      </c>
      <c r="G85" s="55">
        <f t="shared" si="7"/>
        <v>0.98634393271695608</v>
      </c>
    </row>
    <row r="86" spans="1:7">
      <c r="A86" s="35" t="s">
        <v>62</v>
      </c>
      <c r="B86" s="36">
        <v>32400</v>
      </c>
      <c r="D86" s="35" t="s">
        <v>62</v>
      </c>
      <c r="E86" s="36">
        <v>32400</v>
      </c>
      <c r="F86">
        <f t="shared" si="6"/>
        <v>3867826</v>
      </c>
      <c r="G86" s="55">
        <f t="shared" si="7"/>
        <v>0.99467613451671177</v>
      </c>
    </row>
    <row r="87" spans="1:7">
      <c r="A87" s="35" t="s">
        <v>167</v>
      </c>
      <c r="B87" s="36">
        <v>10000</v>
      </c>
      <c r="D87" s="35" t="s">
        <v>167</v>
      </c>
      <c r="E87" s="36">
        <v>10000</v>
      </c>
      <c r="F87">
        <f t="shared" si="6"/>
        <v>3877826</v>
      </c>
      <c r="G87" s="55">
        <f t="shared" si="7"/>
        <v>0.99724780173885852</v>
      </c>
    </row>
    <row r="88" spans="1:7">
      <c r="A88" s="35" t="s">
        <v>47</v>
      </c>
      <c r="B88" s="36">
        <v>9000</v>
      </c>
      <c r="D88" s="35" t="s">
        <v>47</v>
      </c>
      <c r="E88" s="36">
        <v>9000</v>
      </c>
      <c r="F88">
        <f t="shared" si="6"/>
        <v>3886826</v>
      </c>
      <c r="G88" s="55">
        <f t="shared" si="7"/>
        <v>0.99956230223879061</v>
      </c>
    </row>
    <row r="89" spans="1:7">
      <c r="A89" s="35" t="s">
        <v>171</v>
      </c>
      <c r="B89" s="36">
        <v>1702</v>
      </c>
      <c r="D89" s="35" t="s">
        <v>171</v>
      </c>
      <c r="E89" s="36">
        <v>1702</v>
      </c>
      <c r="F89">
        <f t="shared" si="6"/>
        <v>3888528</v>
      </c>
      <c r="G89" s="55">
        <f t="shared" si="7"/>
        <v>1</v>
      </c>
    </row>
    <row r="90" spans="1:7">
      <c r="A90" s="35" t="s">
        <v>173</v>
      </c>
      <c r="B90" s="36">
        <v>0</v>
      </c>
      <c r="D90" t="s">
        <v>173</v>
      </c>
      <c r="E90">
        <v>0</v>
      </c>
      <c r="F90">
        <f t="shared" si="6"/>
        <v>3888528</v>
      </c>
      <c r="G90" s="55">
        <f t="shared" si="7"/>
        <v>1</v>
      </c>
    </row>
    <row r="91" spans="1:7">
      <c r="A91" s="35" t="s">
        <v>520</v>
      </c>
      <c r="B91" s="36">
        <v>3888528</v>
      </c>
      <c r="E91" s="16">
        <f>SUM(E82:E90)</f>
        <v>3888528</v>
      </c>
    </row>
    <row r="95" spans="1:7">
      <c r="A95" s="54" t="s">
        <v>153</v>
      </c>
      <c r="B95" s="35" t="s">
        <v>521</v>
      </c>
    </row>
    <row r="96" spans="1:7">
      <c r="A96" s="54" t="s">
        <v>522</v>
      </c>
      <c r="B96" s="35" t="s">
        <v>521</v>
      </c>
    </row>
    <row r="97" spans="1:7">
      <c r="A97" s="54" t="s">
        <v>209</v>
      </c>
      <c r="B97" s="35" t="s">
        <v>180</v>
      </c>
    </row>
    <row r="98" spans="1:7" ht="15" thickBot="1"/>
    <row r="99" spans="1:7">
      <c r="A99" s="54" t="s">
        <v>1</v>
      </c>
      <c r="B99" s="35" t="s">
        <v>523</v>
      </c>
      <c r="D99" s="56" t="s">
        <v>1</v>
      </c>
      <c r="E99" s="56" t="s">
        <v>555</v>
      </c>
    </row>
    <row r="100" spans="1:7">
      <c r="A100" s="35" t="s">
        <v>357</v>
      </c>
      <c r="B100" s="36">
        <v>730724</v>
      </c>
      <c r="D100" s="35" t="s">
        <v>357</v>
      </c>
      <c r="E100" s="36">
        <v>730724</v>
      </c>
      <c r="F100">
        <f t="shared" ref="F100" si="8">+E100+F99</f>
        <v>730724</v>
      </c>
      <c r="G100" s="55">
        <f>+F100/$E$107</f>
        <v>0.67720829193789944</v>
      </c>
    </row>
    <row r="101" spans="1:7">
      <c r="A101" s="35" t="s">
        <v>68</v>
      </c>
      <c r="B101" s="36">
        <v>200000</v>
      </c>
      <c r="D101" s="35" t="s">
        <v>68</v>
      </c>
      <c r="E101" s="36">
        <v>200000</v>
      </c>
      <c r="F101">
        <f t="shared" ref="F101:F106" si="9">+E101+F100</f>
        <v>930724</v>
      </c>
      <c r="G101" s="55">
        <f t="shared" ref="G101:G106" si="10">+F101/$E$107</f>
        <v>0.8625609810347129</v>
      </c>
    </row>
    <row r="102" spans="1:7">
      <c r="A102" s="35" t="s">
        <v>172</v>
      </c>
      <c r="B102" s="36">
        <v>78300</v>
      </c>
      <c r="D102" s="88" t="s">
        <v>172</v>
      </c>
      <c r="E102" s="89">
        <v>78300</v>
      </c>
      <c r="F102" s="14">
        <f t="shared" si="9"/>
        <v>1009024</v>
      </c>
      <c r="G102" s="90">
        <f t="shared" si="10"/>
        <v>0.93512655881611528</v>
      </c>
    </row>
    <row r="103" spans="1:7">
      <c r="A103" s="35" t="s">
        <v>47</v>
      </c>
      <c r="B103" s="36">
        <v>27000</v>
      </c>
      <c r="D103" s="35" t="s">
        <v>47</v>
      </c>
      <c r="E103" s="36">
        <v>27000</v>
      </c>
      <c r="F103">
        <f t="shared" si="9"/>
        <v>1036024</v>
      </c>
      <c r="G103" s="55">
        <f t="shared" si="10"/>
        <v>0.96014917184418513</v>
      </c>
    </row>
    <row r="104" spans="1:7">
      <c r="A104" s="35" t="s">
        <v>171</v>
      </c>
      <c r="B104" s="36">
        <v>24000</v>
      </c>
      <c r="D104" s="35" t="s">
        <v>171</v>
      </c>
      <c r="E104" s="36">
        <v>24000</v>
      </c>
      <c r="F104">
        <f t="shared" si="9"/>
        <v>1060024</v>
      </c>
      <c r="G104" s="55">
        <f t="shared" si="10"/>
        <v>0.98239149453580277</v>
      </c>
    </row>
    <row r="105" spans="1:7">
      <c r="A105" s="35" t="s">
        <v>173</v>
      </c>
      <c r="B105" s="36">
        <v>10000</v>
      </c>
      <c r="D105" s="35" t="s">
        <v>173</v>
      </c>
      <c r="E105" s="36">
        <v>10000</v>
      </c>
      <c r="F105">
        <f t="shared" si="9"/>
        <v>1070024</v>
      </c>
      <c r="G105" s="55">
        <f t="shared" si="10"/>
        <v>0.99165912899064335</v>
      </c>
    </row>
    <row r="106" spans="1:7">
      <c r="A106" s="35" t="s">
        <v>167</v>
      </c>
      <c r="B106" s="36">
        <v>9000</v>
      </c>
      <c r="D106" s="35" t="s">
        <v>167</v>
      </c>
      <c r="E106" s="36">
        <v>9000</v>
      </c>
      <c r="F106">
        <f t="shared" si="9"/>
        <v>1079024</v>
      </c>
      <c r="G106" s="55">
        <f t="shared" si="10"/>
        <v>1</v>
      </c>
    </row>
    <row r="107" spans="1:7" ht="15" thickBot="1">
      <c r="A107" s="35" t="s">
        <v>520</v>
      </c>
      <c r="B107" s="36">
        <v>1079024</v>
      </c>
      <c r="D107" s="57" t="s">
        <v>520</v>
      </c>
      <c r="E107" s="58">
        <v>1079024</v>
      </c>
    </row>
    <row r="110" spans="1:7">
      <c r="A110" s="54" t="s">
        <v>153</v>
      </c>
      <c r="B110" s="35" t="s">
        <v>521</v>
      </c>
    </row>
    <row r="111" spans="1:7">
      <c r="A111" s="54" t="s">
        <v>522</v>
      </c>
      <c r="B111" s="35" t="s">
        <v>521</v>
      </c>
    </row>
    <row r="112" spans="1:7">
      <c r="A112" s="54" t="s">
        <v>209</v>
      </c>
      <c r="B112" s="35" t="s">
        <v>316</v>
      </c>
    </row>
    <row r="114" spans="1:2">
      <c r="A114" s="54" t="s">
        <v>1</v>
      </c>
      <c r="B114" s="35" t="s">
        <v>523</v>
      </c>
    </row>
    <row r="115" spans="1:2">
      <c r="A115" s="35" t="s">
        <v>357</v>
      </c>
      <c r="B115" s="36">
        <v>114098</v>
      </c>
    </row>
    <row r="116" spans="1:2">
      <c r="A116" s="35" t="s">
        <v>172</v>
      </c>
      <c r="B116" s="36">
        <v>14832</v>
      </c>
    </row>
    <row r="117" spans="1:2">
      <c r="A117" s="35" t="s">
        <v>520</v>
      </c>
      <c r="B117" s="36">
        <v>128930</v>
      </c>
    </row>
  </sheetData>
  <mergeCells count="1">
    <mergeCell ref="A1:C1"/>
  </mergeCells>
  <pageMargins left="0.7" right="0.7" top="0.75" bottom="0.75" header="0.3" footer="0.3"/>
  <drawing r:id="rId6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9BFEBF-8785-4EF7-866A-C20EAE2D0E5B}">
  <dimension ref="A1:G25"/>
  <sheetViews>
    <sheetView zoomScale="80" zoomScaleNormal="80" workbookViewId="0">
      <selection activeCell="F24" sqref="F24"/>
    </sheetView>
  </sheetViews>
  <sheetFormatPr defaultColWidth="11.42578125" defaultRowHeight="14.45"/>
  <cols>
    <col min="1" max="1" width="18.140625" bestFit="1" customWidth="1"/>
    <col min="2" max="2" width="23.140625" bestFit="1" customWidth="1"/>
    <col min="3" max="6" width="8.140625" bestFit="1" customWidth="1"/>
    <col min="7" max="7" width="12.5703125" bestFit="1" customWidth="1"/>
    <col min="8" max="8" width="13.7109375" bestFit="1" customWidth="1"/>
    <col min="9" max="9" width="14.85546875" bestFit="1" customWidth="1"/>
    <col min="10" max="10" width="13.7109375" bestFit="1" customWidth="1"/>
    <col min="11" max="11" width="14.85546875" bestFit="1" customWidth="1"/>
    <col min="12" max="12" width="18.7109375" bestFit="1" customWidth="1"/>
    <col min="13" max="13" width="19.7109375" bestFit="1" customWidth="1"/>
    <col min="14" max="14" width="13" customWidth="1"/>
    <col min="15" max="15" width="12.5703125" bestFit="1" customWidth="1"/>
  </cols>
  <sheetData>
    <row r="1" spans="1:7">
      <c r="A1" s="44" t="s">
        <v>523</v>
      </c>
      <c r="B1" s="44" t="s">
        <v>556</v>
      </c>
    </row>
    <row r="2" spans="1:7">
      <c r="A2" s="44" t="s">
        <v>557</v>
      </c>
      <c r="B2" t="s">
        <v>144</v>
      </c>
      <c r="C2" t="s">
        <v>135</v>
      </c>
      <c r="D2" t="s">
        <v>133</v>
      </c>
      <c r="E2" t="s">
        <v>141</v>
      </c>
      <c r="F2" t="s">
        <v>138</v>
      </c>
      <c r="G2" t="s">
        <v>520</v>
      </c>
    </row>
    <row r="3" spans="1:7">
      <c r="A3" s="45" t="s">
        <v>558</v>
      </c>
      <c r="B3" s="16">
        <v>1362031.2875304301</v>
      </c>
      <c r="C3" s="16">
        <v>189301.96255547131</v>
      </c>
      <c r="D3" s="16">
        <v>46141.768483893153</v>
      </c>
      <c r="E3" s="16">
        <v>6163.5220125786182</v>
      </c>
      <c r="F3" s="16">
        <v>45167.686199999996</v>
      </c>
      <c r="G3" s="16">
        <v>1648806.2267823732</v>
      </c>
    </row>
    <row r="4" spans="1:7">
      <c r="A4" s="45" t="s">
        <v>559</v>
      </c>
      <c r="B4" s="16">
        <v>229576.52034358567</v>
      </c>
      <c r="C4" s="16">
        <v>195467.57081566149</v>
      </c>
      <c r="D4" s="16">
        <v>207370.65308704248</v>
      </c>
      <c r="E4" s="16">
        <v>129145.28405320522</v>
      </c>
      <c r="F4" s="16">
        <v>134997.32798257645</v>
      </c>
      <c r="G4" s="16">
        <v>896557.35628207121</v>
      </c>
    </row>
    <row r="5" spans="1:7">
      <c r="A5" s="45" t="s">
        <v>560</v>
      </c>
      <c r="B5" s="16">
        <v>95569.51771653544</v>
      </c>
      <c r="C5" s="16">
        <v>132460.53739256575</v>
      </c>
      <c r="D5" s="16">
        <v>188088.28069683845</v>
      </c>
      <c r="E5" s="16">
        <v>54530.222127296031</v>
      </c>
      <c r="F5" s="16">
        <v>105002.67201742354</v>
      </c>
      <c r="G5" s="16">
        <v>575651.22995065921</v>
      </c>
    </row>
    <row r="6" spans="1:7">
      <c r="A6" s="45" t="s">
        <v>561</v>
      </c>
      <c r="B6" s="16">
        <v>12993.454724409448</v>
      </c>
      <c r="C6" s="16">
        <v>129788.08083743647</v>
      </c>
      <c r="D6" s="16">
        <v>72621.937038390737</v>
      </c>
      <c r="E6" s="16">
        <v>158251.92866296455</v>
      </c>
      <c r="F6" s="16">
        <v>0</v>
      </c>
      <c r="G6" s="16">
        <v>373655.4012632012</v>
      </c>
    </row>
    <row r="7" spans="1:7">
      <c r="A7" s="45" t="s">
        <v>562</v>
      </c>
      <c r="B7" s="16">
        <v>13071.259842519685</v>
      </c>
      <c r="C7" s="16">
        <v>31657.884069720312</v>
      </c>
      <c r="D7" s="16">
        <v>39642.142142142155</v>
      </c>
      <c r="E7" s="16">
        <v>178260.05766766344</v>
      </c>
      <c r="F7" s="16">
        <v>0</v>
      </c>
      <c r="G7" s="16">
        <v>262631.3437220456</v>
      </c>
    </row>
    <row r="8" spans="1:7">
      <c r="A8" s="45" t="s">
        <v>563</v>
      </c>
      <c r="B8" s="16">
        <v>13071.259842519685</v>
      </c>
      <c r="C8" s="16">
        <v>18246.453182002384</v>
      </c>
      <c r="D8" s="16">
        <v>28238.238238238206</v>
      </c>
      <c r="E8" s="16">
        <v>0</v>
      </c>
      <c r="F8" s="16">
        <v>0</v>
      </c>
      <c r="G8" s="16">
        <v>59555.951262760274</v>
      </c>
    </row>
    <row r="9" spans="1:7">
      <c r="A9" s="45" t="s">
        <v>564</v>
      </c>
      <c r="B9" s="16">
        <v>0</v>
      </c>
      <c r="C9" s="16">
        <v>2417.5111471423006</v>
      </c>
      <c r="D9" s="16">
        <v>45697.072072072013</v>
      </c>
      <c r="E9" s="16">
        <v>7998.9854762921459</v>
      </c>
      <c r="F9" s="16">
        <v>0</v>
      </c>
      <c r="G9" s="16">
        <v>56113.568695506459</v>
      </c>
    </row>
    <row r="10" spans="1:7">
      <c r="A10" s="45" t="s">
        <v>565</v>
      </c>
      <c r="B10" s="16">
        <v>0</v>
      </c>
      <c r="C10" s="16">
        <v>0</v>
      </c>
      <c r="D10" s="16">
        <v>0</v>
      </c>
      <c r="E10" s="16">
        <v>0</v>
      </c>
      <c r="F10" s="16">
        <v>0</v>
      </c>
      <c r="G10" s="16">
        <v>0</v>
      </c>
    </row>
    <row r="11" spans="1:7">
      <c r="A11" s="45" t="s">
        <v>566</v>
      </c>
      <c r="B11" s="16">
        <v>0</v>
      </c>
      <c r="C11" s="16">
        <v>0</v>
      </c>
      <c r="D11" s="16">
        <v>0</v>
      </c>
      <c r="E11" s="16">
        <v>0</v>
      </c>
      <c r="F11" s="16">
        <v>0</v>
      </c>
      <c r="G11" s="16">
        <v>0</v>
      </c>
    </row>
    <row r="12" spans="1:7">
      <c r="A12" s="45" t="s">
        <v>567</v>
      </c>
      <c r="B12" s="16">
        <v>0</v>
      </c>
      <c r="C12" s="16">
        <v>0</v>
      </c>
      <c r="D12" s="16">
        <v>0</v>
      </c>
      <c r="E12" s="16">
        <v>0</v>
      </c>
      <c r="F12" s="16">
        <v>0</v>
      </c>
      <c r="G12" s="16">
        <v>0</v>
      </c>
    </row>
    <row r="13" spans="1:7">
      <c r="A13" s="45" t="s">
        <v>568</v>
      </c>
      <c r="B13" s="16">
        <v>0</v>
      </c>
      <c r="C13" s="16">
        <v>0</v>
      </c>
      <c r="D13" s="16">
        <v>0</v>
      </c>
      <c r="E13" s="16">
        <v>0</v>
      </c>
      <c r="F13" s="16">
        <v>0</v>
      </c>
      <c r="G13" s="16">
        <v>0</v>
      </c>
    </row>
    <row r="14" spans="1:7">
      <c r="A14" s="45" t="s">
        <v>569</v>
      </c>
      <c r="B14" s="16">
        <v>0</v>
      </c>
      <c r="C14" s="16">
        <v>0</v>
      </c>
      <c r="D14" s="16">
        <v>0</v>
      </c>
      <c r="E14" s="16">
        <v>0</v>
      </c>
      <c r="F14" s="16">
        <v>0</v>
      </c>
      <c r="G14" s="16">
        <v>0</v>
      </c>
    </row>
    <row r="15" spans="1:7">
      <c r="A15" s="45" t="s">
        <v>520</v>
      </c>
      <c r="B15" s="16">
        <v>1726313.2999999998</v>
      </c>
      <c r="C15" s="16">
        <v>699340</v>
      </c>
      <c r="D15" s="16">
        <v>627800.0917586172</v>
      </c>
      <c r="E15" s="16">
        <v>534350</v>
      </c>
      <c r="F15" s="16">
        <v>285167.6862</v>
      </c>
      <c r="G15" s="16">
        <v>3872971.0779586169</v>
      </c>
    </row>
    <row r="19" spans="1:2">
      <c r="A19" s="44" t="s">
        <v>557</v>
      </c>
      <c r="B19" t="s">
        <v>523</v>
      </c>
    </row>
    <row r="20" spans="1:2">
      <c r="A20" s="45" t="s">
        <v>144</v>
      </c>
      <c r="B20" s="16">
        <v>1726313.2999999998</v>
      </c>
    </row>
    <row r="21" spans="1:2">
      <c r="A21" s="45" t="s">
        <v>135</v>
      </c>
      <c r="B21" s="16">
        <v>699340</v>
      </c>
    </row>
    <row r="22" spans="1:2">
      <c r="A22" s="45" t="s">
        <v>133</v>
      </c>
      <c r="B22" s="16">
        <v>627800.09175861708</v>
      </c>
    </row>
    <row r="23" spans="1:2">
      <c r="A23" s="45" t="s">
        <v>141</v>
      </c>
      <c r="B23" s="16">
        <v>534350</v>
      </c>
    </row>
    <row r="24" spans="1:2">
      <c r="A24" s="45" t="s">
        <v>138</v>
      </c>
      <c r="B24" s="16">
        <v>285167.6862</v>
      </c>
    </row>
    <row r="25" spans="1:2">
      <c r="A25" s="45" t="s">
        <v>520</v>
      </c>
      <c r="B25" s="16">
        <v>3872971.0779586169</v>
      </c>
    </row>
  </sheetData>
  <pageMargins left="0.7" right="0.7" top="0.75" bottom="0.75" header="0.3" footer="0.3"/>
  <drawing r:id="rId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479B6-4B8B-4F19-B90F-A10F79AB3FF3}">
  <sheetPr>
    <tabColor rgb="FFFF0000"/>
  </sheetPr>
  <dimension ref="A1:T122"/>
  <sheetViews>
    <sheetView topLeftCell="B1" zoomScale="80" zoomScaleNormal="80" workbookViewId="0">
      <selection activeCell="V21" sqref="V21"/>
    </sheetView>
  </sheetViews>
  <sheetFormatPr defaultColWidth="10.7109375" defaultRowHeight="14.45"/>
  <cols>
    <col min="1" max="1" width="22.7109375" bestFit="1" customWidth="1"/>
    <col min="2" max="2" width="26.28515625" bestFit="1" customWidth="1"/>
    <col min="3" max="3" width="45.28515625" bestFit="1" customWidth="1"/>
    <col min="4" max="4" width="12.7109375" bestFit="1" customWidth="1"/>
    <col min="5" max="5" width="11.42578125"/>
    <col min="6" max="6" width="12" bestFit="1" customWidth="1"/>
    <col min="7" max="7" width="11.42578125"/>
    <col min="8" max="8" width="39.28515625" customWidth="1"/>
    <col min="9" max="20" width="11.42578125" customWidth="1"/>
  </cols>
  <sheetData>
    <row r="1" spans="1:20">
      <c r="I1" s="19">
        <v>45658</v>
      </c>
      <c r="J1" s="19">
        <v>45689</v>
      </c>
      <c r="K1" s="19">
        <v>45717</v>
      </c>
      <c r="L1" s="19">
        <v>45748</v>
      </c>
      <c r="M1" s="19">
        <v>45778</v>
      </c>
      <c r="N1" s="19">
        <v>45809</v>
      </c>
      <c r="O1" s="19">
        <v>45839</v>
      </c>
      <c r="P1" s="19">
        <v>45870</v>
      </c>
      <c r="Q1" s="19">
        <v>45901</v>
      </c>
      <c r="R1" s="19">
        <v>45931</v>
      </c>
      <c r="S1" s="19">
        <v>45962</v>
      </c>
      <c r="T1" s="19">
        <v>45992</v>
      </c>
    </row>
    <row r="2" spans="1:20">
      <c r="H2" t="s">
        <v>570</v>
      </c>
      <c r="I2" s="16">
        <v>25</v>
      </c>
      <c r="J2" s="16">
        <v>25</v>
      </c>
      <c r="K2" s="16">
        <v>25</v>
      </c>
      <c r="L2" s="16">
        <v>25</v>
      </c>
      <c r="M2" s="16">
        <v>25</v>
      </c>
      <c r="N2" s="16">
        <v>25</v>
      </c>
      <c r="O2" s="16">
        <v>25</v>
      </c>
      <c r="P2" s="16">
        <v>25</v>
      </c>
      <c r="Q2" s="16">
        <v>25</v>
      </c>
      <c r="R2" s="16">
        <v>25</v>
      </c>
      <c r="S2" s="16">
        <v>25</v>
      </c>
      <c r="T2" s="16">
        <v>25</v>
      </c>
    </row>
    <row r="3" spans="1:20">
      <c r="H3" t="s">
        <v>571</v>
      </c>
      <c r="I3" s="16">
        <v>15</v>
      </c>
      <c r="J3" s="16">
        <v>10</v>
      </c>
      <c r="K3" s="16">
        <v>10</v>
      </c>
      <c r="L3" s="16">
        <v>10</v>
      </c>
      <c r="M3" s="16">
        <v>10</v>
      </c>
      <c r="N3" s="16">
        <v>10</v>
      </c>
      <c r="O3" s="16">
        <v>10</v>
      </c>
      <c r="P3" s="16">
        <v>10</v>
      </c>
      <c r="Q3" s="16">
        <v>10</v>
      </c>
      <c r="R3" s="16">
        <v>10</v>
      </c>
      <c r="S3" s="16">
        <v>10</v>
      </c>
      <c r="T3" s="16">
        <v>10</v>
      </c>
    </row>
    <row r="4" spans="1:20">
      <c r="H4" t="s">
        <v>572</v>
      </c>
      <c r="I4" s="16">
        <v>5</v>
      </c>
      <c r="J4" s="16">
        <v>5</v>
      </c>
      <c r="K4" s="16">
        <v>5</v>
      </c>
      <c r="L4" s="16">
        <v>5</v>
      </c>
      <c r="M4" s="16">
        <v>5</v>
      </c>
      <c r="N4" s="16">
        <v>5</v>
      </c>
      <c r="O4" s="16">
        <v>5</v>
      </c>
      <c r="P4" s="16">
        <v>5</v>
      </c>
      <c r="Q4" s="16">
        <v>5</v>
      </c>
      <c r="R4" s="16">
        <v>5</v>
      </c>
      <c r="S4" s="16">
        <v>5</v>
      </c>
      <c r="T4" s="16">
        <v>5</v>
      </c>
    </row>
    <row r="5" spans="1:20">
      <c r="H5" s="1" t="s">
        <v>573</v>
      </c>
      <c r="I5" s="18">
        <f t="shared" ref="I5:T5" si="0">+SUM(I11:I1048576)</f>
        <v>132543.5</v>
      </c>
      <c r="J5" s="18">
        <f t="shared" si="0"/>
        <v>102743.5</v>
      </c>
      <c r="K5" s="18">
        <f t="shared" si="0"/>
        <v>102743.5</v>
      </c>
      <c r="L5" s="18">
        <f t="shared" si="0"/>
        <v>102743.5</v>
      </c>
      <c r="M5" s="18">
        <f t="shared" si="0"/>
        <v>102743.5</v>
      </c>
      <c r="N5" s="18">
        <f t="shared" si="0"/>
        <v>102743.5</v>
      </c>
      <c r="O5" s="18">
        <f t="shared" si="0"/>
        <v>102743.5</v>
      </c>
      <c r="P5" s="18">
        <f t="shared" si="0"/>
        <v>102743.5</v>
      </c>
      <c r="Q5" s="18">
        <f t="shared" si="0"/>
        <v>102743.5</v>
      </c>
      <c r="R5" s="18">
        <f t="shared" si="0"/>
        <v>102743.5</v>
      </c>
      <c r="S5" s="18">
        <f t="shared" si="0"/>
        <v>102743.5</v>
      </c>
      <c r="T5" s="18">
        <f t="shared" si="0"/>
        <v>102743.5</v>
      </c>
    </row>
    <row r="10" spans="1:20">
      <c r="A10" s="1" t="s">
        <v>0</v>
      </c>
      <c r="B10" s="1" t="s">
        <v>1</v>
      </c>
      <c r="C10" s="1" t="s">
        <v>2</v>
      </c>
      <c r="D10" s="1" t="s">
        <v>574</v>
      </c>
      <c r="E10" s="1" t="s">
        <v>575</v>
      </c>
      <c r="F10" s="1" t="s">
        <v>576</v>
      </c>
      <c r="G10" s="1" t="s">
        <v>573</v>
      </c>
      <c r="H10" s="1" t="s">
        <v>577</v>
      </c>
      <c r="I10" s="19">
        <v>45658</v>
      </c>
      <c r="J10" s="19">
        <v>45689</v>
      </c>
      <c r="K10" s="19">
        <v>45717</v>
      </c>
      <c r="L10" s="19">
        <v>45748</v>
      </c>
      <c r="M10" s="19">
        <v>45778</v>
      </c>
      <c r="N10" s="19">
        <v>45809</v>
      </c>
      <c r="O10" s="19">
        <v>45839</v>
      </c>
      <c r="P10" s="19">
        <v>45870</v>
      </c>
      <c r="Q10" s="19">
        <v>45901</v>
      </c>
      <c r="R10" s="19">
        <v>45931</v>
      </c>
      <c r="S10" s="19">
        <v>45962</v>
      </c>
      <c r="T10" s="19">
        <v>45992</v>
      </c>
    </row>
    <row r="11" spans="1:20">
      <c r="A11" t="s">
        <v>15</v>
      </c>
      <c r="B11" t="s">
        <v>578</v>
      </c>
      <c r="C11" t="s">
        <v>578</v>
      </c>
      <c r="D11" s="21">
        <v>1</v>
      </c>
      <c r="E11" s="16">
        <v>500</v>
      </c>
      <c r="F11" s="16">
        <v>3</v>
      </c>
      <c r="G11" s="15">
        <f t="shared" ref="G11:G18" si="1">+D11*E11*F11</f>
        <v>1500</v>
      </c>
      <c r="H11" t="s">
        <v>579</v>
      </c>
      <c r="I11" s="16">
        <f>+$G11*I$3</f>
        <v>22500</v>
      </c>
      <c r="J11" s="16">
        <f t="shared" ref="J11:T11" si="2">+$G11*J$3</f>
        <v>15000</v>
      </c>
      <c r="K11" s="16">
        <f t="shared" si="2"/>
        <v>15000</v>
      </c>
      <c r="L11" s="16">
        <f t="shared" si="2"/>
        <v>15000</v>
      </c>
      <c r="M11" s="16">
        <f t="shared" si="2"/>
        <v>15000</v>
      </c>
      <c r="N11" s="16">
        <f t="shared" si="2"/>
        <v>15000</v>
      </c>
      <c r="O11" s="16">
        <f t="shared" si="2"/>
        <v>15000</v>
      </c>
      <c r="P11" s="16">
        <f t="shared" si="2"/>
        <v>15000</v>
      </c>
      <c r="Q11" s="16">
        <f t="shared" si="2"/>
        <v>15000</v>
      </c>
      <c r="R11" s="16">
        <f t="shared" si="2"/>
        <v>15000</v>
      </c>
      <c r="S11" s="16">
        <f t="shared" si="2"/>
        <v>15000</v>
      </c>
      <c r="T11" s="16">
        <f t="shared" si="2"/>
        <v>15000</v>
      </c>
    </row>
    <row r="12" spans="1:20">
      <c r="A12" t="s">
        <v>15</v>
      </c>
      <c r="B12" t="s">
        <v>580</v>
      </c>
      <c r="C12" t="s">
        <v>580</v>
      </c>
      <c r="D12" s="21">
        <v>1</v>
      </c>
      <c r="E12" s="16">
        <v>500</v>
      </c>
      <c r="F12" s="16">
        <v>2</v>
      </c>
      <c r="G12" s="15">
        <f t="shared" si="1"/>
        <v>1000</v>
      </c>
      <c r="H12" t="s">
        <v>579</v>
      </c>
      <c r="I12" s="16">
        <f t="shared" ref="I12:T21" si="3">+$G12*I$3</f>
        <v>15000</v>
      </c>
      <c r="J12" s="16">
        <f t="shared" si="3"/>
        <v>10000</v>
      </c>
      <c r="K12" s="16">
        <f t="shared" si="3"/>
        <v>10000</v>
      </c>
      <c r="L12" s="16">
        <f t="shared" si="3"/>
        <v>10000</v>
      </c>
      <c r="M12" s="16">
        <f t="shared" si="3"/>
        <v>10000</v>
      </c>
      <c r="N12" s="16">
        <f t="shared" si="3"/>
        <v>10000</v>
      </c>
      <c r="O12" s="16">
        <f t="shared" si="3"/>
        <v>10000</v>
      </c>
      <c r="P12" s="16">
        <f t="shared" si="3"/>
        <v>10000</v>
      </c>
      <c r="Q12" s="16">
        <f t="shared" si="3"/>
        <v>10000</v>
      </c>
      <c r="R12" s="16">
        <f t="shared" si="3"/>
        <v>10000</v>
      </c>
      <c r="S12" s="16">
        <f t="shared" si="3"/>
        <v>10000</v>
      </c>
      <c r="T12" s="16">
        <f t="shared" si="3"/>
        <v>10000</v>
      </c>
    </row>
    <row r="13" spans="1:20">
      <c r="A13" t="s">
        <v>15</v>
      </c>
      <c r="B13" t="s">
        <v>40</v>
      </c>
      <c r="C13" t="s">
        <v>41</v>
      </c>
      <c r="D13" s="21">
        <v>0.25</v>
      </c>
      <c r="E13" s="16">
        <v>100</v>
      </c>
      <c r="F13" s="16">
        <v>3</v>
      </c>
      <c r="G13" s="15">
        <f t="shared" si="1"/>
        <v>75</v>
      </c>
      <c r="H13" t="s">
        <v>579</v>
      </c>
      <c r="I13" s="16">
        <f t="shared" si="3"/>
        <v>1125</v>
      </c>
      <c r="J13" s="16">
        <f t="shared" si="3"/>
        <v>750</v>
      </c>
      <c r="K13" s="16">
        <f t="shared" si="3"/>
        <v>750</v>
      </c>
      <c r="L13" s="16">
        <f t="shared" si="3"/>
        <v>750</v>
      </c>
      <c r="M13" s="16">
        <f t="shared" si="3"/>
        <v>750</v>
      </c>
      <c r="N13" s="16">
        <f t="shared" si="3"/>
        <v>750</v>
      </c>
      <c r="O13" s="16">
        <f t="shared" si="3"/>
        <v>750</v>
      </c>
      <c r="P13" s="16">
        <f t="shared" si="3"/>
        <v>750</v>
      </c>
      <c r="Q13" s="16">
        <f t="shared" si="3"/>
        <v>750</v>
      </c>
      <c r="R13" s="16">
        <f t="shared" si="3"/>
        <v>750</v>
      </c>
      <c r="S13" s="16">
        <f t="shared" si="3"/>
        <v>750</v>
      </c>
      <c r="T13" s="16">
        <f t="shared" si="3"/>
        <v>750</v>
      </c>
    </row>
    <row r="14" spans="1:20">
      <c r="A14" t="s">
        <v>15</v>
      </c>
      <c r="B14" t="s">
        <v>52</v>
      </c>
      <c r="C14" t="s">
        <v>53</v>
      </c>
      <c r="D14" s="21">
        <v>0.25</v>
      </c>
      <c r="E14" s="16">
        <v>60</v>
      </c>
      <c r="F14" s="16">
        <v>1</v>
      </c>
      <c r="G14" s="15">
        <f t="shared" si="1"/>
        <v>15</v>
      </c>
      <c r="H14" t="s">
        <v>579</v>
      </c>
      <c r="I14" s="16">
        <f t="shared" si="3"/>
        <v>225</v>
      </c>
      <c r="J14" s="16">
        <f t="shared" si="3"/>
        <v>150</v>
      </c>
      <c r="K14" s="16">
        <f t="shared" si="3"/>
        <v>150</v>
      </c>
      <c r="L14" s="16">
        <f t="shared" si="3"/>
        <v>150</v>
      </c>
      <c r="M14" s="16">
        <f t="shared" si="3"/>
        <v>150</v>
      </c>
      <c r="N14" s="16">
        <f t="shared" si="3"/>
        <v>150</v>
      </c>
      <c r="O14" s="16">
        <f t="shared" si="3"/>
        <v>150</v>
      </c>
      <c r="P14" s="16">
        <f t="shared" si="3"/>
        <v>150</v>
      </c>
      <c r="Q14" s="16">
        <f t="shared" si="3"/>
        <v>150</v>
      </c>
      <c r="R14" s="16">
        <f t="shared" si="3"/>
        <v>150</v>
      </c>
      <c r="S14" s="16">
        <f t="shared" si="3"/>
        <v>150</v>
      </c>
      <c r="T14" s="16">
        <f t="shared" si="3"/>
        <v>150</v>
      </c>
    </row>
    <row r="15" spans="1:20">
      <c r="A15" t="s">
        <v>15</v>
      </c>
      <c r="B15" t="s">
        <v>62</v>
      </c>
      <c r="C15" t="s">
        <v>63</v>
      </c>
      <c r="D15" s="21">
        <v>1</v>
      </c>
      <c r="E15" s="16">
        <v>60</v>
      </c>
      <c r="F15" s="16">
        <f>+SUM(F11:F12)*3</f>
        <v>15</v>
      </c>
      <c r="G15" s="15">
        <f t="shared" si="1"/>
        <v>900</v>
      </c>
      <c r="H15" t="s">
        <v>579</v>
      </c>
      <c r="I15" s="16">
        <f t="shared" si="3"/>
        <v>13500</v>
      </c>
      <c r="J15" s="16">
        <f t="shared" si="3"/>
        <v>9000</v>
      </c>
      <c r="K15" s="16">
        <f t="shared" si="3"/>
        <v>9000</v>
      </c>
      <c r="L15" s="16">
        <f t="shared" si="3"/>
        <v>9000</v>
      </c>
      <c r="M15" s="16">
        <f t="shared" si="3"/>
        <v>9000</v>
      </c>
      <c r="N15" s="16">
        <f t="shared" si="3"/>
        <v>9000</v>
      </c>
      <c r="O15" s="16">
        <f t="shared" si="3"/>
        <v>9000</v>
      </c>
      <c r="P15" s="16">
        <f t="shared" si="3"/>
        <v>9000</v>
      </c>
      <c r="Q15" s="16">
        <f t="shared" si="3"/>
        <v>9000</v>
      </c>
      <c r="R15" s="16">
        <f t="shared" si="3"/>
        <v>9000</v>
      </c>
      <c r="S15" s="16">
        <f t="shared" si="3"/>
        <v>9000</v>
      </c>
      <c r="T15" s="16">
        <f t="shared" si="3"/>
        <v>9000</v>
      </c>
    </row>
    <row r="16" spans="1:20">
      <c r="A16" t="s">
        <v>15</v>
      </c>
      <c r="B16" t="s">
        <v>69</v>
      </c>
      <c r="C16" t="s">
        <v>70</v>
      </c>
      <c r="D16" s="21">
        <v>1</v>
      </c>
      <c r="E16" s="16">
        <v>10</v>
      </c>
      <c r="F16" s="16">
        <v>3</v>
      </c>
      <c r="G16" s="15">
        <f t="shared" si="1"/>
        <v>30</v>
      </c>
      <c r="H16" t="s">
        <v>579</v>
      </c>
      <c r="I16" s="16">
        <f t="shared" si="3"/>
        <v>450</v>
      </c>
      <c r="J16" s="16">
        <f t="shared" si="3"/>
        <v>300</v>
      </c>
      <c r="K16" s="16">
        <f t="shared" si="3"/>
        <v>300</v>
      </c>
      <c r="L16" s="16">
        <f t="shared" si="3"/>
        <v>300</v>
      </c>
      <c r="M16" s="16">
        <f t="shared" si="3"/>
        <v>300</v>
      </c>
      <c r="N16" s="16">
        <f t="shared" si="3"/>
        <v>300</v>
      </c>
      <c r="O16" s="16">
        <f t="shared" si="3"/>
        <v>300</v>
      </c>
      <c r="P16" s="16">
        <f t="shared" si="3"/>
        <v>300</v>
      </c>
      <c r="Q16" s="16">
        <f t="shared" si="3"/>
        <v>300</v>
      </c>
      <c r="R16" s="16">
        <f t="shared" si="3"/>
        <v>300</v>
      </c>
      <c r="S16" s="16">
        <f t="shared" si="3"/>
        <v>300</v>
      </c>
      <c r="T16" s="16">
        <f t="shared" si="3"/>
        <v>300</v>
      </c>
    </row>
    <row r="17" spans="1:20">
      <c r="A17" t="s">
        <v>15</v>
      </c>
      <c r="B17" t="s">
        <v>73</v>
      </c>
      <c r="C17" t="s">
        <v>74</v>
      </c>
      <c r="D17" s="21">
        <v>1</v>
      </c>
      <c r="E17" s="16">
        <v>20</v>
      </c>
      <c r="F17" s="16">
        <f>+SUM(F11:F12)</f>
        <v>5</v>
      </c>
      <c r="G17" s="15">
        <f t="shared" si="1"/>
        <v>100</v>
      </c>
      <c r="H17" t="s">
        <v>579</v>
      </c>
      <c r="I17" s="16">
        <f t="shared" si="3"/>
        <v>1500</v>
      </c>
      <c r="J17" s="16">
        <f t="shared" si="3"/>
        <v>1000</v>
      </c>
      <c r="K17" s="16">
        <f t="shared" si="3"/>
        <v>1000</v>
      </c>
      <c r="L17" s="16">
        <f t="shared" si="3"/>
        <v>1000</v>
      </c>
      <c r="M17" s="16">
        <f t="shared" si="3"/>
        <v>1000</v>
      </c>
      <c r="N17" s="16">
        <f t="shared" si="3"/>
        <v>1000</v>
      </c>
      <c r="O17" s="16">
        <f t="shared" si="3"/>
        <v>1000</v>
      </c>
      <c r="P17" s="16">
        <f t="shared" si="3"/>
        <v>1000</v>
      </c>
      <c r="Q17" s="16">
        <f t="shared" si="3"/>
        <v>1000</v>
      </c>
      <c r="R17" s="16">
        <f t="shared" si="3"/>
        <v>1000</v>
      </c>
      <c r="S17" s="16">
        <f t="shared" si="3"/>
        <v>1000</v>
      </c>
      <c r="T17" s="16">
        <f t="shared" si="3"/>
        <v>1000</v>
      </c>
    </row>
    <row r="18" spans="1:20">
      <c r="A18" t="s">
        <v>76</v>
      </c>
      <c r="B18" t="s">
        <v>20</v>
      </c>
      <c r="C18" t="s">
        <v>77</v>
      </c>
      <c r="D18" s="21">
        <v>1</v>
      </c>
      <c r="E18" s="16">
        <v>100</v>
      </c>
      <c r="F18" s="16">
        <f>+SUM(F11:F12)*3</f>
        <v>15</v>
      </c>
      <c r="G18" s="15">
        <f t="shared" si="1"/>
        <v>1500</v>
      </c>
      <c r="H18" t="s">
        <v>579</v>
      </c>
      <c r="I18" s="16">
        <f t="shared" si="3"/>
        <v>22500</v>
      </c>
      <c r="J18" s="16">
        <f t="shared" si="3"/>
        <v>15000</v>
      </c>
      <c r="K18" s="16">
        <f t="shared" si="3"/>
        <v>15000</v>
      </c>
      <c r="L18" s="16">
        <f t="shared" si="3"/>
        <v>15000</v>
      </c>
      <c r="M18" s="16">
        <f t="shared" si="3"/>
        <v>15000</v>
      </c>
      <c r="N18" s="16">
        <f t="shared" si="3"/>
        <v>15000</v>
      </c>
      <c r="O18" s="16">
        <f t="shared" si="3"/>
        <v>15000</v>
      </c>
      <c r="P18" s="16">
        <f t="shared" si="3"/>
        <v>15000</v>
      </c>
      <c r="Q18" s="16">
        <f t="shared" si="3"/>
        <v>15000</v>
      </c>
      <c r="R18" s="16">
        <f t="shared" si="3"/>
        <v>15000</v>
      </c>
      <c r="S18" s="16">
        <f t="shared" si="3"/>
        <v>15000</v>
      </c>
      <c r="T18" s="16">
        <f t="shared" si="3"/>
        <v>15000</v>
      </c>
    </row>
    <row r="19" spans="1:20">
      <c r="A19" s="10" t="s">
        <v>76</v>
      </c>
      <c r="B19" s="10" t="s">
        <v>31</v>
      </c>
      <c r="C19" s="10" t="s">
        <v>79</v>
      </c>
      <c r="D19" s="21"/>
      <c r="E19" s="16"/>
      <c r="F19" s="16"/>
      <c r="G19" s="15">
        <f t="shared" ref="G19:G116" si="4">+D19*E19*F19</f>
        <v>0</v>
      </c>
      <c r="I19" s="16">
        <f t="shared" si="3"/>
        <v>0</v>
      </c>
      <c r="J19" s="16">
        <f t="shared" si="3"/>
        <v>0</v>
      </c>
      <c r="K19" s="16">
        <f t="shared" si="3"/>
        <v>0</v>
      </c>
      <c r="L19" s="16">
        <f t="shared" si="3"/>
        <v>0</v>
      </c>
      <c r="M19" s="16">
        <f t="shared" si="3"/>
        <v>0</v>
      </c>
      <c r="N19" s="16">
        <f t="shared" si="3"/>
        <v>0</v>
      </c>
      <c r="O19" s="16">
        <f t="shared" si="3"/>
        <v>0</v>
      </c>
      <c r="P19" s="16">
        <f t="shared" si="3"/>
        <v>0</v>
      </c>
      <c r="Q19" s="16">
        <f t="shared" si="3"/>
        <v>0</v>
      </c>
      <c r="R19" s="16">
        <f t="shared" si="3"/>
        <v>0</v>
      </c>
      <c r="S19" s="16">
        <f t="shared" si="3"/>
        <v>0</v>
      </c>
      <c r="T19" s="16">
        <f t="shared" si="3"/>
        <v>0</v>
      </c>
    </row>
    <row r="20" spans="1:20">
      <c r="A20" t="s">
        <v>76</v>
      </c>
      <c r="B20" t="s">
        <v>43</v>
      </c>
      <c r="C20" t="s">
        <v>80</v>
      </c>
      <c r="D20" s="21">
        <v>1</v>
      </c>
      <c r="E20" s="16">
        <v>500</v>
      </c>
      <c r="F20" s="16">
        <v>2</v>
      </c>
      <c r="G20" s="15">
        <f t="shared" si="4"/>
        <v>1000</v>
      </c>
      <c r="H20" t="s">
        <v>579</v>
      </c>
      <c r="I20" s="16">
        <f t="shared" si="3"/>
        <v>15000</v>
      </c>
      <c r="J20" s="16">
        <f t="shared" si="3"/>
        <v>10000</v>
      </c>
      <c r="K20" s="16">
        <f t="shared" si="3"/>
        <v>10000</v>
      </c>
      <c r="L20" s="16">
        <f t="shared" si="3"/>
        <v>10000</v>
      </c>
      <c r="M20" s="16">
        <f t="shared" si="3"/>
        <v>10000</v>
      </c>
      <c r="N20" s="16">
        <f t="shared" si="3"/>
        <v>10000</v>
      </c>
      <c r="O20" s="16">
        <f t="shared" si="3"/>
        <v>10000</v>
      </c>
      <c r="P20" s="16">
        <f t="shared" si="3"/>
        <v>10000</v>
      </c>
      <c r="Q20" s="16">
        <f t="shared" si="3"/>
        <v>10000</v>
      </c>
      <c r="R20" s="16">
        <f t="shared" si="3"/>
        <v>10000</v>
      </c>
      <c r="S20" s="16">
        <f t="shared" si="3"/>
        <v>10000</v>
      </c>
      <c r="T20" s="16">
        <f t="shared" si="3"/>
        <v>10000</v>
      </c>
    </row>
    <row r="21" spans="1:20">
      <c r="A21" t="s">
        <v>76</v>
      </c>
      <c r="B21" t="s">
        <v>43</v>
      </c>
      <c r="C21" t="s">
        <v>581</v>
      </c>
      <c r="D21" s="21">
        <v>2</v>
      </c>
      <c r="E21" s="16">
        <v>20</v>
      </c>
      <c r="F21" s="16">
        <v>1</v>
      </c>
      <c r="G21" s="15">
        <f t="shared" si="4"/>
        <v>40</v>
      </c>
      <c r="H21" t="s">
        <v>579</v>
      </c>
      <c r="I21" s="16">
        <f t="shared" si="3"/>
        <v>600</v>
      </c>
      <c r="J21" s="16">
        <f t="shared" si="3"/>
        <v>400</v>
      </c>
      <c r="K21" s="16">
        <f t="shared" si="3"/>
        <v>400</v>
      </c>
      <c r="L21" s="16">
        <f t="shared" si="3"/>
        <v>400</v>
      </c>
      <c r="M21" s="16">
        <f t="shared" si="3"/>
        <v>400</v>
      </c>
      <c r="N21" s="16">
        <f t="shared" si="3"/>
        <v>400</v>
      </c>
      <c r="O21" s="16">
        <f t="shared" si="3"/>
        <v>400</v>
      </c>
      <c r="P21" s="16">
        <f t="shared" si="3"/>
        <v>400</v>
      </c>
      <c r="Q21" s="16">
        <f t="shared" si="3"/>
        <v>400</v>
      </c>
      <c r="R21" s="16">
        <f t="shared" si="3"/>
        <v>400</v>
      </c>
      <c r="S21" s="16">
        <f t="shared" si="3"/>
        <v>400</v>
      </c>
      <c r="T21" s="16">
        <f t="shared" si="3"/>
        <v>400</v>
      </c>
    </row>
    <row r="22" spans="1:20">
      <c r="A22" t="s">
        <v>76</v>
      </c>
      <c r="B22" t="s">
        <v>55</v>
      </c>
      <c r="C22" t="s">
        <v>82</v>
      </c>
      <c r="D22" s="21">
        <v>1</v>
      </c>
      <c r="E22" s="16">
        <v>200</v>
      </c>
      <c r="F22" s="16">
        <v>1</v>
      </c>
      <c r="G22" s="15">
        <f t="shared" si="4"/>
        <v>200</v>
      </c>
      <c r="H22" t="s">
        <v>582</v>
      </c>
      <c r="I22" s="16">
        <f>+$G22*(I$2-I$3-I$4)</f>
        <v>1000</v>
      </c>
      <c r="J22" s="16">
        <f t="shared" ref="J22:T22" si="5">+$G22*(J$2-J$3-J$4)</f>
        <v>2000</v>
      </c>
      <c r="K22" s="16">
        <f t="shared" si="5"/>
        <v>2000</v>
      </c>
      <c r="L22" s="16">
        <f t="shared" si="5"/>
        <v>2000</v>
      </c>
      <c r="M22" s="16">
        <f t="shared" si="5"/>
        <v>2000</v>
      </c>
      <c r="N22" s="16">
        <f t="shared" si="5"/>
        <v>2000</v>
      </c>
      <c r="O22" s="16">
        <f t="shared" si="5"/>
        <v>2000</v>
      </c>
      <c r="P22" s="16">
        <f t="shared" si="5"/>
        <v>2000</v>
      </c>
      <c r="Q22" s="16">
        <f t="shared" si="5"/>
        <v>2000</v>
      </c>
      <c r="R22" s="16">
        <f t="shared" si="5"/>
        <v>2000</v>
      </c>
      <c r="S22" s="16">
        <f t="shared" si="5"/>
        <v>2000</v>
      </c>
      <c r="T22" s="16">
        <f t="shared" si="5"/>
        <v>2000</v>
      </c>
    </row>
    <row r="23" spans="1:20">
      <c r="A23" s="14" t="s">
        <v>83</v>
      </c>
      <c r="B23" s="14" t="s">
        <v>583</v>
      </c>
      <c r="C23" s="14" t="s">
        <v>584</v>
      </c>
      <c r="D23" s="22">
        <v>0.3</v>
      </c>
      <c r="E23" s="17">
        <v>8450</v>
      </c>
      <c r="F23" s="17">
        <v>1</v>
      </c>
      <c r="G23" s="15">
        <f t="shared" si="4"/>
        <v>2535</v>
      </c>
      <c r="H23" s="14" t="s">
        <v>585</v>
      </c>
      <c r="I23" s="17"/>
      <c r="J23" s="17"/>
      <c r="K23" s="17"/>
      <c r="L23" s="17"/>
      <c r="M23" s="17"/>
      <c r="N23" s="17"/>
      <c r="O23" s="17"/>
      <c r="P23" s="17"/>
      <c r="Q23" s="17"/>
      <c r="R23" s="17"/>
      <c r="S23" s="17"/>
      <c r="T23" s="17"/>
    </row>
    <row r="24" spans="1:20">
      <c r="A24" s="14" t="s">
        <v>83</v>
      </c>
      <c r="B24" s="14" t="s">
        <v>586</v>
      </c>
      <c r="C24" s="14" t="s">
        <v>587</v>
      </c>
      <c r="D24" s="22">
        <v>0.5</v>
      </c>
      <c r="E24" s="17">
        <v>5850</v>
      </c>
      <c r="F24" s="17">
        <v>1</v>
      </c>
      <c r="G24" s="15">
        <f t="shared" si="4"/>
        <v>2925</v>
      </c>
      <c r="H24" s="14" t="s">
        <v>585</v>
      </c>
      <c r="I24" s="17"/>
      <c r="J24" s="17"/>
      <c r="K24" s="17"/>
      <c r="L24" s="17"/>
      <c r="M24" s="17"/>
      <c r="N24" s="17"/>
      <c r="O24" s="17"/>
      <c r="P24" s="17"/>
      <c r="Q24" s="17"/>
      <c r="R24" s="17"/>
      <c r="S24" s="17"/>
      <c r="T24" s="17"/>
    </row>
    <row r="25" spans="1:20">
      <c r="A25" s="14" t="s">
        <v>83</v>
      </c>
      <c r="B25" s="14" t="s">
        <v>588</v>
      </c>
      <c r="C25" s="14" t="s">
        <v>589</v>
      </c>
      <c r="D25" s="22">
        <v>1.76</v>
      </c>
      <c r="E25" s="17">
        <v>3250</v>
      </c>
      <c r="F25" s="17">
        <v>1</v>
      </c>
      <c r="G25" s="15">
        <f t="shared" si="4"/>
        <v>5720</v>
      </c>
      <c r="H25" s="14" t="s">
        <v>585</v>
      </c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17"/>
      <c r="T25" s="17"/>
    </row>
    <row r="26" spans="1:20">
      <c r="A26" s="14" t="s">
        <v>83</v>
      </c>
      <c r="B26" s="14" t="s">
        <v>21</v>
      </c>
      <c r="C26" s="14" t="s">
        <v>84</v>
      </c>
      <c r="D26" s="22">
        <v>0.3</v>
      </c>
      <c r="E26" s="17">
        <v>5200</v>
      </c>
      <c r="F26" s="17">
        <v>1</v>
      </c>
      <c r="G26" s="15">
        <f t="shared" si="4"/>
        <v>1560</v>
      </c>
      <c r="H26" s="14" t="s">
        <v>585</v>
      </c>
      <c r="I26" s="17"/>
      <c r="J26" s="17"/>
      <c r="K26" s="17"/>
      <c r="L26" s="17"/>
      <c r="M26" s="17"/>
      <c r="N26" s="17"/>
      <c r="O26" s="17"/>
      <c r="P26" s="17"/>
      <c r="Q26" s="17"/>
      <c r="R26" s="17"/>
      <c r="S26" s="17"/>
      <c r="T26" s="17"/>
    </row>
    <row r="27" spans="1:20">
      <c r="A27" s="14" t="s">
        <v>83</v>
      </c>
      <c r="B27" s="14" t="s">
        <v>590</v>
      </c>
      <c r="C27" s="14" t="s">
        <v>591</v>
      </c>
      <c r="D27" s="22">
        <v>0.1</v>
      </c>
      <c r="E27" s="17">
        <v>9750</v>
      </c>
      <c r="F27" s="17">
        <v>1</v>
      </c>
      <c r="G27" s="15">
        <f t="shared" si="4"/>
        <v>975</v>
      </c>
      <c r="H27" s="14" t="s">
        <v>585</v>
      </c>
      <c r="I27" s="17"/>
      <c r="J27" s="17"/>
      <c r="K27" s="17"/>
      <c r="L27" s="17"/>
      <c r="M27" s="17"/>
      <c r="N27" s="17"/>
      <c r="O27" s="17"/>
      <c r="P27" s="17"/>
      <c r="Q27" s="17"/>
      <c r="R27" s="17"/>
      <c r="S27" s="17"/>
      <c r="T27" s="17"/>
    </row>
    <row r="28" spans="1:20">
      <c r="A28" s="14" t="s">
        <v>83</v>
      </c>
      <c r="B28" s="14" t="s">
        <v>56</v>
      </c>
      <c r="C28" s="14" t="s">
        <v>89</v>
      </c>
      <c r="D28" s="22"/>
      <c r="E28" s="17"/>
      <c r="F28" s="17"/>
      <c r="G28" s="15">
        <f t="shared" si="4"/>
        <v>0</v>
      </c>
      <c r="H28" s="14"/>
      <c r="I28" s="17"/>
      <c r="J28" s="17"/>
      <c r="K28" s="17"/>
      <c r="L28" s="17"/>
      <c r="M28" s="17"/>
      <c r="N28" s="17"/>
      <c r="O28" s="17"/>
      <c r="P28" s="17"/>
      <c r="Q28" s="17"/>
      <c r="R28" s="17"/>
      <c r="S28" s="17"/>
      <c r="T28" s="17"/>
    </row>
    <row r="29" spans="1:20">
      <c r="A29" s="14" t="s">
        <v>83</v>
      </c>
      <c r="B29" s="14" t="s">
        <v>64</v>
      </c>
      <c r="C29" s="14" t="s">
        <v>90</v>
      </c>
      <c r="D29" s="22"/>
      <c r="E29" s="17"/>
      <c r="F29" s="17"/>
      <c r="G29" s="15">
        <f t="shared" si="4"/>
        <v>0</v>
      </c>
      <c r="H29" s="14" t="s">
        <v>592</v>
      </c>
      <c r="I29" s="17"/>
      <c r="J29" s="17"/>
      <c r="K29" s="17"/>
      <c r="L29" s="17"/>
      <c r="M29" s="17"/>
      <c r="N29" s="17"/>
      <c r="O29" s="17"/>
      <c r="P29" s="17"/>
      <c r="Q29" s="17"/>
      <c r="R29" s="17"/>
      <c r="S29" s="17"/>
      <c r="T29" s="17"/>
    </row>
    <row r="30" spans="1:20">
      <c r="A30" t="s">
        <v>91</v>
      </c>
      <c r="B30" t="s">
        <v>593</v>
      </c>
      <c r="C30" t="s">
        <v>594</v>
      </c>
      <c r="D30" s="21">
        <v>1</v>
      </c>
      <c r="E30" s="16">
        <v>38</v>
      </c>
      <c r="F30" s="16">
        <v>1</v>
      </c>
      <c r="G30" s="18">
        <f t="shared" ref="G30" si="6">+D30*E30*F30</f>
        <v>38</v>
      </c>
      <c r="H30" t="s">
        <v>595</v>
      </c>
      <c r="I30" s="16">
        <f>+$G30*I$2</f>
        <v>950</v>
      </c>
      <c r="J30" s="16">
        <f t="shared" ref="J30:T30" si="7">+$G30*J$2</f>
        <v>950</v>
      </c>
      <c r="K30" s="16">
        <f t="shared" si="7"/>
        <v>950</v>
      </c>
      <c r="L30" s="16">
        <f t="shared" si="7"/>
        <v>950</v>
      </c>
      <c r="M30" s="16">
        <f t="shared" si="7"/>
        <v>950</v>
      </c>
      <c r="N30" s="16">
        <f t="shared" si="7"/>
        <v>950</v>
      </c>
      <c r="O30" s="16">
        <f t="shared" si="7"/>
        <v>950</v>
      </c>
      <c r="P30" s="16">
        <f t="shared" si="7"/>
        <v>950</v>
      </c>
      <c r="Q30" s="16">
        <f t="shared" si="7"/>
        <v>950</v>
      </c>
      <c r="R30" s="16">
        <f t="shared" si="7"/>
        <v>950</v>
      </c>
      <c r="S30" s="16">
        <f t="shared" si="7"/>
        <v>950</v>
      </c>
      <c r="T30" s="16">
        <f t="shared" si="7"/>
        <v>950</v>
      </c>
    </row>
    <row r="31" spans="1:20">
      <c r="A31" t="s">
        <v>91</v>
      </c>
      <c r="B31" t="s">
        <v>22</v>
      </c>
      <c r="C31" t="s">
        <v>92</v>
      </c>
      <c r="D31" s="21">
        <v>1</v>
      </c>
      <c r="E31" s="16">
        <v>40</v>
      </c>
      <c r="F31" s="16">
        <v>3</v>
      </c>
      <c r="G31" s="15">
        <f t="shared" si="4"/>
        <v>120</v>
      </c>
      <c r="H31" t="s">
        <v>596</v>
      </c>
      <c r="I31" s="16">
        <f t="shared" ref="I31:T85" si="8">+$G31*I$2</f>
        <v>3000</v>
      </c>
      <c r="J31" s="16">
        <f t="shared" si="8"/>
        <v>3000</v>
      </c>
      <c r="K31" s="16">
        <f t="shared" si="8"/>
        <v>3000</v>
      </c>
      <c r="L31" s="16">
        <f t="shared" si="8"/>
        <v>3000</v>
      </c>
      <c r="M31" s="16">
        <f t="shared" si="8"/>
        <v>3000</v>
      </c>
      <c r="N31" s="16">
        <f t="shared" si="8"/>
        <v>3000</v>
      </c>
      <c r="O31" s="16">
        <f t="shared" si="8"/>
        <v>3000</v>
      </c>
      <c r="P31" s="16">
        <f t="shared" si="8"/>
        <v>3000</v>
      </c>
      <c r="Q31" s="16">
        <f t="shared" si="8"/>
        <v>3000</v>
      </c>
      <c r="R31" s="16">
        <f t="shared" si="8"/>
        <v>3000</v>
      </c>
      <c r="S31" s="16">
        <f t="shared" si="8"/>
        <v>3000</v>
      </c>
      <c r="T31" s="16">
        <f t="shared" si="8"/>
        <v>3000</v>
      </c>
    </row>
    <row r="32" spans="1:20">
      <c r="A32" t="s">
        <v>91</v>
      </c>
      <c r="B32" t="s">
        <v>33</v>
      </c>
      <c r="C32" t="s">
        <v>94</v>
      </c>
      <c r="D32" s="21">
        <v>1</v>
      </c>
      <c r="E32" s="16">
        <v>80</v>
      </c>
      <c r="F32" s="16">
        <v>2</v>
      </c>
      <c r="G32" s="15">
        <f t="shared" si="4"/>
        <v>160</v>
      </c>
      <c r="H32" t="s">
        <v>597</v>
      </c>
      <c r="I32" s="16">
        <f t="shared" si="8"/>
        <v>4000</v>
      </c>
      <c r="J32" s="16">
        <f t="shared" si="8"/>
        <v>4000</v>
      </c>
      <c r="K32" s="16">
        <f t="shared" si="8"/>
        <v>4000</v>
      </c>
      <c r="L32" s="16">
        <f t="shared" si="8"/>
        <v>4000</v>
      </c>
      <c r="M32" s="16">
        <f t="shared" si="8"/>
        <v>4000</v>
      </c>
      <c r="N32" s="16">
        <f t="shared" si="8"/>
        <v>4000</v>
      </c>
      <c r="O32" s="16">
        <f t="shared" si="8"/>
        <v>4000</v>
      </c>
      <c r="P32" s="16">
        <f t="shared" si="8"/>
        <v>4000</v>
      </c>
      <c r="Q32" s="16">
        <f t="shared" si="8"/>
        <v>4000</v>
      </c>
      <c r="R32" s="16">
        <f t="shared" si="8"/>
        <v>4000</v>
      </c>
      <c r="S32" s="16">
        <f t="shared" si="8"/>
        <v>4000</v>
      </c>
      <c r="T32" s="16">
        <f t="shared" si="8"/>
        <v>4000</v>
      </c>
    </row>
    <row r="33" spans="1:20">
      <c r="A33" s="10" t="s">
        <v>91</v>
      </c>
      <c r="B33" s="10" t="s">
        <v>45</v>
      </c>
      <c r="C33" s="10" t="s">
        <v>95</v>
      </c>
      <c r="D33" s="21"/>
      <c r="E33" s="16"/>
      <c r="F33" s="16"/>
      <c r="G33" s="15">
        <f t="shared" si="4"/>
        <v>0</v>
      </c>
      <c r="I33" s="16">
        <f t="shared" si="8"/>
        <v>0</v>
      </c>
      <c r="J33" s="16">
        <f t="shared" si="8"/>
        <v>0</v>
      </c>
      <c r="K33" s="16">
        <f t="shared" si="8"/>
        <v>0</v>
      </c>
      <c r="L33" s="16">
        <f t="shared" si="8"/>
        <v>0</v>
      </c>
      <c r="M33" s="16">
        <f t="shared" si="8"/>
        <v>0</v>
      </c>
      <c r="N33" s="16">
        <f t="shared" si="8"/>
        <v>0</v>
      </c>
      <c r="O33" s="16">
        <f t="shared" si="8"/>
        <v>0</v>
      </c>
      <c r="P33" s="16">
        <f t="shared" si="8"/>
        <v>0</v>
      </c>
      <c r="Q33" s="16">
        <f t="shared" si="8"/>
        <v>0</v>
      </c>
      <c r="R33" s="16">
        <f t="shared" si="8"/>
        <v>0</v>
      </c>
      <c r="S33" s="16">
        <f t="shared" si="8"/>
        <v>0</v>
      </c>
      <c r="T33" s="16">
        <f t="shared" si="8"/>
        <v>0</v>
      </c>
    </row>
    <row r="34" spans="1:20">
      <c r="A34" t="s">
        <v>91</v>
      </c>
      <c r="B34" t="s">
        <v>57</v>
      </c>
      <c r="C34" t="s">
        <v>97</v>
      </c>
      <c r="D34" s="21">
        <v>1</v>
      </c>
      <c r="E34" s="16">
        <v>60</v>
      </c>
      <c r="F34" s="16">
        <v>3</v>
      </c>
      <c r="G34" s="15">
        <f t="shared" si="4"/>
        <v>180</v>
      </c>
      <c r="H34" t="s">
        <v>585</v>
      </c>
      <c r="I34" s="16">
        <f t="shared" si="8"/>
        <v>4500</v>
      </c>
      <c r="J34" s="16">
        <f t="shared" si="8"/>
        <v>4500</v>
      </c>
      <c r="K34" s="16">
        <f t="shared" si="8"/>
        <v>4500</v>
      </c>
      <c r="L34" s="16">
        <f t="shared" si="8"/>
        <v>4500</v>
      </c>
      <c r="M34" s="16">
        <f t="shared" si="8"/>
        <v>4500</v>
      </c>
      <c r="N34" s="16">
        <f t="shared" si="8"/>
        <v>4500</v>
      </c>
      <c r="O34" s="16">
        <f t="shared" si="8"/>
        <v>4500</v>
      </c>
      <c r="P34" s="16">
        <f t="shared" si="8"/>
        <v>4500</v>
      </c>
      <c r="Q34" s="16">
        <f t="shared" si="8"/>
        <v>4500</v>
      </c>
      <c r="R34" s="16">
        <f t="shared" si="8"/>
        <v>4500</v>
      </c>
      <c r="S34" s="16">
        <f t="shared" si="8"/>
        <v>4500</v>
      </c>
      <c r="T34" s="16">
        <f t="shared" si="8"/>
        <v>4500</v>
      </c>
    </row>
    <row r="35" spans="1:20">
      <c r="A35" s="10" t="s">
        <v>91</v>
      </c>
      <c r="B35" s="10" t="s">
        <v>65</v>
      </c>
      <c r="C35" s="10" t="s">
        <v>98</v>
      </c>
      <c r="D35" s="21"/>
      <c r="E35" s="16"/>
      <c r="F35" s="16"/>
      <c r="G35" s="15">
        <f t="shared" si="4"/>
        <v>0</v>
      </c>
      <c r="I35" s="16">
        <f t="shared" si="8"/>
        <v>0</v>
      </c>
      <c r="J35" s="16">
        <f t="shared" si="8"/>
        <v>0</v>
      </c>
      <c r="K35" s="16">
        <f t="shared" si="8"/>
        <v>0</v>
      </c>
      <c r="L35" s="16">
        <f t="shared" si="8"/>
        <v>0</v>
      </c>
      <c r="M35" s="16">
        <f t="shared" si="8"/>
        <v>0</v>
      </c>
      <c r="N35" s="16">
        <f t="shared" si="8"/>
        <v>0</v>
      </c>
      <c r="O35" s="16">
        <f t="shared" si="8"/>
        <v>0</v>
      </c>
      <c r="P35" s="16">
        <f t="shared" si="8"/>
        <v>0</v>
      </c>
      <c r="Q35" s="16">
        <f t="shared" si="8"/>
        <v>0</v>
      </c>
      <c r="R35" s="16">
        <f t="shared" si="8"/>
        <v>0</v>
      </c>
      <c r="S35" s="16">
        <f t="shared" si="8"/>
        <v>0</v>
      </c>
      <c r="T35" s="16">
        <f t="shared" si="8"/>
        <v>0</v>
      </c>
    </row>
    <row r="36" spans="1:20">
      <c r="A36" t="s">
        <v>91</v>
      </c>
      <c r="B36" t="s">
        <v>72</v>
      </c>
      <c r="C36" t="s">
        <v>99</v>
      </c>
      <c r="D36" s="21">
        <v>1</v>
      </c>
      <c r="E36" s="16">
        <v>100</v>
      </c>
      <c r="F36" s="16">
        <v>1</v>
      </c>
      <c r="G36" s="15">
        <f t="shared" si="4"/>
        <v>100</v>
      </c>
      <c r="H36" t="s">
        <v>585</v>
      </c>
      <c r="I36" s="16">
        <f t="shared" si="8"/>
        <v>2500</v>
      </c>
      <c r="J36" s="16">
        <f t="shared" si="8"/>
        <v>2500</v>
      </c>
      <c r="K36" s="16">
        <f t="shared" si="8"/>
        <v>2500</v>
      </c>
      <c r="L36" s="16">
        <f t="shared" si="8"/>
        <v>2500</v>
      </c>
      <c r="M36" s="16">
        <f t="shared" si="8"/>
        <v>2500</v>
      </c>
      <c r="N36" s="16">
        <f t="shared" si="8"/>
        <v>2500</v>
      </c>
      <c r="O36" s="16">
        <f t="shared" si="8"/>
        <v>2500</v>
      </c>
      <c r="P36" s="16">
        <f t="shared" si="8"/>
        <v>2500</v>
      </c>
      <c r="Q36" s="16">
        <f t="shared" si="8"/>
        <v>2500</v>
      </c>
      <c r="R36" s="16">
        <f t="shared" si="8"/>
        <v>2500</v>
      </c>
      <c r="S36" s="16">
        <f t="shared" si="8"/>
        <v>2500</v>
      </c>
      <c r="T36" s="16">
        <f t="shared" si="8"/>
        <v>2500</v>
      </c>
    </row>
    <row r="37" spans="1:20">
      <c r="A37" t="s">
        <v>91</v>
      </c>
      <c r="B37" t="s">
        <v>598</v>
      </c>
      <c r="C37" t="s">
        <v>599</v>
      </c>
      <c r="D37" s="21">
        <v>1</v>
      </c>
      <c r="E37" s="16">
        <v>65</v>
      </c>
      <c r="F37" s="16">
        <v>1</v>
      </c>
      <c r="G37" s="15">
        <f t="shared" si="4"/>
        <v>65</v>
      </c>
      <c r="H37" t="s">
        <v>585</v>
      </c>
      <c r="I37" s="16">
        <f t="shared" si="8"/>
        <v>1625</v>
      </c>
      <c r="J37" s="16">
        <f t="shared" si="8"/>
        <v>1625</v>
      </c>
      <c r="K37" s="16">
        <f t="shared" si="8"/>
        <v>1625</v>
      </c>
      <c r="L37" s="16">
        <f t="shared" si="8"/>
        <v>1625</v>
      </c>
      <c r="M37" s="16">
        <f t="shared" si="8"/>
        <v>1625</v>
      </c>
      <c r="N37" s="16">
        <f t="shared" si="8"/>
        <v>1625</v>
      </c>
      <c r="O37" s="16">
        <f t="shared" si="8"/>
        <v>1625</v>
      </c>
      <c r="P37" s="16">
        <f t="shared" si="8"/>
        <v>1625</v>
      </c>
      <c r="Q37" s="16">
        <f t="shared" si="8"/>
        <v>1625</v>
      </c>
      <c r="R37" s="16">
        <f t="shared" si="8"/>
        <v>1625</v>
      </c>
      <c r="S37" s="16">
        <f t="shared" si="8"/>
        <v>1625</v>
      </c>
      <c r="T37" s="16">
        <f t="shared" si="8"/>
        <v>1625</v>
      </c>
    </row>
    <row r="38" spans="1:20">
      <c r="A38" t="s">
        <v>91</v>
      </c>
      <c r="B38" t="s">
        <v>600</v>
      </c>
      <c r="C38" t="s">
        <v>601</v>
      </c>
      <c r="D38" s="21">
        <v>1</v>
      </c>
      <c r="E38" s="16">
        <v>3.5</v>
      </c>
      <c r="F38" s="16">
        <v>3</v>
      </c>
      <c r="G38" s="15">
        <f t="shared" si="4"/>
        <v>10.5</v>
      </c>
      <c r="H38" t="s">
        <v>602</v>
      </c>
      <c r="I38" s="16">
        <f t="shared" si="8"/>
        <v>262.5</v>
      </c>
      <c r="J38" s="16">
        <f t="shared" si="8"/>
        <v>262.5</v>
      </c>
      <c r="K38" s="16">
        <f t="shared" si="8"/>
        <v>262.5</v>
      </c>
      <c r="L38" s="16">
        <f t="shared" si="8"/>
        <v>262.5</v>
      </c>
      <c r="M38" s="16">
        <f t="shared" si="8"/>
        <v>262.5</v>
      </c>
      <c r="N38" s="16">
        <f t="shared" si="8"/>
        <v>262.5</v>
      </c>
      <c r="O38" s="16">
        <f t="shared" si="8"/>
        <v>262.5</v>
      </c>
      <c r="P38" s="16">
        <f t="shared" si="8"/>
        <v>262.5</v>
      </c>
      <c r="Q38" s="16">
        <f t="shared" si="8"/>
        <v>262.5</v>
      </c>
      <c r="R38" s="16">
        <f t="shared" si="8"/>
        <v>262.5</v>
      </c>
      <c r="S38" s="16">
        <f t="shared" si="8"/>
        <v>262.5</v>
      </c>
      <c r="T38" s="16">
        <f t="shared" si="8"/>
        <v>262.5</v>
      </c>
    </row>
    <row r="39" spans="1:20">
      <c r="A39" t="s">
        <v>91</v>
      </c>
      <c r="B39" t="s">
        <v>603</v>
      </c>
      <c r="C39" t="s">
        <v>604</v>
      </c>
      <c r="D39" s="21">
        <v>1</v>
      </c>
      <c r="E39" s="16">
        <v>3</v>
      </c>
      <c r="F39" s="16">
        <v>3</v>
      </c>
      <c r="G39" s="15">
        <f t="shared" si="4"/>
        <v>9</v>
      </c>
      <c r="H39" t="s">
        <v>585</v>
      </c>
      <c r="I39" s="16">
        <f t="shared" si="8"/>
        <v>225</v>
      </c>
      <c r="J39" s="16">
        <f t="shared" si="8"/>
        <v>225</v>
      </c>
      <c r="K39" s="16">
        <f t="shared" si="8"/>
        <v>225</v>
      </c>
      <c r="L39" s="16">
        <f t="shared" si="8"/>
        <v>225</v>
      </c>
      <c r="M39" s="16">
        <f t="shared" si="8"/>
        <v>225</v>
      </c>
      <c r="N39" s="16">
        <f t="shared" si="8"/>
        <v>225</v>
      </c>
      <c r="O39" s="16">
        <f t="shared" si="8"/>
        <v>225</v>
      </c>
      <c r="P39" s="16">
        <f t="shared" si="8"/>
        <v>225</v>
      </c>
      <c r="Q39" s="16">
        <f t="shared" si="8"/>
        <v>225</v>
      </c>
      <c r="R39" s="16">
        <f t="shared" si="8"/>
        <v>225</v>
      </c>
      <c r="S39" s="16">
        <f t="shared" si="8"/>
        <v>225</v>
      </c>
      <c r="T39" s="16">
        <f t="shared" si="8"/>
        <v>225</v>
      </c>
    </row>
    <row r="40" spans="1:20">
      <c r="A40" t="s">
        <v>91</v>
      </c>
      <c r="B40" t="s">
        <v>603</v>
      </c>
      <c r="C40" t="s">
        <v>605</v>
      </c>
      <c r="D40" s="21">
        <v>1</v>
      </c>
      <c r="E40" s="16">
        <v>1</v>
      </c>
      <c r="F40" s="16">
        <v>3</v>
      </c>
      <c r="G40" s="15">
        <f t="shared" si="4"/>
        <v>3</v>
      </c>
      <c r="H40" t="s">
        <v>585</v>
      </c>
      <c r="I40" s="16">
        <f t="shared" si="8"/>
        <v>75</v>
      </c>
      <c r="J40" s="16">
        <f t="shared" si="8"/>
        <v>75</v>
      </c>
      <c r="K40" s="16">
        <f t="shared" si="8"/>
        <v>75</v>
      </c>
      <c r="L40" s="16">
        <f t="shared" si="8"/>
        <v>75</v>
      </c>
      <c r="M40" s="16">
        <f t="shared" si="8"/>
        <v>75</v>
      </c>
      <c r="N40" s="16">
        <f t="shared" si="8"/>
        <v>75</v>
      </c>
      <c r="O40" s="16">
        <f t="shared" si="8"/>
        <v>75</v>
      </c>
      <c r="P40" s="16">
        <f t="shared" si="8"/>
        <v>75</v>
      </c>
      <c r="Q40" s="16">
        <f t="shared" si="8"/>
        <v>75</v>
      </c>
      <c r="R40" s="16">
        <f t="shared" si="8"/>
        <v>75</v>
      </c>
      <c r="S40" s="16">
        <f t="shared" si="8"/>
        <v>75</v>
      </c>
      <c r="T40" s="16">
        <f t="shared" si="8"/>
        <v>75</v>
      </c>
    </row>
    <row r="41" spans="1:20">
      <c r="A41" t="s">
        <v>100</v>
      </c>
      <c r="B41" t="s">
        <v>606</v>
      </c>
      <c r="C41" t="s">
        <v>606</v>
      </c>
      <c r="D41" s="21"/>
      <c r="E41" s="16">
        <v>2800</v>
      </c>
      <c r="F41" s="16">
        <v>1</v>
      </c>
      <c r="G41" s="15">
        <f t="shared" si="4"/>
        <v>0</v>
      </c>
      <c r="H41" t="s">
        <v>607</v>
      </c>
      <c r="I41" s="16">
        <f t="shared" si="8"/>
        <v>0</v>
      </c>
      <c r="J41" s="16">
        <f t="shared" si="8"/>
        <v>0</v>
      </c>
      <c r="K41" s="16">
        <f t="shared" si="8"/>
        <v>0</v>
      </c>
      <c r="L41" s="16">
        <f t="shared" si="8"/>
        <v>0</v>
      </c>
      <c r="M41" s="16">
        <f t="shared" si="8"/>
        <v>0</v>
      </c>
      <c r="N41" s="16">
        <f t="shared" si="8"/>
        <v>0</v>
      </c>
      <c r="O41" s="16">
        <f t="shared" si="8"/>
        <v>0</v>
      </c>
      <c r="P41" s="16">
        <f t="shared" si="8"/>
        <v>0</v>
      </c>
      <c r="Q41" s="16">
        <f t="shared" si="8"/>
        <v>0</v>
      </c>
      <c r="R41" s="16">
        <f t="shared" si="8"/>
        <v>0</v>
      </c>
      <c r="S41" s="16">
        <f t="shared" si="8"/>
        <v>0</v>
      </c>
      <c r="T41" s="16">
        <f t="shared" si="8"/>
        <v>0</v>
      </c>
    </row>
    <row r="42" spans="1:20">
      <c r="A42" t="s">
        <v>100</v>
      </c>
      <c r="B42" t="s">
        <v>608</v>
      </c>
      <c r="C42" t="s">
        <v>608</v>
      </c>
      <c r="D42" s="21"/>
      <c r="E42" s="16">
        <v>150</v>
      </c>
      <c r="F42" s="16">
        <v>5</v>
      </c>
      <c r="G42" s="15">
        <f t="shared" si="4"/>
        <v>0</v>
      </c>
      <c r="H42" t="s">
        <v>607</v>
      </c>
      <c r="I42" s="16">
        <f t="shared" si="8"/>
        <v>0</v>
      </c>
      <c r="J42" s="16">
        <f t="shared" si="8"/>
        <v>0</v>
      </c>
      <c r="K42" s="16">
        <f t="shared" si="8"/>
        <v>0</v>
      </c>
      <c r="L42" s="16">
        <f t="shared" si="8"/>
        <v>0</v>
      </c>
      <c r="M42" s="16">
        <f t="shared" si="8"/>
        <v>0</v>
      </c>
      <c r="N42" s="16">
        <f t="shared" si="8"/>
        <v>0</v>
      </c>
      <c r="O42" s="16">
        <f t="shared" si="8"/>
        <v>0</v>
      </c>
      <c r="P42" s="16">
        <f t="shared" si="8"/>
        <v>0</v>
      </c>
      <c r="Q42" s="16">
        <f t="shared" si="8"/>
        <v>0</v>
      </c>
      <c r="R42" s="16">
        <f t="shared" si="8"/>
        <v>0</v>
      </c>
      <c r="S42" s="16">
        <f t="shared" si="8"/>
        <v>0</v>
      </c>
      <c r="T42" s="16">
        <f t="shared" si="8"/>
        <v>0</v>
      </c>
    </row>
    <row r="43" spans="1:20">
      <c r="A43" t="s">
        <v>100</v>
      </c>
      <c r="B43" t="s">
        <v>34</v>
      </c>
      <c r="C43" t="s">
        <v>102</v>
      </c>
      <c r="D43" s="21">
        <v>1</v>
      </c>
      <c r="E43" s="16">
        <v>12</v>
      </c>
      <c r="F43" s="16">
        <v>3</v>
      </c>
      <c r="G43" s="15">
        <f t="shared" si="4"/>
        <v>36</v>
      </c>
      <c r="H43" t="s">
        <v>609</v>
      </c>
      <c r="I43" s="16">
        <f t="shared" si="8"/>
        <v>900</v>
      </c>
      <c r="J43" s="16">
        <f t="shared" si="8"/>
        <v>900</v>
      </c>
      <c r="K43" s="16">
        <f t="shared" si="8"/>
        <v>900</v>
      </c>
      <c r="L43" s="16">
        <f t="shared" si="8"/>
        <v>900</v>
      </c>
      <c r="M43" s="16">
        <f t="shared" si="8"/>
        <v>900</v>
      </c>
      <c r="N43" s="16">
        <f t="shared" si="8"/>
        <v>900</v>
      </c>
      <c r="O43" s="16">
        <f t="shared" si="8"/>
        <v>900</v>
      </c>
      <c r="P43" s="16">
        <f t="shared" si="8"/>
        <v>900</v>
      </c>
      <c r="Q43" s="16">
        <f t="shared" si="8"/>
        <v>900</v>
      </c>
      <c r="R43" s="16">
        <f t="shared" si="8"/>
        <v>900</v>
      </c>
      <c r="S43" s="16">
        <f t="shared" si="8"/>
        <v>900</v>
      </c>
      <c r="T43" s="16">
        <f t="shared" si="8"/>
        <v>900</v>
      </c>
    </row>
    <row r="44" spans="1:20">
      <c r="A44" t="s">
        <v>100</v>
      </c>
      <c r="B44" t="s">
        <v>610</v>
      </c>
      <c r="C44" t="s">
        <v>610</v>
      </c>
      <c r="D44" s="21">
        <v>1</v>
      </c>
      <c r="E44" s="16">
        <v>2</v>
      </c>
      <c r="F44" s="16">
        <v>3</v>
      </c>
      <c r="G44" s="15">
        <f t="shared" si="4"/>
        <v>6</v>
      </c>
      <c r="H44" t="s">
        <v>611</v>
      </c>
      <c r="I44" s="16">
        <f t="shared" si="8"/>
        <v>150</v>
      </c>
      <c r="J44" s="16">
        <f t="shared" si="8"/>
        <v>150</v>
      </c>
      <c r="K44" s="16">
        <f t="shared" si="8"/>
        <v>150</v>
      </c>
      <c r="L44" s="16">
        <f t="shared" si="8"/>
        <v>150</v>
      </c>
      <c r="M44" s="16">
        <f t="shared" si="8"/>
        <v>150</v>
      </c>
      <c r="N44" s="16">
        <f t="shared" si="8"/>
        <v>150</v>
      </c>
      <c r="O44" s="16">
        <f t="shared" si="8"/>
        <v>150</v>
      </c>
      <c r="P44" s="16">
        <f t="shared" si="8"/>
        <v>150</v>
      </c>
      <c r="Q44" s="16">
        <f t="shared" si="8"/>
        <v>150</v>
      </c>
      <c r="R44" s="16">
        <f t="shared" si="8"/>
        <v>150</v>
      </c>
      <c r="S44" s="16">
        <f t="shared" ref="J44:T59" si="9">+$G44*S$2</f>
        <v>150</v>
      </c>
      <c r="T44" s="16">
        <f t="shared" si="9"/>
        <v>150</v>
      </c>
    </row>
    <row r="45" spans="1:20">
      <c r="A45" t="s">
        <v>100</v>
      </c>
      <c r="B45" t="s">
        <v>612</v>
      </c>
      <c r="C45" t="s">
        <v>612</v>
      </c>
      <c r="D45" s="21">
        <v>1</v>
      </c>
      <c r="E45" s="16">
        <v>0.3</v>
      </c>
      <c r="F45" s="16">
        <v>3</v>
      </c>
      <c r="G45" s="15">
        <f t="shared" si="4"/>
        <v>0.89999999999999991</v>
      </c>
      <c r="H45" t="s">
        <v>611</v>
      </c>
      <c r="I45" s="16">
        <f t="shared" si="8"/>
        <v>22.499999999999996</v>
      </c>
      <c r="J45" s="16">
        <f t="shared" si="9"/>
        <v>22.499999999999996</v>
      </c>
      <c r="K45" s="16">
        <f t="shared" si="9"/>
        <v>22.499999999999996</v>
      </c>
      <c r="L45" s="16">
        <f t="shared" si="9"/>
        <v>22.499999999999996</v>
      </c>
      <c r="M45" s="16">
        <f t="shared" si="9"/>
        <v>22.499999999999996</v>
      </c>
      <c r="N45" s="16">
        <f t="shared" si="9"/>
        <v>22.499999999999996</v>
      </c>
      <c r="O45" s="16">
        <f t="shared" si="9"/>
        <v>22.499999999999996</v>
      </c>
      <c r="P45" s="16">
        <f t="shared" si="9"/>
        <v>22.499999999999996</v>
      </c>
      <c r="Q45" s="16">
        <f t="shared" si="9"/>
        <v>22.499999999999996</v>
      </c>
      <c r="R45" s="16">
        <f t="shared" si="9"/>
        <v>22.499999999999996</v>
      </c>
      <c r="S45" s="16">
        <f t="shared" si="9"/>
        <v>22.499999999999996</v>
      </c>
      <c r="T45" s="16">
        <f t="shared" si="9"/>
        <v>22.499999999999996</v>
      </c>
    </row>
    <row r="46" spans="1:20">
      <c r="A46" t="s">
        <v>100</v>
      </c>
      <c r="B46" t="s">
        <v>58</v>
      </c>
      <c r="C46" t="s">
        <v>613</v>
      </c>
      <c r="D46" s="21">
        <v>1</v>
      </c>
      <c r="E46" s="16">
        <v>0.5</v>
      </c>
      <c r="F46" s="16">
        <v>3</v>
      </c>
      <c r="G46" s="15">
        <f t="shared" si="4"/>
        <v>1.5</v>
      </c>
      <c r="H46" t="s">
        <v>611</v>
      </c>
      <c r="I46" s="16">
        <f t="shared" si="8"/>
        <v>37.5</v>
      </c>
      <c r="J46" s="16">
        <f t="shared" si="9"/>
        <v>37.5</v>
      </c>
      <c r="K46" s="16">
        <f t="shared" si="9"/>
        <v>37.5</v>
      </c>
      <c r="L46" s="16">
        <f t="shared" si="9"/>
        <v>37.5</v>
      </c>
      <c r="M46" s="16">
        <f t="shared" si="9"/>
        <v>37.5</v>
      </c>
      <c r="N46" s="16">
        <f t="shared" si="9"/>
        <v>37.5</v>
      </c>
      <c r="O46" s="16">
        <f t="shared" si="9"/>
        <v>37.5</v>
      </c>
      <c r="P46" s="16">
        <f t="shared" si="9"/>
        <v>37.5</v>
      </c>
      <c r="Q46" s="16">
        <f t="shared" si="9"/>
        <v>37.5</v>
      </c>
      <c r="R46" s="16">
        <f t="shared" si="9"/>
        <v>37.5</v>
      </c>
      <c r="S46" s="16">
        <f t="shared" si="9"/>
        <v>37.5</v>
      </c>
      <c r="T46" s="16">
        <f t="shared" si="9"/>
        <v>37.5</v>
      </c>
    </row>
    <row r="47" spans="1:20">
      <c r="A47" t="s">
        <v>100</v>
      </c>
      <c r="B47" t="s">
        <v>614</v>
      </c>
      <c r="C47" t="s">
        <v>614</v>
      </c>
      <c r="D47" s="21">
        <v>1</v>
      </c>
      <c r="E47" s="16">
        <v>0.3</v>
      </c>
      <c r="F47" s="16">
        <v>3</v>
      </c>
      <c r="G47" s="15">
        <f t="shared" si="4"/>
        <v>0.89999999999999991</v>
      </c>
      <c r="H47" t="s">
        <v>611</v>
      </c>
      <c r="I47" s="16">
        <f t="shared" si="8"/>
        <v>22.499999999999996</v>
      </c>
      <c r="J47" s="16">
        <f t="shared" si="9"/>
        <v>22.499999999999996</v>
      </c>
      <c r="K47" s="16">
        <f t="shared" si="9"/>
        <v>22.499999999999996</v>
      </c>
      <c r="L47" s="16">
        <f t="shared" si="9"/>
        <v>22.499999999999996</v>
      </c>
      <c r="M47" s="16">
        <f t="shared" si="9"/>
        <v>22.499999999999996</v>
      </c>
      <c r="N47" s="16">
        <f t="shared" si="9"/>
        <v>22.499999999999996</v>
      </c>
      <c r="O47" s="16">
        <f t="shared" si="9"/>
        <v>22.499999999999996</v>
      </c>
      <c r="P47" s="16">
        <f t="shared" si="9"/>
        <v>22.499999999999996</v>
      </c>
      <c r="Q47" s="16">
        <f t="shared" si="9"/>
        <v>22.499999999999996</v>
      </c>
      <c r="R47" s="16">
        <f t="shared" si="9"/>
        <v>22.499999999999996</v>
      </c>
      <c r="S47" s="16">
        <f t="shared" si="9"/>
        <v>22.499999999999996</v>
      </c>
      <c r="T47" s="16">
        <f t="shared" si="9"/>
        <v>22.499999999999996</v>
      </c>
    </row>
    <row r="48" spans="1:20">
      <c r="A48" t="s">
        <v>100</v>
      </c>
      <c r="B48" t="s">
        <v>615</v>
      </c>
      <c r="C48" t="s">
        <v>616</v>
      </c>
      <c r="D48" s="21">
        <v>1</v>
      </c>
      <c r="E48" s="16">
        <v>0.5</v>
      </c>
      <c r="F48" s="16">
        <v>3</v>
      </c>
      <c r="G48" s="15">
        <f t="shared" si="4"/>
        <v>1.5</v>
      </c>
      <c r="H48" t="s">
        <v>611</v>
      </c>
      <c r="I48" s="16">
        <f t="shared" si="8"/>
        <v>37.5</v>
      </c>
      <c r="J48" s="16">
        <f t="shared" si="9"/>
        <v>37.5</v>
      </c>
      <c r="K48" s="16">
        <f t="shared" si="9"/>
        <v>37.5</v>
      </c>
      <c r="L48" s="16">
        <f t="shared" si="9"/>
        <v>37.5</v>
      </c>
      <c r="M48" s="16">
        <f t="shared" si="9"/>
        <v>37.5</v>
      </c>
      <c r="N48" s="16">
        <f t="shared" si="9"/>
        <v>37.5</v>
      </c>
      <c r="O48" s="16">
        <f t="shared" si="9"/>
        <v>37.5</v>
      </c>
      <c r="P48" s="16">
        <f t="shared" si="9"/>
        <v>37.5</v>
      </c>
      <c r="Q48" s="16">
        <f t="shared" si="9"/>
        <v>37.5</v>
      </c>
      <c r="R48" s="16">
        <f t="shared" si="9"/>
        <v>37.5</v>
      </c>
      <c r="S48" s="16">
        <f t="shared" si="9"/>
        <v>37.5</v>
      </c>
      <c r="T48" s="16">
        <f t="shared" si="9"/>
        <v>37.5</v>
      </c>
    </row>
    <row r="49" spans="1:20">
      <c r="A49" t="s">
        <v>100</v>
      </c>
      <c r="B49" t="s">
        <v>617</v>
      </c>
      <c r="C49" t="s">
        <v>617</v>
      </c>
      <c r="D49" s="21">
        <v>1</v>
      </c>
      <c r="E49" s="16">
        <v>1.6</v>
      </c>
      <c r="F49" s="16">
        <v>3</v>
      </c>
      <c r="G49" s="15">
        <f t="shared" si="4"/>
        <v>4.8000000000000007</v>
      </c>
      <c r="H49" t="s">
        <v>611</v>
      </c>
      <c r="I49" s="16">
        <f t="shared" si="8"/>
        <v>120.00000000000001</v>
      </c>
      <c r="J49" s="16">
        <f t="shared" si="9"/>
        <v>120.00000000000001</v>
      </c>
      <c r="K49" s="16">
        <f t="shared" si="9"/>
        <v>120.00000000000001</v>
      </c>
      <c r="L49" s="16">
        <f t="shared" si="9"/>
        <v>120.00000000000001</v>
      </c>
      <c r="M49" s="16">
        <f t="shared" si="9"/>
        <v>120.00000000000001</v>
      </c>
      <c r="N49" s="16">
        <f t="shared" si="9"/>
        <v>120.00000000000001</v>
      </c>
      <c r="O49" s="16">
        <f t="shared" si="9"/>
        <v>120.00000000000001</v>
      </c>
      <c r="P49" s="16">
        <f t="shared" si="9"/>
        <v>120.00000000000001</v>
      </c>
      <c r="Q49" s="16">
        <f t="shared" si="9"/>
        <v>120.00000000000001</v>
      </c>
      <c r="R49" s="16">
        <f t="shared" si="9"/>
        <v>120.00000000000001</v>
      </c>
      <c r="S49" s="16">
        <f t="shared" si="9"/>
        <v>120.00000000000001</v>
      </c>
      <c r="T49" s="16">
        <f t="shared" si="9"/>
        <v>120.00000000000001</v>
      </c>
    </row>
    <row r="50" spans="1:20">
      <c r="A50" t="s">
        <v>100</v>
      </c>
      <c r="B50" t="s">
        <v>618</v>
      </c>
      <c r="C50" t="s">
        <v>618</v>
      </c>
      <c r="D50" s="21">
        <v>1</v>
      </c>
      <c r="E50" s="16">
        <v>0.5</v>
      </c>
      <c r="F50" s="16">
        <v>3</v>
      </c>
      <c r="G50" s="15">
        <f t="shared" si="4"/>
        <v>1.5</v>
      </c>
      <c r="H50" t="s">
        <v>611</v>
      </c>
      <c r="I50" s="16">
        <f t="shared" si="8"/>
        <v>37.5</v>
      </c>
      <c r="J50" s="16">
        <f t="shared" si="9"/>
        <v>37.5</v>
      </c>
      <c r="K50" s="16">
        <f t="shared" si="9"/>
        <v>37.5</v>
      </c>
      <c r="L50" s="16">
        <f t="shared" si="9"/>
        <v>37.5</v>
      </c>
      <c r="M50" s="16">
        <f t="shared" si="9"/>
        <v>37.5</v>
      </c>
      <c r="N50" s="16">
        <f t="shared" si="9"/>
        <v>37.5</v>
      </c>
      <c r="O50" s="16">
        <f t="shared" si="9"/>
        <v>37.5</v>
      </c>
      <c r="P50" s="16">
        <f t="shared" si="9"/>
        <v>37.5</v>
      </c>
      <c r="Q50" s="16">
        <f t="shared" si="9"/>
        <v>37.5</v>
      </c>
      <c r="R50" s="16">
        <f t="shared" si="9"/>
        <v>37.5</v>
      </c>
      <c r="S50" s="16">
        <f t="shared" si="9"/>
        <v>37.5</v>
      </c>
      <c r="T50" s="16">
        <f t="shared" si="9"/>
        <v>37.5</v>
      </c>
    </row>
    <row r="51" spans="1:20">
      <c r="A51" t="s">
        <v>100</v>
      </c>
      <c r="B51" t="s">
        <v>619</v>
      </c>
      <c r="C51" t="s">
        <v>619</v>
      </c>
      <c r="D51" s="21">
        <v>1</v>
      </c>
      <c r="E51" s="16">
        <v>0.3</v>
      </c>
      <c r="F51" s="16">
        <v>3</v>
      </c>
      <c r="G51" s="15">
        <f t="shared" si="4"/>
        <v>0.89999999999999991</v>
      </c>
      <c r="H51" t="s">
        <v>611</v>
      </c>
      <c r="I51" s="16">
        <f t="shared" si="8"/>
        <v>22.499999999999996</v>
      </c>
      <c r="J51" s="16">
        <f t="shared" si="9"/>
        <v>22.499999999999996</v>
      </c>
      <c r="K51" s="16">
        <f t="shared" si="9"/>
        <v>22.499999999999996</v>
      </c>
      <c r="L51" s="16">
        <f t="shared" si="9"/>
        <v>22.499999999999996</v>
      </c>
      <c r="M51" s="16">
        <f t="shared" si="9"/>
        <v>22.499999999999996</v>
      </c>
      <c r="N51" s="16">
        <f t="shared" si="9"/>
        <v>22.499999999999996</v>
      </c>
      <c r="O51" s="16">
        <f t="shared" si="9"/>
        <v>22.499999999999996</v>
      </c>
      <c r="P51" s="16">
        <f t="shared" si="9"/>
        <v>22.499999999999996</v>
      </c>
      <c r="Q51" s="16">
        <f t="shared" si="9"/>
        <v>22.499999999999996</v>
      </c>
      <c r="R51" s="16">
        <f t="shared" si="9"/>
        <v>22.499999999999996</v>
      </c>
      <c r="S51" s="16">
        <f t="shared" si="9"/>
        <v>22.499999999999996</v>
      </c>
      <c r="T51" s="16">
        <f t="shared" si="9"/>
        <v>22.499999999999996</v>
      </c>
    </row>
    <row r="52" spans="1:20">
      <c r="A52" t="s">
        <v>100</v>
      </c>
      <c r="B52" t="s">
        <v>620</v>
      </c>
      <c r="C52" t="s">
        <v>620</v>
      </c>
      <c r="D52" s="21">
        <v>1</v>
      </c>
      <c r="E52" s="16">
        <v>0.05</v>
      </c>
      <c r="F52" s="16">
        <v>3</v>
      </c>
      <c r="G52" s="15">
        <f>+D52*E52*F52</f>
        <v>0.15000000000000002</v>
      </c>
      <c r="H52" t="s">
        <v>611</v>
      </c>
      <c r="I52" s="16">
        <f t="shared" si="8"/>
        <v>3.7500000000000004</v>
      </c>
      <c r="J52" s="16">
        <f t="shared" si="9"/>
        <v>3.7500000000000004</v>
      </c>
      <c r="K52" s="16">
        <f t="shared" si="9"/>
        <v>3.7500000000000004</v>
      </c>
      <c r="L52" s="16">
        <f t="shared" si="9"/>
        <v>3.7500000000000004</v>
      </c>
      <c r="M52" s="16">
        <f t="shared" si="9"/>
        <v>3.7500000000000004</v>
      </c>
      <c r="N52" s="16">
        <f t="shared" si="9"/>
        <v>3.7500000000000004</v>
      </c>
      <c r="O52" s="16">
        <f t="shared" si="9"/>
        <v>3.7500000000000004</v>
      </c>
      <c r="P52" s="16">
        <f t="shared" si="9"/>
        <v>3.7500000000000004</v>
      </c>
      <c r="Q52" s="16">
        <f t="shared" si="9"/>
        <v>3.7500000000000004</v>
      </c>
      <c r="R52" s="16">
        <f t="shared" si="9"/>
        <v>3.7500000000000004</v>
      </c>
      <c r="S52" s="16">
        <f t="shared" si="9"/>
        <v>3.7500000000000004</v>
      </c>
      <c r="T52" s="16">
        <f t="shared" si="9"/>
        <v>3.7500000000000004</v>
      </c>
    </row>
    <row r="53" spans="1:20">
      <c r="A53" t="s">
        <v>100</v>
      </c>
      <c r="B53" t="s">
        <v>621</v>
      </c>
      <c r="C53" t="s">
        <v>621</v>
      </c>
      <c r="D53" s="21">
        <v>1</v>
      </c>
      <c r="E53" s="16">
        <v>0.03</v>
      </c>
      <c r="F53" s="16">
        <v>3</v>
      </c>
      <c r="G53" s="15">
        <f t="shared" si="4"/>
        <v>0.09</v>
      </c>
      <c r="H53" t="s">
        <v>611</v>
      </c>
      <c r="I53" s="16">
        <f t="shared" si="8"/>
        <v>2.25</v>
      </c>
      <c r="J53" s="16">
        <f t="shared" si="9"/>
        <v>2.25</v>
      </c>
      <c r="K53" s="16">
        <f t="shared" si="9"/>
        <v>2.25</v>
      </c>
      <c r="L53" s="16">
        <f t="shared" si="9"/>
        <v>2.25</v>
      </c>
      <c r="M53" s="16">
        <f t="shared" si="9"/>
        <v>2.25</v>
      </c>
      <c r="N53" s="16">
        <f t="shared" si="9"/>
        <v>2.25</v>
      </c>
      <c r="O53" s="16">
        <f t="shared" si="9"/>
        <v>2.25</v>
      </c>
      <c r="P53" s="16">
        <f t="shared" si="9"/>
        <v>2.25</v>
      </c>
      <c r="Q53" s="16">
        <f t="shared" si="9"/>
        <v>2.25</v>
      </c>
      <c r="R53" s="16">
        <f t="shared" si="9"/>
        <v>2.25</v>
      </c>
      <c r="S53" s="16">
        <f t="shared" si="9"/>
        <v>2.25</v>
      </c>
      <c r="T53" s="16">
        <f t="shared" si="9"/>
        <v>2.25</v>
      </c>
    </row>
    <row r="54" spans="1:20">
      <c r="A54" t="s">
        <v>100</v>
      </c>
      <c r="B54" t="s">
        <v>622</v>
      </c>
      <c r="C54" t="s">
        <v>622</v>
      </c>
      <c r="D54" s="21">
        <v>1</v>
      </c>
      <c r="E54" s="16">
        <v>0.7</v>
      </c>
      <c r="F54" s="16">
        <v>3</v>
      </c>
      <c r="G54" s="15">
        <f t="shared" si="4"/>
        <v>2.0999999999999996</v>
      </c>
      <c r="H54" t="s">
        <v>611</v>
      </c>
      <c r="I54" s="16">
        <f t="shared" si="8"/>
        <v>52.499999999999993</v>
      </c>
      <c r="J54" s="16">
        <f t="shared" si="9"/>
        <v>52.499999999999993</v>
      </c>
      <c r="K54" s="16">
        <f t="shared" si="9"/>
        <v>52.499999999999993</v>
      </c>
      <c r="L54" s="16">
        <f t="shared" si="9"/>
        <v>52.499999999999993</v>
      </c>
      <c r="M54" s="16">
        <f t="shared" si="9"/>
        <v>52.499999999999993</v>
      </c>
      <c r="N54" s="16">
        <f t="shared" si="9"/>
        <v>52.499999999999993</v>
      </c>
      <c r="O54" s="16">
        <f t="shared" si="9"/>
        <v>52.499999999999993</v>
      </c>
      <c r="P54" s="16">
        <f t="shared" si="9"/>
        <v>52.499999999999993</v>
      </c>
      <c r="Q54" s="16">
        <f t="shared" si="9"/>
        <v>52.499999999999993</v>
      </c>
      <c r="R54" s="16">
        <f t="shared" si="9"/>
        <v>52.499999999999993</v>
      </c>
      <c r="S54" s="16">
        <f t="shared" si="9"/>
        <v>52.499999999999993</v>
      </c>
      <c r="T54" s="16">
        <f t="shared" si="9"/>
        <v>52.499999999999993</v>
      </c>
    </row>
    <row r="55" spans="1:20">
      <c r="A55" t="s">
        <v>100</v>
      </c>
      <c r="B55" t="s">
        <v>623</v>
      </c>
      <c r="C55" t="s">
        <v>623</v>
      </c>
      <c r="D55" s="21">
        <v>1</v>
      </c>
      <c r="E55" s="16">
        <v>0.3</v>
      </c>
      <c r="F55" s="16">
        <v>3</v>
      </c>
      <c r="G55" s="15">
        <f t="shared" si="4"/>
        <v>0.89999999999999991</v>
      </c>
      <c r="H55" t="s">
        <v>611</v>
      </c>
      <c r="I55" s="16">
        <f t="shared" si="8"/>
        <v>22.499999999999996</v>
      </c>
      <c r="J55" s="16">
        <f t="shared" si="9"/>
        <v>22.499999999999996</v>
      </c>
      <c r="K55" s="16">
        <f t="shared" si="9"/>
        <v>22.499999999999996</v>
      </c>
      <c r="L55" s="16">
        <f t="shared" si="9"/>
        <v>22.499999999999996</v>
      </c>
      <c r="M55" s="16">
        <f t="shared" si="9"/>
        <v>22.499999999999996</v>
      </c>
      <c r="N55" s="16">
        <f t="shared" si="9"/>
        <v>22.499999999999996</v>
      </c>
      <c r="O55" s="16">
        <f t="shared" si="9"/>
        <v>22.499999999999996</v>
      </c>
      <c r="P55" s="16">
        <f t="shared" si="9"/>
        <v>22.499999999999996</v>
      </c>
      <c r="Q55" s="16">
        <f t="shared" si="9"/>
        <v>22.499999999999996</v>
      </c>
      <c r="R55" s="16">
        <f t="shared" si="9"/>
        <v>22.499999999999996</v>
      </c>
      <c r="S55" s="16">
        <f t="shared" si="9"/>
        <v>22.499999999999996</v>
      </c>
      <c r="T55" s="16">
        <f t="shared" si="9"/>
        <v>22.499999999999996</v>
      </c>
    </row>
    <row r="56" spans="1:20">
      <c r="A56" t="s">
        <v>100</v>
      </c>
      <c r="B56" t="s">
        <v>624</v>
      </c>
      <c r="C56" t="s">
        <v>624</v>
      </c>
      <c r="D56" s="21">
        <v>1</v>
      </c>
      <c r="E56" s="16">
        <v>0.15</v>
      </c>
      <c r="F56" s="16">
        <v>3</v>
      </c>
      <c r="G56" s="15">
        <f t="shared" si="4"/>
        <v>0.44999999999999996</v>
      </c>
      <c r="H56" t="s">
        <v>611</v>
      </c>
      <c r="I56" s="16">
        <f t="shared" si="8"/>
        <v>11.249999999999998</v>
      </c>
      <c r="J56" s="16">
        <f t="shared" si="9"/>
        <v>11.249999999999998</v>
      </c>
      <c r="K56" s="16">
        <f t="shared" si="9"/>
        <v>11.249999999999998</v>
      </c>
      <c r="L56" s="16">
        <f t="shared" si="9"/>
        <v>11.249999999999998</v>
      </c>
      <c r="M56" s="16">
        <f t="shared" si="9"/>
        <v>11.249999999999998</v>
      </c>
      <c r="N56" s="16">
        <f t="shared" si="9"/>
        <v>11.249999999999998</v>
      </c>
      <c r="O56" s="16">
        <f t="shared" si="9"/>
        <v>11.249999999999998</v>
      </c>
      <c r="P56" s="16">
        <f t="shared" si="9"/>
        <v>11.249999999999998</v>
      </c>
      <c r="Q56" s="16">
        <f t="shared" si="9"/>
        <v>11.249999999999998</v>
      </c>
      <c r="R56" s="16">
        <f t="shared" si="9"/>
        <v>11.249999999999998</v>
      </c>
      <c r="S56" s="16">
        <f t="shared" si="9"/>
        <v>11.249999999999998</v>
      </c>
      <c r="T56" s="16">
        <f t="shared" si="9"/>
        <v>11.249999999999998</v>
      </c>
    </row>
    <row r="57" spans="1:20">
      <c r="A57" t="s">
        <v>100</v>
      </c>
      <c r="B57" t="s">
        <v>625</v>
      </c>
      <c r="C57" t="s">
        <v>625</v>
      </c>
      <c r="D57" s="21">
        <v>1</v>
      </c>
      <c r="E57" s="16">
        <v>0.1</v>
      </c>
      <c r="F57" s="16">
        <v>3</v>
      </c>
      <c r="G57" s="15">
        <f t="shared" si="4"/>
        <v>0.30000000000000004</v>
      </c>
      <c r="H57" t="s">
        <v>611</v>
      </c>
      <c r="I57" s="16">
        <f t="shared" si="8"/>
        <v>7.5000000000000009</v>
      </c>
      <c r="J57" s="16">
        <f t="shared" si="9"/>
        <v>7.5000000000000009</v>
      </c>
      <c r="K57" s="16">
        <f t="shared" si="9"/>
        <v>7.5000000000000009</v>
      </c>
      <c r="L57" s="16">
        <f t="shared" si="9"/>
        <v>7.5000000000000009</v>
      </c>
      <c r="M57" s="16">
        <f t="shared" si="9"/>
        <v>7.5000000000000009</v>
      </c>
      <c r="N57" s="16">
        <f t="shared" si="9"/>
        <v>7.5000000000000009</v>
      </c>
      <c r="O57" s="16">
        <f t="shared" si="9"/>
        <v>7.5000000000000009</v>
      </c>
      <c r="P57" s="16">
        <f t="shared" si="9"/>
        <v>7.5000000000000009</v>
      </c>
      <c r="Q57" s="16">
        <f t="shared" si="9"/>
        <v>7.5000000000000009</v>
      </c>
      <c r="R57" s="16">
        <f t="shared" si="9"/>
        <v>7.5000000000000009</v>
      </c>
      <c r="S57" s="16">
        <f t="shared" si="9"/>
        <v>7.5000000000000009</v>
      </c>
      <c r="T57" s="16">
        <f t="shared" si="9"/>
        <v>7.5000000000000009</v>
      </c>
    </row>
    <row r="58" spans="1:20">
      <c r="A58" t="s">
        <v>100</v>
      </c>
      <c r="B58" t="s">
        <v>626</v>
      </c>
      <c r="C58" t="s">
        <v>627</v>
      </c>
      <c r="D58" s="21">
        <v>1</v>
      </c>
      <c r="E58" s="16">
        <v>0.25</v>
      </c>
      <c r="F58" s="16">
        <v>3</v>
      </c>
      <c r="G58" s="15">
        <f t="shared" si="4"/>
        <v>0.75</v>
      </c>
      <c r="H58" t="s">
        <v>611</v>
      </c>
      <c r="I58" s="16">
        <f t="shared" si="8"/>
        <v>18.75</v>
      </c>
      <c r="J58" s="16">
        <f t="shared" si="9"/>
        <v>18.75</v>
      </c>
      <c r="K58" s="16">
        <f t="shared" si="9"/>
        <v>18.75</v>
      </c>
      <c r="L58" s="16">
        <f t="shared" si="9"/>
        <v>18.75</v>
      </c>
      <c r="M58" s="16">
        <f t="shared" si="9"/>
        <v>18.75</v>
      </c>
      <c r="N58" s="16">
        <f t="shared" si="9"/>
        <v>18.75</v>
      </c>
      <c r="O58" s="16">
        <f t="shared" si="9"/>
        <v>18.75</v>
      </c>
      <c r="P58" s="16">
        <f t="shared" si="9"/>
        <v>18.75</v>
      </c>
      <c r="Q58" s="16">
        <f t="shared" si="9"/>
        <v>18.75</v>
      </c>
      <c r="R58" s="16">
        <f t="shared" si="9"/>
        <v>18.75</v>
      </c>
      <c r="S58" s="16">
        <f t="shared" si="9"/>
        <v>18.75</v>
      </c>
      <c r="T58" s="16">
        <f t="shared" si="9"/>
        <v>18.75</v>
      </c>
    </row>
    <row r="59" spans="1:20">
      <c r="A59" t="s">
        <v>100</v>
      </c>
      <c r="B59" t="s">
        <v>628</v>
      </c>
      <c r="C59" t="s">
        <v>628</v>
      </c>
      <c r="D59" s="21">
        <v>1</v>
      </c>
      <c r="E59" s="16">
        <v>5</v>
      </c>
      <c r="F59" s="16">
        <v>1</v>
      </c>
      <c r="G59" s="15">
        <f t="shared" si="4"/>
        <v>5</v>
      </c>
      <c r="H59" t="s">
        <v>611</v>
      </c>
      <c r="I59" s="16">
        <f t="shared" si="8"/>
        <v>125</v>
      </c>
      <c r="J59" s="16">
        <f t="shared" si="9"/>
        <v>125</v>
      </c>
      <c r="K59" s="16">
        <f t="shared" si="9"/>
        <v>125</v>
      </c>
      <c r="L59" s="16">
        <f t="shared" si="9"/>
        <v>125</v>
      </c>
      <c r="M59" s="16">
        <f t="shared" si="9"/>
        <v>125</v>
      </c>
      <c r="N59" s="16">
        <f t="shared" si="9"/>
        <v>125</v>
      </c>
      <c r="O59" s="16">
        <f t="shared" si="9"/>
        <v>125</v>
      </c>
      <c r="P59" s="16">
        <f t="shared" si="9"/>
        <v>125</v>
      </c>
      <c r="Q59" s="16">
        <f t="shared" si="9"/>
        <v>125</v>
      </c>
      <c r="R59" s="16">
        <f t="shared" si="9"/>
        <v>125</v>
      </c>
      <c r="S59" s="16">
        <f t="shared" si="9"/>
        <v>125</v>
      </c>
      <c r="T59" s="16">
        <f t="shared" si="9"/>
        <v>125</v>
      </c>
    </row>
    <row r="60" spans="1:20">
      <c r="A60" t="s">
        <v>100</v>
      </c>
      <c r="B60" t="s">
        <v>629</v>
      </c>
      <c r="C60" t="s">
        <v>629</v>
      </c>
      <c r="D60" s="21">
        <v>1</v>
      </c>
      <c r="E60" s="16">
        <v>1.5</v>
      </c>
      <c r="F60" s="16">
        <v>3</v>
      </c>
      <c r="G60" s="15">
        <f t="shared" si="4"/>
        <v>4.5</v>
      </c>
      <c r="H60" t="s">
        <v>611</v>
      </c>
      <c r="I60" s="16">
        <f t="shared" si="8"/>
        <v>112.5</v>
      </c>
      <c r="J60" s="16">
        <f t="shared" ref="J60:T75" si="10">+$G60*J$2</f>
        <v>112.5</v>
      </c>
      <c r="K60" s="16">
        <f t="shared" si="10"/>
        <v>112.5</v>
      </c>
      <c r="L60" s="16">
        <f t="shared" si="10"/>
        <v>112.5</v>
      </c>
      <c r="M60" s="16">
        <f t="shared" si="10"/>
        <v>112.5</v>
      </c>
      <c r="N60" s="16">
        <f t="shared" si="10"/>
        <v>112.5</v>
      </c>
      <c r="O60" s="16">
        <f t="shared" si="10"/>
        <v>112.5</v>
      </c>
      <c r="P60" s="16">
        <f t="shared" si="10"/>
        <v>112.5</v>
      </c>
      <c r="Q60" s="16">
        <f t="shared" si="10"/>
        <v>112.5</v>
      </c>
      <c r="R60" s="16">
        <f t="shared" si="10"/>
        <v>112.5</v>
      </c>
      <c r="S60" s="16">
        <f t="shared" si="10"/>
        <v>112.5</v>
      </c>
      <c r="T60" s="16">
        <f t="shared" si="10"/>
        <v>112.5</v>
      </c>
    </row>
    <row r="61" spans="1:20">
      <c r="A61" t="s">
        <v>100</v>
      </c>
      <c r="B61" t="s">
        <v>630</v>
      </c>
      <c r="C61" t="s">
        <v>630</v>
      </c>
      <c r="D61" s="21">
        <v>1</v>
      </c>
      <c r="E61" s="16">
        <v>0.8</v>
      </c>
      <c r="F61" s="16">
        <v>3</v>
      </c>
      <c r="G61" s="15">
        <f t="shared" si="4"/>
        <v>2.4000000000000004</v>
      </c>
      <c r="H61" t="s">
        <v>611</v>
      </c>
      <c r="I61" s="16">
        <f t="shared" si="8"/>
        <v>60.000000000000007</v>
      </c>
      <c r="J61" s="16">
        <f t="shared" si="10"/>
        <v>60.000000000000007</v>
      </c>
      <c r="K61" s="16">
        <f t="shared" si="10"/>
        <v>60.000000000000007</v>
      </c>
      <c r="L61" s="16">
        <f t="shared" si="10"/>
        <v>60.000000000000007</v>
      </c>
      <c r="M61" s="16">
        <f t="shared" si="10"/>
        <v>60.000000000000007</v>
      </c>
      <c r="N61" s="16">
        <f t="shared" si="10"/>
        <v>60.000000000000007</v>
      </c>
      <c r="O61" s="16">
        <f t="shared" si="10"/>
        <v>60.000000000000007</v>
      </c>
      <c r="P61" s="16">
        <f t="shared" si="10"/>
        <v>60.000000000000007</v>
      </c>
      <c r="Q61" s="16">
        <f t="shared" si="10"/>
        <v>60.000000000000007</v>
      </c>
      <c r="R61" s="16">
        <f t="shared" si="10"/>
        <v>60.000000000000007</v>
      </c>
      <c r="S61" s="16">
        <f t="shared" si="10"/>
        <v>60.000000000000007</v>
      </c>
      <c r="T61" s="16">
        <f t="shared" si="10"/>
        <v>60.000000000000007</v>
      </c>
    </row>
    <row r="62" spans="1:20">
      <c r="A62" t="s">
        <v>100</v>
      </c>
      <c r="B62" t="s">
        <v>631</v>
      </c>
      <c r="C62" t="s">
        <v>631</v>
      </c>
      <c r="D62" s="21">
        <v>1</v>
      </c>
      <c r="E62" s="16">
        <v>0.3</v>
      </c>
      <c r="F62" s="16">
        <v>3</v>
      </c>
      <c r="G62" s="15">
        <f t="shared" si="4"/>
        <v>0.89999999999999991</v>
      </c>
      <c r="H62" t="s">
        <v>611</v>
      </c>
      <c r="I62" s="16">
        <f t="shared" si="8"/>
        <v>22.499999999999996</v>
      </c>
      <c r="J62" s="16">
        <f t="shared" si="10"/>
        <v>22.499999999999996</v>
      </c>
      <c r="K62" s="16">
        <f t="shared" si="10"/>
        <v>22.499999999999996</v>
      </c>
      <c r="L62" s="16">
        <f t="shared" si="10"/>
        <v>22.499999999999996</v>
      </c>
      <c r="M62" s="16">
        <f t="shared" si="10"/>
        <v>22.499999999999996</v>
      </c>
      <c r="N62" s="16">
        <f t="shared" si="10"/>
        <v>22.499999999999996</v>
      </c>
      <c r="O62" s="16">
        <f t="shared" si="10"/>
        <v>22.499999999999996</v>
      </c>
      <c r="P62" s="16">
        <f t="shared" si="10"/>
        <v>22.499999999999996</v>
      </c>
      <c r="Q62" s="16">
        <f t="shared" si="10"/>
        <v>22.499999999999996</v>
      </c>
      <c r="R62" s="16">
        <f t="shared" si="10"/>
        <v>22.499999999999996</v>
      </c>
      <c r="S62" s="16">
        <f t="shared" si="10"/>
        <v>22.499999999999996</v>
      </c>
      <c r="T62" s="16">
        <f t="shared" si="10"/>
        <v>22.499999999999996</v>
      </c>
    </row>
    <row r="63" spans="1:20">
      <c r="A63" t="s">
        <v>100</v>
      </c>
      <c r="B63" t="s">
        <v>632</v>
      </c>
      <c r="C63" t="s">
        <v>632</v>
      </c>
      <c r="D63" s="21">
        <v>1</v>
      </c>
      <c r="E63" s="16">
        <v>0.2</v>
      </c>
      <c r="F63" s="16">
        <v>3</v>
      </c>
      <c r="G63" s="15">
        <f t="shared" si="4"/>
        <v>0.60000000000000009</v>
      </c>
      <c r="H63" t="s">
        <v>611</v>
      </c>
      <c r="I63" s="16">
        <f t="shared" si="8"/>
        <v>15.000000000000002</v>
      </c>
      <c r="J63" s="16">
        <f t="shared" si="10"/>
        <v>15.000000000000002</v>
      </c>
      <c r="K63" s="16">
        <f t="shared" si="10"/>
        <v>15.000000000000002</v>
      </c>
      <c r="L63" s="16">
        <f t="shared" si="10"/>
        <v>15.000000000000002</v>
      </c>
      <c r="M63" s="16">
        <f t="shared" si="10"/>
        <v>15.000000000000002</v>
      </c>
      <c r="N63" s="16">
        <f t="shared" si="10"/>
        <v>15.000000000000002</v>
      </c>
      <c r="O63" s="16">
        <f t="shared" si="10"/>
        <v>15.000000000000002</v>
      </c>
      <c r="P63" s="16">
        <f t="shared" si="10"/>
        <v>15.000000000000002</v>
      </c>
      <c r="Q63" s="16">
        <f t="shared" si="10"/>
        <v>15.000000000000002</v>
      </c>
      <c r="R63" s="16">
        <f t="shared" si="10"/>
        <v>15.000000000000002</v>
      </c>
      <c r="S63" s="16">
        <f t="shared" si="10"/>
        <v>15.000000000000002</v>
      </c>
      <c r="T63" s="16">
        <f t="shared" si="10"/>
        <v>15.000000000000002</v>
      </c>
    </row>
    <row r="64" spans="1:20">
      <c r="A64" t="s">
        <v>100</v>
      </c>
      <c r="B64" t="s">
        <v>633</v>
      </c>
      <c r="C64" t="s">
        <v>633</v>
      </c>
      <c r="D64" s="21">
        <v>1</v>
      </c>
      <c r="E64" s="16">
        <v>0.5</v>
      </c>
      <c r="F64" s="16">
        <v>3</v>
      </c>
      <c r="G64" s="15">
        <f t="shared" si="4"/>
        <v>1.5</v>
      </c>
      <c r="H64" t="s">
        <v>611</v>
      </c>
      <c r="I64" s="16">
        <f t="shared" si="8"/>
        <v>37.5</v>
      </c>
      <c r="J64" s="16">
        <f t="shared" si="10"/>
        <v>37.5</v>
      </c>
      <c r="K64" s="16">
        <f t="shared" si="10"/>
        <v>37.5</v>
      </c>
      <c r="L64" s="16">
        <f t="shared" si="10"/>
        <v>37.5</v>
      </c>
      <c r="M64" s="16">
        <f t="shared" si="10"/>
        <v>37.5</v>
      </c>
      <c r="N64" s="16">
        <f t="shared" si="10"/>
        <v>37.5</v>
      </c>
      <c r="O64" s="16">
        <f t="shared" si="10"/>
        <v>37.5</v>
      </c>
      <c r="P64" s="16">
        <f t="shared" si="10"/>
        <v>37.5</v>
      </c>
      <c r="Q64" s="16">
        <f t="shared" si="10"/>
        <v>37.5</v>
      </c>
      <c r="R64" s="16">
        <f t="shared" si="10"/>
        <v>37.5</v>
      </c>
      <c r="S64" s="16">
        <f t="shared" si="10"/>
        <v>37.5</v>
      </c>
      <c r="T64" s="16">
        <f t="shared" si="10"/>
        <v>37.5</v>
      </c>
    </row>
    <row r="65" spans="1:20">
      <c r="A65" t="s">
        <v>100</v>
      </c>
      <c r="B65" t="s">
        <v>634</v>
      </c>
      <c r="C65" t="s">
        <v>634</v>
      </c>
      <c r="D65" s="21">
        <v>1</v>
      </c>
      <c r="E65" s="16">
        <v>0.05</v>
      </c>
      <c r="F65" s="16">
        <v>3</v>
      </c>
      <c r="G65" s="15">
        <f t="shared" si="4"/>
        <v>0.15000000000000002</v>
      </c>
      <c r="H65" t="s">
        <v>611</v>
      </c>
      <c r="I65" s="16">
        <f t="shared" si="8"/>
        <v>3.7500000000000004</v>
      </c>
      <c r="J65" s="16">
        <f t="shared" si="10"/>
        <v>3.7500000000000004</v>
      </c>
      <c r="K65" s="16">
        <f t="shared" si="10"/>
        <v>3.7500000000000004</v>
      </c>
      <c r="L65" s="16">
        <f t="shared" si="10"/>
        <v>3.7500000000000004</v>
      </c>
      <c r="M65" s="16">
        <f t="shared" si="10"/>
        <v>3.7500000000000004</v>
      </c>
      <c r="N65" s="16">
        <f t="shared" si="10"/>
        <v>3.7500000000000004</v>
      </c>
      <c r="O65" s="16">
        <f t="shared" si="10"/>
        <v>3.7500000000000004</v>
      </c>
      <c r="P65" s="16">
        <f t="shared" si="10"/>
        <v>3.7500000000000004</v>
      </c>
      <c r="Q65" s="16">
        <f t="shared" si="10"/>
        <v>3.7500000000000004</v>
      </c>
      <c r="R65" s="16">
        <f t="shared" si="10"/>
        <v>3.7500000000000004</v>
      </c>
      <c r="S65" s="16">
        <f t="shared" si="10"/>
        <v>3.7500000000000004</v>
      </c>
      <c r="T65" s="16">
        <f t="shared" si="10"/>
        <v>3.7500000000000004</v>
      </c>
    </row>
    <row r="66" spans="1:20">
      <c r="A66" t="s">
        <v>100</v>
      </c>
      <c r="B66" t="s">
        <v>635</v>
      </c>
      <c r="C66" t="s">
        <v>635</v>
      </c>
      <c r="D66" s="21">
        <v>1</v>
      </c>
      <c r="E66" s="16">
        <v>4</v>
      </c>
      <c r="F66" s="16">
        <v>3</v>
      </c>
      <c r="G66" s="15">
        <f t="shared" si="4"/>
        <v>12</v>
      </c>
      <c r="H66" t="s">
        <v>611</v>
      </c>
      <c r="I66" s="16">
        <f t="shared" si="8"/>
        <v>300</v>
      </c>
      <c r="J66" s="16">
        <f t="shared" si="10"/>
        <v>300</v>
      </c>
      <c r="K66" s="16">
        <f t="shared" si="10"/>
        <v>300</v>
      </c>
      <c r="L66" s="16">
        <f t="shared" si="10"/>
        <v>300</v>
      </c>
      <c r="M66" s="16">
        <f t="shared" si="10"/>
        <v>300</v>
      </c>
      <c r="N66" s="16">
        <f t="shared" si="10"/>
        <v>300</v>
      </c>
      <c r="O66" s="16">
        <f t="shared" si="10"/>
        <v>300</v>
      </c>
      <c r="P66" s="16">
        <f t="shared" si="10"/>
        <v>300</v>
      </c>
      <c r="Q66" s="16">
        <f t="shared" si="10"/>
        <v>300</v>
      </c>
      <c r="R66" s="16">
        <f t="shared" si="10"/>
        <v>300</v>
      </c>
      <c r="S66" s="16">
        <f t="shared" si="10"/>
        <v>300</v>
      </c>
      <c r="T66" s="16">
        <f t="shared" si="10"/>
        <v>300</v>
      </c>
    </row>
    <row r="67" spans="1:20">
      <c r="A67" t="s">
        <v>100</v>
      </c>
      <c r="B67" t="s">
        <v>636</v>
      </c>
      <c r="C67" t="s">
        <v>636</v>
      </c>
      <c r="D67" s="21">
        <v>1</v>
      </c>
      <c r="E67" s="16">
        <v>0.05</v>
      </c>
      <c r="F67" s="16">
        <v>3</v>
      </c>
      <c r="G67" s="15">
        <f t="shared" si="4"/>
        <v>0.15000000000000002</v>
      </c>
      <c r="H67" t="s">
        <v>611</v>
      </c>
      <c r="I67" s="16">
        <f t="shared" si="8"/>
        <v>3.7500000000000004</v>
      </c>
      <c r="J67" s="16">
        <f t="shared" si="10"/>
        <v>3.7500000000000004</v>
      </c>
      <c r="K67" s="16">
        <f t="shared" si="10"/>
        <v>3.7500000000000004</v>
      </c>
      <c r="L67" s="16">
        <f t="shared" si="10"/>
        <v>3.7500000000000004</v>
      </c>
      <c r="M67" s="16">
        <f t="shared" si="10"/>
        <v>3.7500000000000004</v>
      </c>
      <c r="N67" s="16">
        <f t="shared" si="10"/>
        <v>3.7500000000000004</v>
      </c>
      <c r="O67" s="16">
        <f t="shared" si="10"/>
        <v>3.7500000000000004</v>
      </c>
      <c r="P67" s="16">
        <f t="shared" si="10"/>
        <v>3.7500000000000004</v>
      </c>
      <c r="Q67" s="16">
        <f t="shared" si="10"/>
        <v>3.7500000000000004</v>
      </c>
      <c r="R67" s="16">
        <f t="shared" si="10"/>
        <v>3.7500000000000004</v>
      </c>
      <c r="S67" s="16">
        <f t="shared" si="10"/>
        <v>3.7500000000000004</v>
      </c>
      <c r="T67" s="16">
        <f t="shared" si="10"/>
        <v>3.7500000000000004</v>
      </c>
    </row>
    <row r="68" spans="1:20">
      <c r="A68" t="s">
        <v>100</v>
      </c>
      <c r="B68" t="s">
        <v>637</v>
      </c>
      <c r="C68" t="s">
        <v>637</v>
      </c>
      <c r="D68" s="21">
        <v>1</v>
      </c>
      <c r="E68" s="16">
        <v>0.05</v>
      </c>
      <c r="F68" s="16">
        <v>3</v>
      </c>
      <c r="G68" s="15">
        <f t="shared" si="4"/>
        <v>0.15000000000000002</v>
      </c>
      <c r="H68" t="s">
        <v>611</v>
      </c>
      <c r="I68" s="16">
        <f t="shared" si="8"/>
        <v>3.7500000000000004</v>
      </c>
      <c r="J68" s="16">
        <f t="shared" si="10"/>
        <v>3.7500000000000004</v>
      </c>
      <c r="K68" s="16">
        <f t="shared" si="10"/>
        <v>3.7500000000000004</v>
      </c>
      <c r="L68" s="16">
        <f t="shared" si="10"/>
        <v>3.7500000000000004</v>
      </c>
      <c r="M68" s="16">
        <f t="shared" si="10"/>
        <v>3.7500000000000004</v>
      </c>
      <c r="N68" s="16">
        <f t="shared" si="10"/>
        <v>3.7500000000000004</v>
      </c>
      <c r="O68" s="16">
        <f t="shared" si="10"/>
        <v>3.7500000000000004</v>
      </c>
      <c r="P68" s="16">
        <f t="shared" si="10"/>
        <v>3.7500000000000004</v>
      </c>
      <c r="Q68" s="16">
        <f t="shared" si="10"/>
        <v>3.7500000000000004</v>
      </c>
      <c r="R68" s="16">
        <f t="shared" si="10"/>
        <v>3.7500000000000004</v>
      </c>
      <c r="S68" s="16">
        <f t="shared" si="10"/>
        <v>3.7500000000000004</v>
      </c>
      <c r="T68" s="16">
        <f t="shared" si="10"/>
        <v>3.7500000000000004</v>
      </c>
    </row>
    <row r="69" spans="1:20">
      <c r="A69" t="s">
        <v>100</v>
      </c>
      <c r="B69" t="s">
        <v>638</v>
      </c>
      <c r="C69" t="s">
        <v>638</v>
      </c>
      <c r="D69" s="21">
        <v>1</v>
      </c>
      <c r="E69" s="16">
        <v>0.05</v>
      </c>
      <c r="F69" s="16">
        <v>3</v>
      </c>
      <c r="G69" s="15">
        <f t="shared" si="4"/>
        <v>0.15000000000000002</v>
      </c>
      <c r="H69" t="s">
        <v>611</v>
      </c>
      <c r="I69" s="16">
        <f t="shared" si="8"/>
        <v>3.7500000000000004</v>
      </c>
      <c r="J69" s="16">
        <f t="shared" si="10"/>
        <v>3.7500000000000004</v>
      </c>
      <c r="K69" s="16">
        <f t="shared" si="10"/>
        <v>3.7500000000000004</v>
      </c>
      <c r="L69" s="16">
        <f t="shared" si="10"/>
        <v>3.7500000000000004</v>
      </c>
      <c r="M69" s="16">
        <f t="shared" si="10"/>
        <v>3.7500000000000004</v>
      </c>
      <c r="N69" s="16">
        <f t="shared" si="10"/>
        <v>3.7500000000000004</v>
      </c>
      <c r="O69" s="16">
        <f t="shared" si="10"/>
        <v>3.7500000000000004</v>
      </c>
      <c r="P69" s="16">
        <f t="shared" si="10"/>
        <v>3.7500000000000004</v>
      </c>
      <c r="Q69" s="16">
        <f t="shared" si="10"/>
        <v>3.7500000000000004</v>
      </c>
      <c r="R69" s="16">
        <f t="shared" si="10"/>
        <v>3.7500000000000004</v>
      </c>
      <c r="S69" s="16">
        <f t="shared" si="10"/>
        <v>3.7500000000000004</v>
      </c>
      <c r="T69" s="16">
        <f t="shared" si="10"/>
        <v>3.7500000000000004</v>
      </c>
    </row>
    <row r="70" spans="1:20">
      <c r="A70" t="s">
        <v>100</v>
      </c>
      <c r="B70" t="s">
        <v>639</v>
      </c>
      <c r="C70" t="s">
        <v>639</v>
      </c>
      <c r="D70" s="21">
        <v>1</v>
      </c>
      <c r="E70" s="16">
        <v>0.4</v>
      </c>
      <c r="F70" s="16">
        <v>3</v>
      </c>
      <c r="G70" s="15">
        <f t="shared" si="4"/>
        <v>1.2000000000000002</v>
      </c>
      <c r="H70" t="s">
        <v>611</v>
      </c>
      <c r="I70" s="16">
        <f t="shared" si="8"/>
        <v>30.000000000000004</v>
      </c>
      <c r="J70" s="16">
        <f t="shared" si="10"/>
        <v>30.000000000000004</v>
      </c>
      <c r="K70" s="16">
        <f t="shared" si="10"/>
        <v>30.000000000000004</v>
      </c>
      <c r="L70" s="16">
        <f t="shared" si="10"/>
        <v>30.000000000000004</v>
      </c>
      <c r="M70" s="16">
        <f t="shared" si="10"/>
        <v>30.000000000000004</v>
      </c>
      <c r="N70" s="16">
        <f t="shared" si="10"/>
        <v>30.000000000000004</v>
      </c>
      <c r="O70" s="16">
        <f t="shared" si="10"/>
        <v>30.000000000000004</v>
      </c>
      <c r="P70" s="16">
        <f t="shared" si="10"/>
        <v>30.000000000000004</v>
      </c>
      <c r="Q70" s="16">
        <f t="shared" si="10"/>
        <v>30.000000000000004</v>
      </c>
      <c r="R70" s="16">
        <f t="shared" si="10"/>
        <v>30.000000000000004</v>
      </c>
      <c r="S70" s="16">
        <f t="shared" si="10"/>
        <v>30.000000000000004</v>
      </c>
      <c r="T70" s="16">
        <f t="shared" si="10"/>
        <v>30.000000000000004</v>
      </c>
    </row>
    <row r="71" spans="1:20">
      <c r="A71" t="s">
        <v>100</v>
      </c>
      <c r="B71" t="s">
        <v>640</v>
      </c>
      <c r="C71" t="s">
        <v>640</v>
      </c>
      <c r="D71" s="21">
        <v>1</v>
      </c>
      <c r="E71" s="16">
        <v>0.5</v>
      </c>
      <c r="F71" s="16">
        <v>3</v>
      </c>
      <c r="G71" s="15">
        <f t="shared" si="4"/>
        <v>1.5</v>
      </c>
      <c r="H71" t="s">
        <v>611</v>
      </c>
      <c r="I71" s="16">
        <f t="shared" si="8"/>
        <v>37.5</v>
      </c>
      <c r="J71" s="16">
        <f t="shared" si="10"/>
        <v>37.5</v>
      </c>
      <c r="K71" s="16">
        <f t="shared" si="10"/>
        <v>37.5</v>
      </c>
      <c r="L71" s="16">
        <f t="shared" si="10"/>
        <v>37.5</v>
      </c>
      <c r="M71" s="16">
        <f t="shared" si="10"/>
        <v>37.5</v>
      </c>
      <c r="N71" s="16">
        <f t="shared" si="10"/>
        <v>37.5</v>
      </c>
      <c r="O71" s="16">
        <f t="shared" si="10"/>
        <v>37.5</v>
      </c>
      <c r="P71" s="16">
        <f t="shared" si="10"/>
        <v>37.5</v>
      </c>
      <c r="Q71" s="16">
        <f t="shared" si="10"/>
        <v>37.5</v>
      </c>
      <c r="R71" s="16">
        <f t="shared" si="10"/>
        <v>37.5</v>
      </c>
      <c r="S71" s="16">
        <f t="shared" si="10"/>
        <v>37.5</v>
      </c>
      <c r="T71" s="16">
        <f t="shared" si="10"/>
        <v>37.5</v>
      </c>
    </row>
    <row r="72" spans="1:20">
      <c r="A72" t="s">
        <v>100</v>
      </c>
      <c r="B72" t="s">
        <v>641</v>
      </c>
      <c r="C72" t="s">
        <v>641</v>
      </c>
      <c r="D72" s="21">
        <v>1</v>
      </c>
      <c r="E72" s="16">
        <v>0.75</v>
      </c>
      <c r="F72" s="16">
        <v>3</v>
      </c>
      <c r="G72" s="15">
        <f t="shared" si="4"/>
        <v>2.25</v>
      </c>
      <c r="H72" t="s">
        <v>611</v>
      </c>
      <c r="I72" s="16">
        <f t="shared" si="8"/>
        <v>56.25</v>
      </c>
      <c r="J72" s="16">
        <f t="shared" si="10"/>
        <v>56.25</v>
      </c>
      <c r="K72" s="16">
        <f t="shared" si="10"/>
        <v>56.25</v>
      </c>
      <c r="L72" s="16">
        <f t="shared" si="10"/>
        <v>56.25</v>
      </c>
      <c r="M72" s="16">
        <f t="shared" si="10"/>
        <v>56.25</v>
      </c>
      <c r="N72" s="16">
        <f t="shared" si="10"/>
        <v>56.25</v>
      </c>
      <c r="O72" s="16">
        <f t="shared" si="10"/>
        <v>56.25</v>
      </c>
      <c r="P72" s="16">
        <f t="shared" si="10"/>
        <v>56.25</v>
      </c>
      <c r="Q72" s="16">
        <f t="shared" si="10"/>
        <v>56.25</v>
      </c>
      <c r="R72" s="16">
        <f t="shared" si="10"/>
        <v>56.25</v>
      </c>
      <c r="S72" s="16">
        <f t="shared" si="10"/>
        <v>56.25</v>
      </c>
      <c r="T72" s="16">
        <f t="shared" si="10"/>
        <v>56.25</v>
      </c>
    </row>
    <row r="73" spans="1:20">
      <c r="A73" t="s">
        <v>100</v>
      </c>
      <c r="B73" t="s">
        <v>642</v>
      </c>
      <c r="C73" t="s">
        <v>642</v>
      </c>
      <c r="D73" s="21">
        <v>1</v>
      </c>
      <c r="E73" s="16">
        <v>0.15</v>
      </c>
      <c r="F73" s="16">
        <v>3</v>
      </c>
      <c r="G73" s="15">
        <f t="shared" si="4"/>
        <v>0.44999999999999996</v>
      </c>
      <c r="H73" t="s">
        <v>611</v>
      </c>
      <c r="I73" s="16">
        <f t="shared" si="8"/>
        <v>11.249999999999998</v>
      </c>
      <c r="J73" s="16">
        <f t="shared" si="10"/>
        <v>11.249999999999998</v>
      </c>
      <c r="K73" s="16">
        <f t="shared" si="10"/>
        <v>11.249999999999998</v>
      </c>
      <c r="L73" s="16">
        <f t="shared" si="10"/>
        <v>11.249999999999998</v>
      </c>
      <c r="M73" s="16">
        <f t="shared" si="10"/>
        <v>11.249999999999998</v>
      </c>
      <c r="N73" s="16">
        <f t="shared" si="10"/>
        <v>11.249999999999998</v>
      </c>
      <c r="O73" s="16">
        <f t="shared" si="10"/>
        <v>11.249999999999998</v>
      </c>
      <c r="P73" s="16">
        <f t="shared" si="10"/>
        <v>11.249999999999998</v>
      </c>
      <c r="Q73" s="16">
        <f t="shared" si="10"/>
        <v>11.249999999999998</v>
      </c>
      <c r="R73" s="16">
        <f t="shared" si="10"/>
        <v>11.249999999999998</v>
      </c>
      <c r="S73" s="16">
        <f t="shared" si="10"/>
        <v>11.249999999999998</v>
      </c>
      <c r="T73" s="16">
        <f t="shared" si="10"/>
        <v>11.249999999999998</v>
      </c>
    </row>
    <row r="74" spans="1:20">
      <c r="A74" t="s">
        <v>100</v>
      </c>
      <c r="B74" t="s">
        <v>643</v>
      </c>
      <c r="C74" t="s">
        <v>643</v>
      </c>
      <c r="D74" s="21">
        <v>1</v>
      </c>
      <c r="E74" s="16">
        <v>1.5</v>
      </c>
      <c r="F74" s="16">
        <v>3</v>
      </c>
      <c r="G74" s="15">
        <f t="shared" si="4"/>
        <v>4.5</v>
      </c>
      <c r="H74" t="s">
        <v>611</v>
      </c>
      <c r="I74" s="16">
        <f t="shared" si="8"/>
        <v>112.5</v>
      </c>
      <c r="J74" s="16">
        <f t="shared" si="10"/>
        <v>112.5</v>
      </c>
      <c r="K74" s="16">
        <f t="shared" si="10"/>
        <v>112.5</v>
      </c>
      <c r="L74" s="16">
        <f t="shared" si="10"/>
        <v>112.5</v>
      </c>
      <c r="M74" s="16">
        <f t="shared" si="10"/>
        <v>112.5</v>
      </c>
      <c r="N74" s="16">
        <f t="shared" si="10"/>
        <v>112.5</v>
      </c>
      <c r="O74" s="16">
        <f t="shared" si="10"/>
        <v>112.5</v>
      </c>
      <c r="P74" s="16">
        <f t="shared" si="10"/>
        <v>112.5</v>
      </c>
      <c r="Q74" s="16">
        <f t="shared" si="10"/>
        <v>112.5</v>
      </c>
      <c r="R74" s="16">
        <f t="shared" si="10"/>
        <v>112.5</v>
      </c>
      <c r="S74" s="16">
        <f t="shared" si="10"/>
        <v>112.5</v>
      </c>
      <c r="T74" s="16">
        <f t="shared" si="10"/>
        <v>112.5</v>
      </c>
    </row>
    <row r="75" spans="1:20">
      <c r="A75" t="s">
        <v>100</v>
      </c>
      <c r="B75" t="s">
        <v>644</v>
      </c>
      <c r="C75" t="s">
        <v>644</v>
      </c>
      <c r="D75" s="21">
        <v>1</v>
      </c>
      <c r="E75" s="16">
        <v>1.5</v>
      </c>
      <c r="F75" s="16">
        <v>3</v>
      </c>
      <c r="G75" s="15">
        <f t="shared" si="4"/>
        <v>4.5</v>
      </c>
      <c r="H75" t="s">
        <v>611</v>
      </c>
      <c r="I75" s="16">
        <f t="shared" si="8"/>
        <v>112.5</v>
      </c>
      <c r="J75" s="16">
        <f t="shared" si="10"/>
        <v>112.5</v>
      </c>
      <c r="K75" s="16">
        <f t="shared" si="10"/>
        <v>112.5</v>
      </c>
      <c r="L75" s="16">
        <f t="shared" si="10"/>
        <v>112.5</v>
      </c>
      <c r="M75" s="16">
        <f t="shared" si="10"/>
        <v>112.5</v>
      </c>
      <c r="N75" s="16">
        <f t="shared" si="10"/>
        <v>112.5</v>
      </c>
      <c r="O75" s="16">
        <f t="shared" si="10"/>
        <v>112.5</v>
      </c>
      <c r="P75" s="16">
        <f t="shared" si="10"/>
        <v>112.5</v>
      </c>
      <c r="Q75" s="16">
        <f t="shared" si="10"/>
        <v>112.5</v>
      </c>
      <c r="R75" s="16">
        <f t="shared" si="10"/>
        <v>112.5</v>
      </c>
      <c r="S75" s="16">
        <f t="shared" si="10"/>
        <v>112.5</v>
      </c>
      <c r="T75" s="16">
        <f t="shared" si="10"/>
        <v>112.5</v>
      </c>
    </row>
    <row r="76" spans="1:20">
      <c r="A76" t="s">
        <v>100</v>
      </c>
      <c r="B76" t="s">
        <v>645</v>
      </c>
      <c r="C76" t="s">
        <v>645</v>
      </c>
      <c r="D76" s="21">
        <v>1</v>
      </c>
      <c r="E76" s="16">
        <v>0.2</v>
      </c>
      <c r="F76" s="16">
        <v>3</v>
      </c>
      <c r="G76" s="15">
        <f t="shared" si="4"/>
        <v>0.60000000000000009</v>
      </c>
      <c r="H76" t="s">
        <v>611</v>
      </c>
      <c r="I76" s="16">
        <f t="shared" si="8"/>
        <v>15.000000000000002</v>
      </c>
      <c r="J76" s="16">
        <f t="shared" ref="J76:T85" si="11">+$G76*J$2</f>
        <v>15.000000000000002</v>
      </c>
      <c r="K76" s="16">
        <f t="shared" si="11"/>
        <v>15.000000000000002</v>
      </c>
      <c r="L76" s="16">
        <f t="shared" si="11"/>
        <v>15.000000000000002</v>
      </c>
      <c r="M76" s="16">
        <f t="shared" si="11"/>
        <v>15.000000000000002</v>
      </c>
      <c r="N76" s="16">
        <f t="shared" si="11"/>
        <v>15.000000000000002</v>
      </c>
      <c r="O76" s="16">
        <f t="shared" si="11"/>
        <v>15.000000000000002</v>
      </c>
      <c r="P76" s="16">
        <f t="shared" si="11"/>
        <v>15.000000000000002</v>
      </c>
      <c r="Q76" s="16">
        <f t="shared" si="11"/>
        <v>15.000000000000002</v>
      </c>
      <c r="R76" s="16">
        <f t="shared" si="11"/>
        <v>15.000000000000002</v>
      </c>
      <c r="S76" s="16">
        <f t="shared" si="11"/>
        <v>15.000000000000002</v>
      </c>
      <c r="T76" s="16">
        <f t="shared" si="11"/>
        <v>15.000000000000002</v>
      </c>
    </row>
    <row r="77" spans="1:20">
      <c r="A77" t="s">
        <v>100</v>
      </c>
      <c r="B77" t="s">
        <v>646</v>
      </c>
      <c r="C77" t="s">
        <v>646</v>
      </c>
      <c r="D77" s="21">
        <v>1</v>
      </c>
      <c r="E77" s="16">
        <v>0.05</v>
      </c>
      <c r="F77" s="16">
        <v>3</v>
      </c>
      <c r="G77" s="15">
        <f t="shared" si="4"/>
        <v>0.15000000000000002</v>
      </c>
      <c r="H77" t="s">
        <v>611</v>
      </c>
      <c r="I77" s="16">
        <f t="shared" si="8"/>
        <v>3.7500000000000004</v>
      </c>
      <c r="J77" s="16">
        <f t="shared" si="11"/>
        <v>3.7500000000000004</v>
      </c>
      <c r="K77" s="16">
        <f t="shared" si="11"/>
        <v>3.7500000000000004</v>
      </c>
      <c r="L77" s="16">
        <f t="shared" si="11"/>
        <v>3.7500000000000004</v>
      </c>
      <c r="M77" s="16">
        <f t="shared" si="11"/>
        <v>3.7500000000000004</v>
      </c>
      <c r="N77" s="16">
        <f t="shared" si="11"/>
        <v>3.7500000000000004</v>
      </c>
      <c r="O77" s="16">
        <f t="shared" si="11"/>
        <v>3.7500000000000004</v>
      </c>
      <c r="P77" s="16">
        <f t="shared" si="11"/>
        <v>3.7500000000000004</v>
      </c>
      <c r="Q77" s="16">
        <f t="shared" si="11"/>
        <v>3.7500000000000004</v>
      </c>
      <c r="R77" s="16">
        <f t="shared" si="11"/>
        <v>3.7500000000000004</v>
      </c>
      <c r="S77" s="16">
        <f t="shared" si="11"/>
        <v>3.7500000000000004</v>
      </c>
      <c r="T77" s="16">
        <f t="shared" si="11"/>
        <v>3.7500000000000004</v>
      </c>
    </row>
    <row r="78" spans="1:20">
      <c r="A78" t="s">
        <v>100</v>
      </c>
      <c r="B78" t="s">
        <v>647</v>
      </c>
      <c r="C78" t="s">
        <v>647</v>
      </c>
      <c r="D78" s="21">
        <v>1</v>
      </c>
      <c r="E78" s="16">
        <v>0.15</v>
      </c>
      <c r="F78" s="16">
        <v>3</v>
      </c>
      <c r="G78" s="15">
        <f t="shared" si="4"/>
        <v>0.44999999999999996</v>
      </c>
      <c r="H78" t="s">
        <v>611</v>
      </c>
      <c r="I78" s="16">
        <f t="shared" si="8"/>
        <v>11.249999999999998</v>
      </c>
      <c r="J78" s="16">
        <f t="shared" si="11"/>
        <v>11.249999999999998</v>
      </c>
      <c r="K78" s="16">
        <f t="shared" si="11"/>
        <v>11.249999999999998</v>
      </c>
      <c r="L78" s="16">
        <f t="shared" si="11"/>
        <v>11.249999999999998</v>
      </c>
      <c r="M78" s="16">
        <f t="shared" si="11"/>
        <v>11.249999999999998</v>
      </c>
      <c r="N78" s="16">
        <f t="shared" si="11"/>
        <v>11.249999999999998</v>
      </c>
      <c r="O78" s="16">
        <f t="shared" si="11"/>
        <v>11.249999999999998</v>
      </c>
      <c r="P78" s="16">
        <f t="shared" si="11"/>
        <v>11.249999999999998</v>
      </c>
      <c r="Q78" s="16">
        <f t="shared" si="11"/>
        <v>11.249999999999998</v>
      </c>
      <c r="R78" s="16">
        <f t="shared" si="11"/>
        <v>11.249999999999998</v>
      </c>
      <c r="S78" s="16">
        <f t="shared" si="11"/>
        <v>11.249999999999998</v>
      </c>
      <c r="T78" s="16">
        <f t="shared" si="11"/>
        <v>11.249999999999998</v>
      </c>
    </row>
    <row r="79" spans="1:20">
      <c r="A79" t="s">
        <v>100</v>
      </c>
      <c r="B79" t="s">
        <v>648</v>
      </c>
      <c r="C79" t="s">
        <v>648</v>
      </c>
      <c r="D79" s="21">
        <v>1</v>
      </c>
      <c r="E79" s="16">
        <v>0.1</v>
      </c>
      <c r="F79" s="16">
        <v>3</v>
      </c>
      <c r="G79" s="15">
        <f t="shared" si="4"/>
        <v>0.30000000000000004</v>
      </c>
      <c r="H79" t="s">
        <v>611</v>
      </c>
      <c r="I79" s="16">
        <f t="shared" si="8"/>
        <v>7.5000000000000009</v>
      </c>
      <c r="J79" s="16">
        <f t="shared" si="11"/>
        <v>7.5000000000000009</v>
      </c>
      <c r="K79" s="16">
        <f t="shared" si="11"/>
        <v>7.5000000000000009</v>
      </c>
      <c r="L79" s="16">
        <f t="shared" si="11"/>
        <v>7.5000000000000009</v>
      </c>
      <c r="M79" s="16">
        <f t="shared" si="11"/>
        <v>7.5000000000000009</v>
      </c>
      <c r="N79" s="16">
        <f t="shared" si="11"/>
        <v>7.5000000000000009</v>
      </c>
      <c r="O79" s="16">
        <f t="shared" si="11"/>
        <v>7.5000000000000009</v>
      </c>
      <c r="P79" s="16">
        <f t="shared" si="11"/>
        <v>7.5000000000000009</v>
      </c>
      <c r="Q79" s="16">
        <f t="shared" si="11"/>
        <v>7.5000000000000009</v>
      </c>
      <c r="R79" s="16">
        <f t="shared" si="11"/>
        <v>7.5000000000000009</v>
      </c>
      <c r="S79" s="16">
        <f t="shared" si="11"/>
        <v>7.5000000000000009</v>
      </c>
      <c r="T79" s="16">
        <f t="shared" si="11"/>
        <v>7.5000000000000009</v>
      </c>
    </row>
    <row r="80" spans="1:20">
      <c r="A80" t="s">
        <v>100</v>
      </c>
      <c r="B80" t="s">
        <v>649</v>
      </c>
      <c r="C80" t="s">
        <v>649</v>
      </c>
      <c r="D80" s="21">
        <v>1</v>
      </c>
      <c r="E80" s="16">
        <v>0.1</v>
      </c>
      <c r="F80" s="16">
        <v>3</v>
      </c>
      <c r="G80" s="15">
        <f t="shared" si="4"/>
        <v>0.30000000000000004</v>
      </c>
      <c r="H80" t="s">
        <v>611</v>
      </c>
      <c r="I80" s="16">
        <f t="shared" si="8"/>
        <v>7.5000000000000009</v>
      </c>
      <c r="J80" s="16">
        <f t="shared" si="11"/>
        <v>7.5000000000000009</v>
      </c>
      <c r="K80" s="16">
        <f t="shared" si="11"/>
        <v>7.5000000000000009</v>
      </c>
      <c r="L80" s="16">
        <f t="shared" si="11"/>
        <v>7.5000000000000009</v>
      </c>
      <c r="M80" s="16">
        <f t="shared" si="11"/>
        <v>7.5000000000000009</v>
      </c>
      <c r="N80" s="16">
        <f t="shared" si="11"/>
        <v>7.5000000000000009</v>
      </c>
      <c r="O80" s="16">
        <f t="shared" si="11"/>
        <v>7.5000000000000009</v>
      </c>
      <c r="P80" s="16">
        <f t="shared" si="11"/>
        <v>7.5000000000000009</v>
      </c>
      <c r="Q80" s="16">
        <f t="shared" si="11"/>
        <v>7.5000000000000009</v>
      </c>
      <c r="R80" s="16">
        <f t="shared" si="11"/>
        <v>7.5000000000000009</v>
      </c>
      <c r="S80" s="16">
        <f t="shared" si="11"/>
        <v>7.5000000000000009</v>
      </c>
      <c r="T80" s="16">
        <f t="shared" si="11"/>
        <v>7.5000000000000009</v>
      </c>
    </row>
    <row r="81" spans="1:20">
      <c r="A81" t="s">
        <v>100</v>
      </c>
      <c r="B81" t="s">
        <v>650</v>
      </c>
      <c r="C81" t="s">
        <v>650</v>
      </c>
      <c r="D81" s="21">
        <v>1</v>
      </c>
      <c r="E81" s="16">
        <v>1.5</v>
      </c>
      <c r="F81" s="16">
        <v>3</v>
      </c>
      <c r="G81" s="15">
        <f t="shared" si="4"/>
        <v>4.5</v>
      </c>
      <c r="H81" t="s">
        <v>611</v>
      </c>
      <c r="I81" s="16">
        <f t="shared" si="8"/>
        <v>112.5</v>
      </c>
      <c r="J81" s="16">
        <f t="shared" si="11"/>
        <v>112.5</v>
      </c>
      <c r="K81" s="16">
        <f t="shared" si="11"/>
        <v>112.5</v>
      </c>
      <c r="L81" s="16">
        <f t="shared" si="11"/>
        <v>112.5</v>
      </c>
      <c r="M81" s="16">
        <f t="shared" si="11"/>
        <v>112.5</v>
      </c>
      <c r="N81" s="16">
        <f t="shared" si="11"/>
        <v>112.5</v>
      </c>
      <c r="O81" s="16">
        <f t="shared" si="11"/>
        <v>112.5</v>
      </c>
      <c r="P81" s="16">
        <f t="shared" si="11"/>
        <v>112.5</v>
      </c>
      <c r="Q81" s="16">
        <f t="shared" si="11"/>
        <v>112.5</v>
      </c>
      <c r="R81" s="16">
        <f t="shared" si="11"/>
        <v>112.5</v>
      </c>
      <c r="S81" s="16">
        <f t="shared" si="11"/>
        <v>112.5</v>
      </c>
      <c r="T81" s="16">
        <f t="shared" si="11"/>
        <v>112.5</v>
      </c>
    </row>
    <row r="82" spans="1:20">
      <c r="A82" t="s">
        <v>100</v>
      </c>
      <c r="B82" t="s">
        <v>651</v>
      </c>
      <c r="C82" t="s">
        <v>651</v>
      </c>
      <c r="D82" s="21">
        <v>1</v>
      </c>
      <c r="E82" s="16">
        <v>0.2</v>
      </c>
      <c r="F82" s="16">
        <v>3</v>
      </c>
      <c r="G82" s="15">
        <f t="shared" si="4"/>
        <v>0.60000000000000009</v>
      </c>
      <c r="H82" t="s">
        <v>611</v>
      </c>
      <c r="I82" s="16">
        <f t="shared" si="8"/>
        <v>15.000000000000002</v>
      </c>
      <c r="J82" s="16">
        <f t="shared" si="11"/>
        <v>15.000000000000002</v>
      </c>
      <c r="K82" s="16">
        <f t="shared" si="11"/>
        <v>15.000000000000002</v>
      </c>
      <c r="L82" s="16">
        <f t="shared" si="11"/>
        <v>15.000000000000002</v>
      </c>
      <c r="M82" s="16">
        <f t="shared" si="11"/>
        <v>15.000000000000002</v>
      </c>
      <c r="N82" s="16">
        <f t="shared" si="11"/>
        <v>15.000000000000002</v>
      </c>
      <c r="O82" s="16">
        <f t="shared" si="11"/>
        <v>15.000000000000002</v>
      </c>
      <c r="P82" s="16">
        <f t="shared" si="11"/>
        <v>15.000000000000002</v>
      </c>
      <c r="Q82" s="16">
        <f t="shared" si="11"/>
        <v>15.000000000000002</v>
      </c>
      <c r="R82" s="16">
        <f t="shared" si="11"/>
        <v>15.000000000000002</v>
      </c>
      <c r="S82" s="16">
        <f t="shared" si="11"/>
        <v>15.000000000000002</v>
      </c>
      <c r="T82" s="16">
        <f t="shared" si="11"/>
        <v>15.000000000000002</v>
      </c>
    </row>
    <row r="83" spans="1:20">
      <c r="A83" t="s">
        <v>100</v>
      </c>
      <c r="B83" t="s">
        <v>652</v>
      </c>
      <c r="C83" t="s">
        <v>652</v>
      </c>
      <c r="D83" s="21">
        <v>1</v>
      </c>
      <c r="E83" s="16">
        <v>0.05</v>
      </c>
      <c r="F83" s="16">
        <v>3</v>
      </c>
      <c r="G83" s="15">
        <f t="shared" si="4"/>
        <v>0.15000000000000002</v>
      </c>
      <c r="H83" t="s">
        <v>611</v>
      </c>
      <c r="I83" s="16">
        <f t="shared" si="8"/>
        <v>3.7500000000000004</v>
      </c>
      <c r="J83" s="16">
        <f t="shared" si="11"/>
        <v>3.7500000000000004</v>
      </c>
      <c r="K83" s="16">
        <f t="shared" si="11"/>
        <v>3.7500000000000004</v>
      </c>
      <c r="L83" s="16">
        <f t="shared" si="11"/>
        <v>3.7500000000000004</v>
      </c>
      <c r="M83" s="16">
        <f t="shared" si="11"/>
        <v>3.7500000000000004</v>
      </c>
      <c r="N83" s="16">
        <f t="shared" si="11"/>
        <v>3.7500000000000004</v>
      </c>
      <c r="O83" s="16">
        <f t="shared" si="11"/>
        <v>3.7500000000000004</v>
      </c>
      <c r="P83" s="16">
        <f t="shared" si="11"/>
        <v>3.7500000000000004</v>
      </c>
      <c r="Q83" s="16">
        <f t="shared" si="11"/>
        <v>3.7500000000000004</v>
      </c>
      <c r="R83" s="16">
        <f t="shared" si="11"/>
        <v>3.7500000000000004</v>
      </c>
      <c r="S83" s="16">
        <f t="shared" si="11"/>
        <v>3.7500000000000004</v>
      </c>
      <c r="T83" s="16">
        <f t="shared" si="11"/>
        <v>3.7500000000000004</v>
      </c>
    </row>
    <row r="84" spans="1:20">
      <c r="A84" t="s">
        <v>100</v>
      </c>
      <c r="B84" t="s">
        <v>653</v>
      </c>
      <c r="C84" t="s">
        <v>653</v>
      </c>
      <c r="D84" s="21">
        <v>1</v>
      </c>
      <c r="E84" s="16">
        <v>0.3</v>
      </c>
      <c r="F84" s="16">
        <v>3</v>
      </c>
      <c r="G84" s="15">
        <f t="shared" si="4"/>
        <v>0.89999999999999991</v>
      </c>
      <c r="H84" t="s">
        <v>611</v>
      </c>
      <c r="I84" s="16">
        <f t="shared" si="8"/>
        <v>22.499999999999996</v>
      </c>
      <c r="J84" s="16">
        <f t="shared" si="11"/>
        <v>22.499999999999996</v>
      </c>
      <c r="K84" s="16">
        <f t="shared" si="11"/>
        <v>22.499999999999996</v>
      </c>
      <c r="L84" s="16">
        <f t="shared" si="11"/>
        <v>22.499999999999996</v>
      </c>
      <c r="M84" s="16">
        <f t="shared" si="11"/>
        <v>22.499999999999996</v>
      </c>
      <c r="N84" s="16">
        <f t="shared" si="11"/>
        <v>22.499999999999996</v>
      </c>
      <c r="O84" s="16">
        <f t="shared" si="11"/>
        <v>22.499999999999996</v>
      </c>
      <c r="P84" s="16">
        <f t="shared" si="11"/>
        <v>22.499999999999996</v>
      </c>
      <c r="Q84" s="16">
        <f t="shared" si="11"/>
        <v>22.499999999999996</v>
      </c>
      <c r="R84" s="16">
        <f t="shared" si="11"/>
        <v>22.499999999999996</v>
      </c>
      <c r="S84" s="16">
        <f t="shared" si="11"/>
        <v>22.499999999999996</v>
      </c>
      <c r="T84" s="16">
        <f t="shared" si="11"/>
        <v>22.499999999999996</v>
      </c>
    </row>
    <row r="85" spans="1:20">
      <c r="A85" t="s">
        <v>100</v>
      </c>
      <c r="B85" t="s">
        <v>654</v>
      </c>
      <c r="C85" t="s">
        <v>654</v>
      </c>
      <c r="D85" s="21">
        <v>1</v>
      </c>
      <c r="E85" s="16">
        <v>0.05</v>
      </c>
      <c r="F85" s="16">
        <v>3</v>
      </c>
      <c r="G85" s="15">
        <f t="shared" si="4"/>
        <v>0.15000000000000002</v>
      </c>
      <c r="H85" t="s">
        <v>611</v>
      </c>
      <c r="I85" s="16">
        <f t="shared" si="8"/>
        <v>3.7500000000000004</v>
      </c>
      <c r="J85" s="16">
        <f t="shared" si="11"/>
        <v>3.7500000000000004</v>
      </c>
      <c r="K85" s="16">
        <f t="shared" si="11"/>
        <v>3.7500000000000004</v>
      </c>
      <c r="L85" s="16">
        <f t="shared" si="11"/>
        <v>3.7500000000000004</v>
      </c>
      <c r="M85" s="16">
        <f t="shared" si="11"/>
        <v>3.7500000000000004</v>
      </c>
      <c r="N85" s="16">
        <f t="shared" si="11"/>
        <v>3.7500000000000004</v>
      </c>
      <c r="O85" s="16">
        <f t="shared" si="11"/>
        <v>3.7500000000000004</v>
      </c>
      <c r="P85" s="16">
        <f t="shared" si="11"/>
        <v>3.7500000000000004</v>
      </c>
      <c r="Q85" s="16">
        <f t="shared" si="11"/>
        <v>3.7500000000000004</v>
      </c>
      <c r="R85" s="16">
        <f t="shared" si="11"/>
        <v>3.7500000000000004</v>
      </c>
      <c r="S85" s="16">
        <f t="shared" si="11"/>
        <v>3.7500000000000004</v>
      </c>
      <c r="T85" s="16">
        <f t="shared" si="11"/>
        <v>3.7500000000000004</v>
      </c>
    </row>
    <row r="86" spans="1:20">
      <c r="A86" t="s">
        <v>100</v>
      </c>
      <c r="B86" t="s">
        <v>655</v>
      </c>
      <c r="C86" t="s">
        <v>656</v>
      </c>
      <c r="D86" s="21"/>
      <c r="E86" s="16">
        <v>750</v>
      </c>
      <c r="F86" s="16">
        <v>1</v>
      </c>
      <c r="G86" s="15"/>
      <c r="H86" t="s">
        <v>657</v>
      </c>
      <c r="I86" s="16"/>
      <c r="J86" s="16"/>
      <c r="K86" s="16"/>
      <c r="L86" s="16"/>
      <c r="M86" s="16"/>
      <c r="N86" s="16"/>
      <c r="O86" s="16"/>
      <c r="P86" s="16"/>
      <c r="Q86" s="16"/>
      <c r="R86" s="16"/>
      <c r="S86" s="16"/>
      <c r="T86" s="16"/>
    </row>
    <row r="87" spans="1:20">
      <c r="A87" t="s">
        <v>137</v>
      </c>
      <c r="B87" t="s">
        <v>311</v>
      </c>
      <c r="C87" t="s">
        <v>658</v>
      </c>
      <c r="D87" s="21">
        <v>1</v>
      </c>
      <c r="E87" s="16">
        <v>3.2</v>
      </c>
      <c r="F87" s="16">
        <v>3</v>
      </c>
      <c r="G87" s="15">
        <f t="shared" si="4"/>
        <v>9.6000000000000014</v>
      </c>
      <c r="I87" s="16"/>
      <c r="J87" s="16"/>
      <c r="K87" s="16"/>
      <c r="L87" s="16"/>
      <c r="M87" s="16"/>
      <c r="N87" s="16"/>
      <c r="O87" s="16"/>
      <c r="P87" s="16"/>
      <c r="Q87" s="16"/>
      <c r="R87" s="16"/>
      <c r="S87" s="16"/>
      <c r="T87" s="16"/>
    </row>
    <row r="88" spans="1:20">
      <c r="A88" t="s">
        <v>137</v>
      </c>
      <c r="B88" t="s">
        <v>659</v>
      </c>
      <c r="C88" t="s">
        <v>660</v>
      </c>
      <c r="D88" s="21">
        <v>1</v>
      </c>
      <c r="E88" s="16">
        <v>0.2</v>
      </c>
      <c r="F88" s="16">
        <v>3</v>
      </c>
      <c r="G88" s="15">
        <f t="shared" si="4"/>
        <v>0.60000000000000009</v>
      </c>
      <c r="I88" s="16"/>
      <c r="J88" s="16"/>
      <c r="K88" s="16"/>
      <c r="L88" s="16"/>
      <c r="M88" s="16"/>
      <c r="N88" s="16"/>
      <c r="O88" s="16"/>
      <c r="P88" s="16"/>
      <c r="Q88" s="16"/>
      <c r="R88" s="16"/>
      <c r="S88" s="16"/>
      <c r="T88" s="16"/>
    </row>
    <row r="89" spans="1:20">
      <c r="A89" t="s">
        <v>137</v>
      </c>
      <c r="B89" t="s">
        <v>661</v>
      </c>
      <c r="C89" t="s">
        <v>661</v>
      </c>
      <c r="D89" s="21"/>
      <c r="E89" s="16">
        <v>23000</v>
      </c>
      <c r="F89" s="16"/>
      <c r="G89" s="15"/>
      <c r="H89" t="s">
        <v>657</v>
      </c>
      <c r="I89" s="16"/>
      <c r="J89" s="16"/>
      <c r="K89" s="16"/>
      <c r="L89" s="16"/>
      <c r="M89" s="16"/>
      <c r="N89" s="16"/>
      <c r="O89" s="16"/>
      <c r="P89" s="16"/>
      <c r="Q89" s="16"/>
      <c r="R89" s="16"/>
      <c r="S89" s="16"/>
      <c r="T89" s="16"/>
    </row>
    <row r="90" spans="1:20">
      <c r="A90" t="s">
        <v>137</v>
      </c>
      <c r="B90" t="s">
        <v>662</v>
      </c>
      <c r="C90" t="s">
        <v>662</v>
      </c>
      <c r="D90" s="21"/>
      <c r="E90" s="16">
        <v>500</v>
      </c>
      <c r="F90" s="16"/>
      <c r="G90" s="15"/>
      <c r="I90" s="16"/>
      <c r="J90" s="16"/>
      <c r="K90" s="16"/>
      <c r="L90" s="16"/>
      <c r="M90" s="16"/>
      <c r="N90" s="16"/>
      <c r="O90" s="16"/>
      <c r="P90" s="16"/>
      <c r="Q90" s="16"/>
      <c r="R90" s="16"/>
      <c r="S90" s="16"/>
      <c r="T90" s="16"/>
    </row>
    <row r="91" spans="1:20">
      <c r="A91" t="s">
        <v>137</v>
      </c>
      <c r="B91" t="s">
        <v>663</v>
      </c>
      <c r="C91" t="s">
        <v>663</v>
      </c>
      <c r="D91" s="21"/>
      <c r="E91" s="16">
        <v>10000</v>
      </c>
      <c r="F91" s="16"/>
      <c r="G91" s="15"/>
      <c r="I91" s="16"/>
      <c r="J91" s="16"/>
      <c r="K91" s="16"/>
      <c r="L91" s="16"/>
      <c r="M91" s="16"/>
      <c r="N91" s="16"/>
      <c r="O91" s="16"/>
      <c r="P91" s="16"/>
      <c r="Q91" s="16"/>
      <c r="R91" s="16"/>
      <c r="S91" s="16"/>
      <c r="T91" s="16"/>
    </row>
    <row r="92" spans="1:20">
      <c r="A92" t="s">
        <v>137</v>
      </c>
      <c r="B92" t="s">
        <v>664</v>
      </c>
      <c r="C92" t="s">
        <v>664</v>
      </c>
      <c r="D92" s="21"/>
      <c r="E92" s="16">
        <v>500</v>
      </c>
      <c r="F92" s="16"/>
      <c r="G92" s="15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16"/>
      <c r="T92" s="16"/>
    </row>
    <row r="93" spans="1:20">
      <c r="A93" t="s">
        <v>137</v>
      </c>
      <c r="B93" t="s">
        <v>665</v>
      </c>
      <c r="C93" t="s">
        <v>666</v>
      </c>
      <c r="D93" s="21"/>
      <c r="E93" s="16">
        <v>1500</v>
      </c>
      <c r="F93" s="16"/>
      <c r="G93" s="15"/>
      <c r="H93" t="s">
        <v>667</v>
      </c>
      <c r="I93" s="16"/>
      <c r="J93" s="16"/>
      <c r="K93" s="16"/>
      <c r="L93" s="16"/>
      <c r="M93" s="16"/>
      <c r="N93" s="16"/>
      <c r="O93" s="16"/>
      <c r="P93" s="16"/>
      <c r="Q93" s="16"/>
      <c r="R93" s="16"/>
      <c r="S93" s="16"/>
      <c r="T93" s="16"/>
    </row>
    <row r="94" spans="1:20">
      <c r="A94" t="s">
        <v>137</v>
      </c>
      <c r="B94" t="s">
        <v>668</v>
      </c>
      <c r="C94" t="s">
        <v>669</v>
      </c>
      <c r="D94" s="21"/>
      <c r="E94" s="16"/>
      <c r="F94" s="16"/>
      <c r="G94" s="15"/>
      <c r="I94" s="16"/>
      <c r="J94" s="16"/>
      <c r="K94" s="16"/>
      <c r="L94" s="16"/>
      <c r="M94" s="16"/>
      <c r="N94" s="16"/>
      <c r="O94" s="16"/>
      <c r="P94" s="16"/>
      <c r="Q94" s="16"/>
      <c r="R94" s="16"/>
      <c r="S94" s="16"/>
      <c r="T94" s="16"/>
    </row>
    <row r="95" spans="1:20">
      <c r="A95" t="s">
        <v>137</v>
      </c>
      <c r="B95" t="s">
        <v>47</v>
      </c>
      <c r="C95" t="s">
        <v>109</v>
      </c>
      <c r="D95" s="21"/>
      <c r="E95" s="16">
        <v>3000</v>
      </c>
      <c r="F95" s="16"/>
      <c r="G95" s="15">
        <f>+D95*E95*F95</f>
        <v>0</v>
      </c>
      <c r="H95" t="s">
        <v>611</v>
      </c>
      <c r="I95" s="16"/>
      <c r="J95" s="16"/>
      <c r="K95" s="16"/>
      <c r="L95" s="16"/>
      <c r="M95" s="16"/>
      <c r="N95" s="16"/>
      <c r="O95" s="16"/>
      <c r="P95" s="16"/>
      <c r="Q95" s="16"/>
      <c r="R95" s="16"/>
      <c r="S95" s="16"/>
      <c r="T95" s="16"/>
    </row>
    <row r="96" spans="1:20">
      <c r="A96" t="s">
        <v>10</v>
      </c>
      <c r="B96" t="s">
        <v>24</v>
      </c>
      <c r="C96" t="s">
        <v>107</v>
      </c>
      <c r="D96" s="21"/>
      <c r="E96" s="16"/>
      <c r="F96" s="16"/>
      <c r="G96" s="15">
        <f t="shared" si="4"/>
        <v>0</v>
      </c>
      <c r="I96" s="16"/>
      <c r="J96" s="16"/>
      <c r="K96" s="16"/>
      <c r="L96" s="16"/>
      <c r="M96" s="16"/>
      <c r="N96" s="16"/>
      <c r="O96" s="16"/>
      <c r="P96" s="16"/>
      <c r="Q96" s="16"/>
      <c r="R96" s="16"/>
      <c r="S96" s="16"/>
      <c r="T96" s="16"/>
    </row>
    <row r="97" spans="1:20">
      <c r="A97" t="s">
        <v>10</v>
      </c>
      <c r="B97" t="s">
        <v>35</v>
      </c>
      <c r="C97" t="s">
        <v>108</v>
      </c>
      <c r="D97" s="21"/>
      <c r="E97" s="16"/>
      <c r="F97" s="16"/>
      <c r="G97" s="15">
        <f t="shared" si="4"/>
        <v>0</v>
      </c>
      <c r="I97" s="16"/>
      <c r="J97" s="16"/>
      <c r="K97" s="16"/>
      <c r="L97" s="16"/>
      <c r="M97" s="16"/>
      <c r="N97" s="16"/>
      <c r="O97" s="16"/>
      <c r="P97" s="16"/>
      <c r="Q97" s="16"/>
      <c r="R97" s="16"/>
      <c r="S97" s="16"/>
      <c r="T97" s="16"/>
    </row>
    <row r="98" spans="1:20">
      <c r="A98" t="s">
        <v>10</v>
      </c>
      <c r="B98" t="s">
        <v>59</v>
      </c>
      <c r="C98" t="s">
        <v>110</v>
      </c>
      <c r="D98" s="21"/>
      <c r="E98" s="16"/>
      <c r="F98" s="16"/>
      <c r="G98" s="15">
        <f t="shared" si="4"/>
        <v>0</v>
      </c>
      <c r="I98" s="16"/>
      <c r="J98" s="16"/>
      <c r="K98" s="16"/>
      <c r="L98" s="16"/>
      <c r="M98" s="16"/>
      <c r="N98" s="16"/>
      <c r="O98" s="16"/>
      <c r="P98" s="16"/>
      <c r="Q98" s="16"/>
      <c r="R98" s="16"/>
      <c r="S98" s="16"/>
      <c r="T98" s="16"/>
    </row>
    <row r="99" spans="1:20">
      <c r="A99" t="s">
        <v>10</v>
      </c>
      <c r="B99" t="s">
        <v>670</v>
      </c>
      <c r="C99" t="s">
        <v>671</v>
      </c>
      <c r="D99" s="21"/>
      <c r="E99" s="16"/>
      <c r="F99" s="16"/>
      <c r="G99" s="15"/>
      <c r="I99" s="16"/>
      <c r="J99" s="16"/>
      <c r="K99" s="16"/>
      <c r="L99" s="16"/>
      <c r="M99" s="16"/>
      <c r="N99" s="16"/>
      <c r="O99" s="16"/>
      <c r="P99" s="16"/>
      <c r="Q99" s="16"/>
      <c r="R99" s="16"/>
      <c r="S99" s="16"/>
      <c r="T99" s="16"/>
    </row>
    <row r="100" spans="1:20">
      <c r="A100" t="s">
        <v>132</v>
      </c>
      <c r="B100" t="s">
        <v>67</v>
      </c>
      <c r="C100" t="s">
        <v>111</v>
      </c>
      <c r="D100" s="21"/>
      <c r="E100" s="16"/>
      <c r="F100" s="16"/>
      <c r="G100" s="15">
        <f t="shared" si="4"/>
        <v>0</v>
      </c>
      <c r="I100" s="16"/>
      <c r="J100" s="16"/>
      <c r="K100" s="16"/>
      <c r="L100" s="16"/>
      <c r="M100" s="16"/>
      <c r="N100" s="16"/>
      <c r="O100" s="16"/>
      <c r="P100" s="16"/>
      <c r="Q100" s="16"/>
      <c r="R100" s="16"/>
      <c r="S100" s="16"/>
      <c r="T100" s="16"/>
    </row>
    <row r="101" spans="1:20">
      <c r="A101" t="s">
        <v>132</v>
      </c>
      <c r="B101" t="s">
        <v>672</v>
      </c>
      <c r="D101" s="21"/>
      <c r="E101" s="16"/>
      <c r="F101" s="16"/>
      <c r="G101" s="15"/>
      <c r="I101" s="16"/>
      <c r="J101" s="16"/>
      <c r="K101" s="16"/>
      <c r="L101" s="16"/>
      <c r="M101" s="16"/>
      <c r="N101" s="16"/>
      <c r="O101" s="16"/>
      <c r="P101" s="16"/>
      <c r="Q101" s="16"/>
      <c r="R101" s="16"/>
      <c r="S101" s="16"/>
      <c r="T101" s="16"/>
    </row>
    <row r="102" spans="1:20">
      <c r="A102" t="s">
        <v>132</v>
      </c>
      <c r="B102" t="s">
        <v>673</v>
      </c>
      <c r="D102" s="21"/>
      <c r="E102" s="16"/>
      <c r="F102" s="16"/>
      <c r="G102" s="15"/>
      <c r="I102" s="16"/>
      <c r="J102" s="16"/>
      <c r="K102" s="16"/>
      <c r="L102" s="16"/>
      <c r="M102" s="16"/>
      <c r="N102" s="16"/>
      <c r="O102" s="16"/>
      <c r="P102" s="16"/>
      <c r="Q102" s="16"/>
      <c r="R102" s="16"/>
      <c r="S102" s="16"/>
      <c r="T102" s="16"/>
    </row>
    <row r="103" spans="1:20">
      <c r="A103" t="s">
        <v>112</v>
      </c>
      <c r="B103" t="s">
        <v>674</v>
      </c>
      <c r="C103" t="s">
        <v>675</v>
      </c>
      <c r="D103" s="21">
        <v>1</v>
      </c>
      <c r="E103" s="16">
        <v>2</v>
      </c>
      <c r="F103" s="16">
        <v>3</v>
      </c>
      <c r="G103" s="15">
        <f t="shared" si="4"/>
        <v>6</v>
      </c>
      <c r="H103" t="s">
        <v>676</v>
      </c>
      <c r="I103" s="16">
        <f t="shared" ref="I103:T103" si="12">+$G103*I$2</f>
        <v>150</v>
      </c>
      <c r="J103" s="16">
        <f t="shared" si="12"/>
        <v>150</v>
      </c>
      <c r="K103" s="16">
        <f t="shared" si="12"/>
        <v>150</v>
      </c>
      <c r="L103" s="16">
        <f t="shared" si="12"/>
        <v>150</v>
      </c>
      <c r="M103" s="16">
        <f t="shared" si="12"/>
        <v>150</v>
      </c>
      <c r="N103" s="16">
        <f t="shared" si="12"/>
        <v>150</v>
      </c>
      <c r="O103" s="16">
        <f t="shared" si="12"/>
        <v>150</v>
      </c>
      <c r="P103" s="16">
        <f t="shared" si="12"/>
        <v>150</v>
      </c>
      <c r="Q103" s="16">
        <f t="shared" si="12"/>
        <v>150</v>
      </c>
      <c r="R103" s="16">
        <f t="shared" si="12"/>
        <v>150</v>
      </c>
      <c r="S103" s="16">
        <f t="shared" si="12"/>
        <v>150</v>
      </c>
      <c r="T103" s="16">
        <f t="shared" si="12"/>
        <v>150</v>
      </c>
    </row>
    <row r="104" spans="1:20">
      <c r="A104" s="10" t="s">
        <v>112</v>
      </c>
      <c r="B104" s="10" t="s">
        <v>48</v>
      </c>
      <c r="C104" s="10" t="s">
        <v>115</v>
      </c>
      <c r="D104" s="21"/>
      <c r="E104" s="16"/>
      <c r="F104" s="16"/>
      <c r="G104" s="15">
        <f t="shared" si="4"/>
        <v>0</v>
      </c>
      <c r="I104" s="16"/>
      <c r="J104" s="16"/>
      <c r="K104" s="16"/>
      <c r="L104" s="16"/>
      <c r="M104" s="16"/>
      <c r="N104" s="16"/>
      <c r="O104" s="16"/>
      <c r="P104" s="16"/>
      <c r="Q104" s="16"/>
      <c r="R104" s="16"/>
      <c r="S104" s="16"/>
      <c r="T104" s="16"/>
    </row>
    <row r="105" spans="1:20">
      <c r="A105" s="10" t="s">
        <v>112</v>
      </c>
      <c r="B105" s="10" t="s">
        <v>60</v>
      </c>
      <c r="C105" s="10" t="s">
        <v>116</v>
      </c>
      <c r="D105" s="21"/>
      <c r="E105" s="16"/>
      <c r="F105" s="16"/>
      <c r="G105" s="15">
        <f t="shared" si="4"/>
        <v>0</v>
      </c>
      <c r="I105" s="16"/>
      <c r="J105" s="16"/>
      <c r="K105" s="16"/>
      <c r="L105" s="16"/>
      <c r="M105" s="16"/>
      <c r="N105" s="16"/>
      <c r="O105" s="16"/>
      <c r="P105" s="16"/>
      <c r="Q105" s="16"/>
      <c r="R105" s="16"/>
      <c r="S105" s="16"/>
      <c r="T105" s="16"/>
    </row>
    <row r="106" spans="1:20">
      <c r="A106" t="s">
        <v>112</v>
      </c>
      <c r="B106" t="s">
        <v>677</v>
      </c>
      <c r="C106" t="s">
        <v>87</v>
      </c>
      <c r="D106" s="21"/>
      <c r="E106" s="16"/>
      <c r="F106" s="16"/>
      <c r="G106" s="15">
        <f t="shared" si="4"/>
        <v>0</v>
      </c>
      <c r="I106" s="16"/>
      <c r="J106" s="16"/>
      <c r="K106" s="16"/>
      <c r="L106" s="16"/>
      <c r="M106" s="16"/>
      <c r="N106" s="16"/>
      <c r="O106" s="16"/>
      <c r="P106" s="16"/>
      <c r="Q106" s="16"/>
      <c r="R106" s="16"/>
      <c r="S106" s="16"/>
      <c r="T106" s="16"/>
    </row>
    <row r="107" spans="1:20">
      <c r="A107" t="s">
        <v>112</v>
      </c>
      <c r="B107" t="s">
        <v>678</v>
      </c>
      <c r="C107" t="s">
        <v>679</v>
      </c>
      <c r="D107" s="21"/>
      <c r="E107" s="16"/>
      <c r="F107" s="16"/>
      <c r="G107" s="15"/>
      <c r="I107" s="16"/>
      <c r="J107" s="16"/>
      <c r="K107" s="16"/>
      <c r="L107" s="16"/>
      <c r="M107" s="16"/>
      <c r="N107" s="16"/>
      <c r="O107" s="16"/>
      <c r="P107" s="16"/>
      <c r="Q107" s="16"/>
      <c r="R107" s="16"/>
      <c r="S107" s="16"/>
      <c r="T107" s="16"/>
    </row>
    <row r="108" spans="1:20">
      <c r="A108" t="s">
        <v>12</v>
      </c>
      <c r="B108" t="s">
        <v>26</v>
      </c>
      <c r="C108" t="s">
        <v>117</v>
      </c>
      <c r="D108" s="21"/>
      <c r="E108" s="16"/>
      <c r="F108" s="16"/>
      <c r="G108" s="15">
        <f t="shared" si="4"/>
        <v>0</v>
      </c>
      <c r="I108" s="16"/>
      <c r="J108" s="16"/>
      <c r="K108" s="16"/>
      <c r="L108" s="16"/>
      <c r="M108" s="16"/>
      <c r="N108" s="16"/>
      <c r="O108" s="16"/>
      <c r="P108" s="16"/>
      <c r="Q108" s="16"/>
      <c r="R108" s="16"/>
      <c r="S108" s="16"/>
      <c r="T108" s="16"/>
    </row>
    <row r="109" spans="1:20">
      <c r="A109" t="s">
        <v>12</v>
      </c>
      <c r="B109" t="s">
        <v>37</v>
      </c>
      <c r="C109" t="s">
        <v>118</v>
      </c>
      <c r="D109" s="21"/>
      <c r="E109" s="16"/>
      <c r="F109" s="16"/>
      <c r="G109" s="15">
        <f t="shared" si="4"/>
        <v>0</v>
      </c>
      <c r="I109" s="16"/>
      <c r="J109" s="16"/>
      <c r="K109" s="16"/>
      <c r="L109" s="16"/>
      <c r="M109" s="16"/>
      <c r="N109" s="16"/>
      <c r="O109" s="16"/>
      <c r="P109" s="16"/>
      <c r="Q109" s="16"/>
      <c r="R109" s="16"/>
      <c r="S109" s="16"/>
      <c r="T109" s="16"/>
    </row>
    <row r="110" spans="1:20">
      <c r="A110" t="s">
        <v>12</v>
      </c>
      <c r="B110" t="s">
        <v>49</v>
      </c>
      <c r="C110" t="s">
        <v>119</v>
      </c>
      <c r="D110" s="21"/>
      <c r="E110" s="16"/>
      <c r="F110" s="16"/>
      <c r="G110" s="15">
        <f t="shared" si="4"/>
        <v>0</v>
      </c>
      <c r="I110" s="16"/>
      <c r="J110" s="16"/>
      <c r="K110" s="16"/>
      <c r="L110" s="16"/>
      <c r="M110" s="16"/>
      <c r="N110" s="16"/>
      <c r="O110" s="16"/>
      <c r="P110" s="16"/>
      <c r="Q110" s="16"/>
      <c r="R110" s="16"/>
      <c r="S110" s="16"/>
      <c r="T110" s="16"/>
    </row>
    <row r="111" spans="1:20">
      <c r="A111" t="s">
        <v>120</v>
      </c>
      <c r="B111" t="s">
        <v>27</v>
      </c>
      <c r="C111" t="s">
        <v>121</v>
      </c>
      <c r="D111" s="21"/>
      <c r="E111" s="16"/>
      <c r="F111" s="16"/>
      <c r="G111" s="15">
        <f t="shared" si="4"/>
        <v>0</v>
      </c>
      <c r="I111" s="16"/>
      <c r="J111" s="16"/>
      <c r="K111" s="16"/>
      <c r="L111" s="16"/>
      <c r="M111" s="16"/>
      <c r="N111" s="16"/>
      <c r="O111" s="16"/>
      <c r="P111" s="16"/>
      <c r="Q111" s="16"/>
      <c r="R111" s="16"/>
      <c r="S111" s="16"/>
      <c r="T111" s="16"/>
    </row>
    <row r="112" spans="1:20">
      <c r="A112" t="s">
        <v>120</v>
      </c>
      <c r="B112" t="s">
        <v>38</v>
      </c>
      <c r="C112" t="s">
        <v>122</v>
      </c>
      <c r="D112" s="21"/>
      <c r="E112" s="16"/>
      <c r="F112" s="16"/>
      <c r="G112" s="15">
        <f t="shared" si="4"/>
        <v>0</v>
      </c>
      <c r="I112" s="16"/>
      <c r="J112" s="16"/>
      <c r="K112" s="16"/>
      <c r="L112" s="16"/>
      <c r="M112" s="16"/>
      <c r="N112" s="16"/>
      <c r="O112" s="16"/>
      <c r="P112" s="16"/>
      <c r="Q112" s="16"/>
      <c r="R112" s="16"/>
      <c r="S112" s="16"/>
      <c r="T112" s="16"/>
    </row>
    <row r="113" spans="1:20">
      <c r="A113" t="s">
        <v>120</v>
      </c>
      <c r="B113" t="s">
        <v>50</v>
      </c>
      <c r="C113" t="s">
        <v>123</v>
      </c>
      <c r="D113" s="21"/>
      <c r="E113" s="16"/>
      <c r="F113" s="16"/>
      <c r="G113" s="15">
        <f t="shared" si="4"/>
        <v>0</v>
      </c>
      <c r="I113" s="16"/>
      <c r="J113" s="16"/>
      <c r="K113" s="16"/>
      <c r="L113" s="16"/>
      <c r="M113" s="16"/>
      <c r="N113" s="16"/>
      <c r="O113" s="16"/>
      <c r="P113" s="16"/>
      <c r="Q113" s="16"/>
      <c r="R113" s="16"/>
      <c r="S113" s="16"/>
      <c r="T113" s="16"/>
    </row>
    <row r="114" spans="1:20">
      <c r="A114" t="s">
        <v>124</v>
      </c>
      <c r="B114" t="s">
        <v>28</v>
      </c>
      <c r="C114" t="s">
        <v>125</v>
      </c>
      <c r="D114" s="21"/>
      <c r="E114" s="16"/>
      <c r="F114" s="16"/>
      <c r="G114" s="15">
        <f t="shared" si="4"/>
        <v>0</v>
      </c>
      <c r="I114" s="16"/>
      <c r="J114" s="16"/>
      <c r="K114" s="16"/>
      <c r="L114" s="16"/>
      <c r="M114" s="16"/>
      <c r="N114" s="16"/>
      <c r="O114" s="16"/>
      <c r="P114" s="16"/>
      <c r="Q114" s="16"/>
      <c r="R114" s="16"/>
      <c r="S114" s="16"/>
      <c r="T114" s="16"/>
    </row>
    <row r="115" spans="1:20">
      <c r="A115" t="s">
        <v>124</v>
      </c>
      <c r="B115" t="s">
        <v>39</v>
      </c>
      <c r="C115" t="s">
        <v>126</v>
      </c>
      <c r="D115" s="21"/>
      <c r="E115" s="16"/>
      <c r="F115" s="16"/>
      <c r="G115" s="15">
        <f t="shared" si="4"/>
        <v>0</v>
      </c>
      <c r="I115" s="16"/>
      <c r="J115" s="16"/>
      <c r="K115" s="16"/>
      <c r="L115" s="16"/>
      <c r="M115" s="16"/>
      <c r="N115" s="16"/>
      <c r="O115" s="16"/>
      <c r="P115" s="16"/>
      <c r="Q115" s="16"/>
      <c r="R115" s="16"/>
      <c r="S115" s="16"/>
      <c r="T115" s="16"/>
    </row>
    <row r="116" spans="1:20">
      <c r="A116" t="s">
        <v>124</v>
      </c>
      <c r="B116" t="s">
        <v>51</v>
      </c>
      <c r="C116" t="s">
        <v>127</v>
      </c>
      <c r="D116" s="21"/>
      <c r="E116" s="16"/>
      <c r="F116" s="16"/>
      <c r="G116" s="15">
        <f t="shared" si="4"/>
        <v>0</v>
      </c>
      <c r="I116" s="16"/>
      <c r="J116" s="16"/>
      <c r="K116" s="16"/>
      <c r="L116" s="16"/>
      <c r="M116" s="16"/>
      <c r="N116" s="16"/>
      <c r="O116" s="16"/>
      <c r="P116" s="16"/>
      <c r="Q116" s="16"/>
      <c r="R116" s="16"/>
      <c r="S116" s="16"/>
      <c r="T116" s="16"/>
    </row>
    <row r="117" spans="1:20">
      <c r="A117" t="s">
        <v>100</v>
      </c>
      <c r="B117" t="s">
        <v>23</v>
      </c>
      <c r="C117" t="s">
        <v>680</v>
      </c>
      <c r="D117" s="21"/>
      <c r="E117" s="16">
        <v>8000</v>
      </c>
      <c r="F117" s="16">
        <v>1</v>
      </c>
      <c r="G117" s="15">
        <f t="shared" ref="G117:G122" si="13">+D117*E117*F117</f>
        <v>0</v>
      </c>
      <c r="H117" t="s">
        <v>681</v>
      </c>
      <c r="I117" s="16">
        <f>+$E117</f>
        <v>8000</v>
      </c>
      <c r="J117" s="16">
        <f t="shared" ref="J117:T117" si="14">+$E117</f>
        <v>8000</v>
      </c>
      <c r="K117" s="16">
        <f t="shared" si="14"/>
        <v>8000</v>
      </c>
      <c r="L117" s="16">
        <f t="shared" si="14"/>
        <v>8000</v>
      </c>
      <c r="M117" s="16">
        <f t="shared" si="14"/>
        <v>8000</v>
      </c>
      <c r="N117" s="16">
        <f t="shared" si="14"/>
        <v>8000</v>
      </c>
      <c r="O117" s="16">
        <f t="shared" si="14"/>
        <v>8000</v>
      </c>
      <c r="P117" s="16">
        <f t="shared" si="14"/>
        <v>8000</v>
      </c>
      <c r="Q117" s="16">
        <f t="shared" si="14"/>
        <v>8000</v>
      </c>
      <c r="R117" s="16">
        <f t="shared" si="14"/>
        <v>8000</v>
      </c>
      <c r="S117" s="16">
        <f t="shared" si="14"/>
        <v>8000</v>
      </c>
      <c r="T117" s="16">
        <f t="shared" si="14"/>
        <v>8000</v>
      </c>
    </row>
    <row r="118" spans="1:20">
      <c r="A118" t="s">
        <v>100</v>
      </c>
      <c r="B118" t="s">
        <v>23</v>
      </c>
      <c r="C118" t="s">
        <v>682</v>
      </c>
      <c r="D118" s="21"/>
      <c r="E118" s="16">
        <v>4000</v>
      </c>
      <c r="F118" s="16">
        <v>1</v>
      </c>
      <c r="G118" s="15">
        <f t="shared" si="13"/>
        <v>0</v>
      </c>
      <c r="H118" t="s">
        <v>681</v>
      </c>
      <c r="I118" s="16">
        <f t="shared" ref="I118:T120" si="15">+$E118</f>
        <v>4000</v>
      </c>
      <c r="J118" s="16">
        <f t="shared" si="15"/>
        <v>4000</v>
      </c>
      <c r="K118" s="16">
        <f t="shared" si="15"/>
        <v>4000</v>
      </c>
      <c r="L118" s="16">
        <f t="shared" si="15"/>
        <v>4000</v>
      </c>
      <c r="M118" s="16">
        <f t="shared" si="15"/>
        <v>4000</v>
      </c>
      <c r="N118" s="16">
        <f t="shared" si="15"/>
        <v>4000</v>
      </c>
      <c r="O118" s="16">
        <f t="shared" si="15"/>
        <v>4000</v>
      </c>
      <c r="P118" s="16">
        <f t="shared" si="15"/>
        <v>4000</v>
      </c>
      <c r="Q118" s="16">
        <f t="shared" si="15"/>
        <v>4000</v>
      </c>
      <c r="R118" s="16">
        <f t="shared" si="15"/>
        <v>4000</v>
      </c>
      <c r="S118" s="16">
        <f t="shared" si="15"/>
        <v>4000</v>
      </c>
      <c r="T118" s="16">
        <f t="shared" si="15"/>
        <v>4000</v>
      </c>
    </row>
    <row r="119" spans="1:20">
      <c r="A119" t="s">
        <v>100</v>
      </c>
      <c r="B119" t="s">
        <v>23</v>
      </c>
      <c r="C119" t="s">
        <v>683</v>
      </c>
      <c r="D119" s="21"/>
      <c r="E119" s="16">
        <v>4500</v>
      </c>
      <c r="F119" s="16">
        <v>1</v>
      </c>
      <c r="G119" s="15">
        <f t="shared" si="13"/>
        <v>0</v>
      </c>
      <c r="H119" t="s">
        <v>681</v>
      </c>
      <c r="I119" s="16">
        <f t="shared" si="15"/>
        <v>4500</v>
      </c>
      <c r="J119" s="16">
        <f t="shared" si="15"/>
        <v>4500</v>
      </c>
      <c r="K119" s="16">
        <f t="shared" si="15"/>
        <v>4500</v>
      </c>
      <c r="L119" s="16">
        <f t="shared" si="15"/>
        <v>4500</v>
      </c>
      <c r="M119" s="16">
        <f t="shared" si="15"/>
        <v>4500</v>
      </c>
      <c r="N119" s="16">
        <f t="shared" si="15"/>
        <v>4500</v>
      </c>
      <c r="O119" s="16">
        <f t="shared" si="15"/>
        <v>4500</v>
      </c>
      <c r="P119" s="16">
        <f t="shared" si="15"/>
        <v>4500</v>
      </c>
      <c r="Q119" s="16">
        <f t="shared" si="15"/>
        <v>4500</v>
      </c>
      <c r="R119" s="16">
        <f t="shared" si="15"/>
        <v>4500</v>
      </c>
      <c r="S119" s="16">
        <f t="shared" si="15"/>
        <v>4500</v>
      </c>
      <c r="T119" s="16">
        <f t="shared" si="15"/>
        <v>4500</v>
      </c>
    </row>
    <row r="120" spans="1:20">
      <c r="A120" t="s">
        <v>100</v>
      </c>
      <c r="B120" t="s">
        <v>23</v>
      </c>
      <c r="C120" t="s">
        <v>684</v>
      </c>
      <c r="D120" s="21"/>
      <c r="E120" s="16">
        <v>2500</v>
      </c>
      <c r="F120" s="16">
        <v>1</v>
      </c>
      <c r="G120" s="15">
        <f t="shared" si="13"/>
        <v>0</v>
      </c>
      <c r="H120" t="s">
        <v>681</v>
      </c>
      <c r="I120" s="16">
        <f t="shared" si="15"/>
        <v>2500</v>
      </c>
      <c r="J120" s="16">
        <f t="shared" si="15"/>
        <v>2500</v>
      </c>
      <c r="K120" s="16">
        <f t="shared" si="15"/>
        <v>2500</v>
      </c>
      <c r="L120" s="16">
        <f t="shared" si="15"/>
        <v>2500</v>
      </c>
      <c r="M120" s="16">
        <f t="shared" si="15"/>
        <v>2500</v>
      </c>
      <c r="N120" s="16">
        <f t="shared" si="15"/>
        <v>2500</v>
      </c>
      <c r="O120" s="16">
        <f t="shared" si="15"/>
        <v>2500</v>
      </c>
      <c r="P120" s="16">
        <f t="shared" si="15"/>
        <v>2500</v>
      </c>
      <c r="Q120" s="16">
        <f t="shared" si="15"/>
        <v>2500</v>
      </c>
      <c r="R120" s="16">
        <f t="shared" si="15"/>
        <v>2500</v>
      </c>
      <c r="S120" s="16">
        <f t="shared" si="15"/>
        <v>2500</v>
      </c>
      <c r="T120" s="16">
        <f t="shared" si="15"/>
        <v>2500</v>
      </c>
    </row>
    <row r="121" spans="1:20">
      <c r="A121" t="s">
        <v>112</v>
      </c>
      <c r="B121" t="s">
        <v>25</v>
      </c>
      <c r="C121" t="s">
        <v>113</v>
      </c>
      <c r="D121" s="21">
        <v>0.25</v>
      </c>
      <c r="E121" s="16">
        <v>30</v>
      </c>
      <c r="F121" s="16">
        <v>1</v>
      </c>
      <c r="G121" s="15">
        <f t="shared" si="13"/>
        <v>7.5</v>
      </c>
      <c r="H121" t="s">
        <v>685</v>
      </c>
      <c r="I121" s="16">
        <f>+$G121*I$4</f>
        <v>37.5</v>
      </c>
      <c r="J121" s="16">
        <f t="shared" ref="J121:T122" si="16">+$G121*J$4</f>
        <v>37.5</v>
      </c>
      <c r="K121" s="16">
        <f t="shared" si="16"/>
        <v>37.5</v>
      </c>
      <c r="L121" s="16">
        <f t="shared" si="16"/>
        <v>37.5</v>
      </c>
      <c r="M121" s="16">
        <f t="shared" si="16"/>
        <v>37.5</v>
      </c>
      <c r="N121" s="16">
        <f t="shared" si="16"/>
        <v>37.5</v>
      </c>
      <c r="O121" s="16">
        <f t="shared" si="16"/>
        <v>37.5</v>
      </c>
      <c r="P121" s="16">
        <f t="shared" si="16"/>
        <v>37.5</v>
      </c>
      <c r="Q121" s="16">
        <f t="shared" si="16"/>
        <v>37.5</v>
      </c>
      <c r="R121" s="16">
        <f t="shared" si="16"/>
        <v>37.5</v>
      </c>
      <c r="S121" s="16">
        <f t="shared" si="16"/>
        <v>37.5</v>
      </c>
      <c r="T121" s="16">
        <f t="shared" si="16"/>
        <v>37.5</v>
      </c>
    </row>
    <row r="122" spans="1:20">
      <c r="A122" t="s">
        <v>112</v>
      </c>
      <c r="B122" t="s">
        <v>36</v>
      </c>
      <c r="C122" t="s">
        <v>114</v>
      </c>
      <c r="D122" s="21">
        <v>0.5</v>
      </c>
      <c r="E122" s="16">
        <v>40</v>
      </c>
      <c r="F122" s="16">
        <v>1</v>
      </c>
      <c r="G122" s="15">
        <f t="shared" si="13"/>
        <v>20</v>
      </c>
      <c r="H122" t="s">
        <v>685</v>
      </c>
      <c r="I122" s="16">
        <f>+$G122*I$4</f>
        <v>100</v>
      </c>
      <c r="J122" s="16">
        <f t="shared" si="16"/>
        <v>100</v>
      </c>
      <c r="K122" s="16">
        <f t="shared" si="16"/>
        <v>100</v>
      </c>
      <c r="L122" s="16">
        <f t="shared" si="16"/>
        <v>100</v>
      </c>
      <c r="M122" s="16">
        <f t="shared" si="16"/>
        <v>100</v>
      </c>
      <c r="N122" s="16">
        <f t="shared" si="16"/>
        <v>100</v>
      </c>
      <c r="O122" s="16">
        <f t="shared" si="16"/>
        <v>100</v>
      </c>
      <c r="P122" s="16">
        <f t="shared" si="16"/>
        <v>100</v>
      </c>
      <c r="Q122" s="16">
        <f t="shared" si="16"/>
        <v>100</v>
      </c>
      <c r="R122" s="16">
        <f t="shared" si="16"/>
        <v>100</v>
      </c>
      <c r="S122" s="16">
        <f t="shared" si="16"/>
        <v>100</v>
      </c>
      <c r="T122" s="16">
        <f t="shared" si="16"/>
        <v>100</v>
      </c>
    </row>
  </sheetData>
  <autoFilter ref="A10:C116" xr:uid="{360479B6-4B8B-4F19-B90F-A10F79AB3FF3}"/>
  <phoneticPr fontId="7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819E93-45F9-45F9-A37C-F22A91A85817}">
  <dimension ref="A1:O80"/>
  <sheetViews>
    <sheetView topLeftCell="A30" zoomScale="70" zoomScaleNormal="70" workbookViewId="0">
      <selection activeCell="E77" sqref="E77"/>
    </sheetView>
  </sheetViews>
  <sheetFormatPr defaultColWidth="11.42578125" defaultRowHeight="14.45"/>
  <cols>
    <col min="1" max="1" width="36.5703125" bestFit="1" customWidth="1"/>
    <col min="2" max="2" width="29" bestFit="1" customWidth="1"/>
    <col min="3" max="14" width="18.42578125" bestFit="1" customWidth="1"/>
    <col min="15" max="15" width="12.5703125" bestFit="1" customWidth="1"/>
  </cols>
  <sheetData>
    <row r="1" spans="1:15">
      <c r="A1" s="44" t="s">
        <v>209</v>
      </c>
      <c r="B1" t="s">
        <v>686</v>
      </c>
    </row>
    <row r="3" spans="1:15">
      <c r="A3" s="44" t="s">
        <v>523</v>
      </c>
      <c r="C3" s="44" t="s">
        <v>687</v>
      </c>
    </row>
    <row r="4" spans="1:15">
      <c r="A4" s="44" t="s">
        <v>153</v>
      </c>
      <c r="B4" s="44" t="s">
        <v>211</v>
      </c>
      <c r="C4" t="s">
        <v>558</v>
      </c>
      <c r="D4" t="s">
        <v>559</v>
      </c>
      <c r="E4" t="s">
        <v>560</v>
      </c>
      <c r="F4" t="s">
        <v>561</v>
      </c>
      <c r="G4" t="s">
        <v>562</v>
      </c>
      <c r="H4" t="s">
        <v>563</v>
      </c>
      <c r="I4" t="s">
        <v>564</v>
      </c>
      <c r="J4" t="s">
        <v>565</v>
      </c>
      <c r="K4" t="s">
        <v>566</v>
      </c>
      <c r="L4" t="s">
        <v>567</v>
      </c>
      <c r="M4" t="s">
        <v>568</v>
      </c>
      <c r="N4" t="s">
        <v>569</v>
      </c>
      <c r="O4" t="s">
        <v>520</v>
      </c>
    </row>
    <row r="5" spans="1:15">
      <c r="A5" t="s">
        <v>133</v>
      </c>
      <c r="B5" t="s">
        <v>365</v>
      </c>
      <c r="C5" s="16">
        <v>9331</v>
      </c>
      <c r="D5" s="16">
        <v>9331</v>
      </c>
      <c r="E5" s="16">
        <v>9331</v>
      </c>
      <c r="F5" s="16">
        <v>9331</v>
      </c>
      <c r="G5" s="16">
        <v>9331</v>
      </c>
      <c r="H5" s="16">
        <v>9331</v>
      </c>
      <c r="I5" s="16">
        <v>9331</v>
      </c>
      <c r="J5" s="16">
        <v>9331</v>
      </c>
      <c r="K5" s="16">
        <v>9331</v>
      </c>
      <c r="L5" s="16">
        <v>9331</v>
      </c>
      <c r="M5" s="16">
        <v>9331</v>
      </c>
      <c r="N5" s="16">
        <v>9331</v>
      </c>
      <c r="O5" s="16">
        <v>111972</v>
      </c>
    </row>
    <row r="6" spans="1:15">
      <c r="A6" t="s">
        <v>133</v>
      </c>
      <c r="B6" t="s">
        <v>431</v>
      </c>
      <c r="C6" s="16">
        <v>1487</v>
      </c>
      <c r="D6" s="16">
        <v>0</v>
      </c>
      <c r="E6" s="16">
        <v>0</v>
      </c>
      <c r="F6" s="16">
        <v>0</v>
      </c>
      <c r="G6" s="16">
        <v>0</v>
      </c>
      <c r="H6" s="16">
        <v>0</v>
      </c>
      <c r="I6" s="16">
        <v>0</v>
      </c>
      <c r="J6" s="16">
        <v>0</v>
      </c>
      <c r="K6" s="16">
        <v>0</v>
      </c>
      <c r="L6" s="16">
        <v>0</v>
      </c>
      <c r="M6" s="16">
        <v>0</v>
      </c>
      <c r="N6" s="16">
        <v>0</v>
      </c>
      <c r="O6" s="16">
        <v>1487</v>
      </c>
    </row>
    <row r="7" spans="1:15">
      <c r="A7" t="s">
        <v>133</v>
      </c>
      <c r="B7" t="s">
        <v>414</v>
      </c>
      <c r="C7" s="16">
        <v>2174</v>
      </c>
      <c r="D7" s="16">
        <v>2174</v>
      </c>
      <c r="E7" s="16">
        <v>0</v>
      </c>
      <c r="F7" s="16">
        <v>0</v>
      </c>
      <c r="G7" s="16">
        <v>0</v>
      </c>
      <c r="H7" s="16">
        <v>0</v>
      </c>
      <c r="I7" s="16">
        <v>0</v>
      </c>
      <c r="J7" s="16">
        <v>0</v>
      </c>
      <c r="K7" s="16">
        <v>0</v>
      </c>
      <c r="L7" s="16">
        <v>0</v>
      </c>
      <c r="M7" s="16">
        <v>0</v>
      </c>
      <c r="N7" s="16">
        <v>0</v>
      </c>
      <c r="O7" s="16">
        <v>4348</v>
      </c>
    </row>
    <row r="8" spans="1:15">
      <c r="A8" t="s">
        <v>133</v>
      </c>
      <c r="B8" t="s">
        <v>387</v>
      </c>
      <c r="C8" s="16">
        <v>1690</v>
      </c>
      <c r="D8" s="16">
        <v>1690</v>
      </c>
      <c r="E8" s="16">
        <v>0</v>
      </c>
      <c r="F8" s="16">
        <v>0</v>
      </c>
      <c r="G8" s="16">
        <v>0</v>
      </c>
      <c r="H8" s="16">
        <v>0</v>
      </c>
      <c r="I8" s="16">
        <v>0</v>
      </c>
      <c r="J8" s="16">
        <v>0</v>
      </c>
      <c r="K8" s="16">
        <v>0</v>
      </c>
      <c r="L8" s="16">
        <v>0</v>
      </c>
      <c r="M8" s="16">
        <v>0</v>
      </c>
      <c r="N8" s="16">
        <v>0</v>
      </c>
      <c r="O8" s="16">
        <v>3380</v>
      </c>
    </row>
    <row r="9" spans="1:15">
      <c r="A9" t="s">
        <v>133</v>
      </c>
      <c r="B9" t="s">
        <v>421</v>
      </c>
      <c r="C9" s="16">
        <v>2021</v>
      </c>
      <c r="D9" s="16">
        <v>2021</v>
      </c>
      <c r="E9" s="16">
        <v>0</v>
      </c>
      <c r="F9" s="16">
        <v>0</v>
      </c>
      <c r="G9" s="16">
        <v>0</v>
      </c>
      <c r="H9" s="16">
        <v>0</v>
      </c>
      <c r="I9" s="16">
        <v>0</v>
      </c>
      <c r="J9" s="16">
        <v>0</v>
      </c>
      <c r="K9" s="16">
        <v>0</v>
      </c>
      <c r="L9" s="16">
        <v>0</v>
      </c>
      <c r="M9" s="16">
        <v>0</v>
      </c>
      <c r="N9" s="16">
        <v>0</v>
      </c>
      <c r="O9" s="16">
        <v>4042</v>
      </c>
    </row>
    <row r="10" spans="1:15">
      <c r="A10" t="s">
        <v>133</v>
      </c>
      <c r="B10" s="76" t="s">
        <v>403</v>
      </c>
      <c r="C10" s="16">
        <v>1544</v>
      </c>
      <c r="D10" s="16">
        <v>0</v>
      </c>
      <c r="E10" s="16">
        <v>0</v>
      </c>
      <c r="F10" s="16">
        <v>0</v>
      </c>
      <c r="G10" s="16">
        <v>0</v>
      </c>
      <c r="H10" s="16">
        <v>0</v>
      </c>
      <c r="I10" s="16">
        <v>0</v>
      </c>
      <c r="J10" s="16">
        <v>0</v>
      </c>
      <c r="K10" s="16">
        <v>0</v>
      </c>
      <c r="L10" s="16">
        <v>0</v>
      </c>
      <c r="M10" s="16">
        <v>0</v>
      </c>
      <c r="N10" s="16">
        <v>0</v>
      </c>
      <c r="O10" s="16">
        <v>1544</v>
      </c>
    </row>
    <row r="11" spans="1:15">
      <c r="A11" t="s">
        <v>133</v>
      </c>
      <c r="B11" t="s">
        <v>364</v>
      </c>
      <c r="C11" s="16">
        <v>9542</v>
      </c>
      <c r="D11" s="16">
        <v>9542</v>
      </c>
      <c r="E11" s="16">
        <v>0</v>
      </c>
      <c r="F11" s="16">
        <v>0</v>
      </c>
      <c r="G11" s="16">
        <v>0</v>
      </c>
      <c r="H11" s="16">
        <v>0</v>
      </c>
      <c r="I11" s="16">
        <v>0</v>
      </c>
      <c r="J11" s="16">
        <v>0</v>
      </c>
      <c r="K11" s="16">
        <v>0</v>
      </c>
      <c r="L11" s="16">
        <v>0</v>
      </c>
      <c r="M11" s="16">
        <v>0</v>
      </c>
      <c r="N11" s="16">
        <v>0</v>
      </c>
      <c r="O11" s="16">
        <v>19084</v>
      </c>
    </row>
    <row r="12" spans="1:15">
      <c r="A12" t="s">
        <v>133</v>
      </c>
      <c r="B12" t="s">
        <v>394</v>
      </c>
      <c r="C12" s="16">
        <v>3359</v>
      </c>
      <c r="D12" s="16">
        <v>3359</v>
      </c>
      <c r="E12" s="16">
        <v>0</v>
      </c>
      <c r="F12" s="16">
        <v>0</v>
      </c>
      <c r="G12" s="16">
        <v>0</v>
      </c>
      <c r="H12" s="16">
        <v>0</v>
      </c>
      <c r="I12" s="16">
        <v>0</v>
      </c>
      <c r="J12" s="16">
        <v>0</v>
      </c>
      <c r="K12" s="16">
        <v>0</v>
      </c>
      <c r="L12" s="16">
        <v>0</v>
      </c>
      <c r="M12" s="16">
        <v>0</v>
      </c>
      <c r="N12" s="16">
        <v>0</v>
      </c>
      <c r="O12" s="16">
        <v>6718</v>
      </c>
    </row>
    <row r="13" spans="1:15">
      <c r="A13" t="s">
        <v>133</v>
      </c>
      <c r="B13" t="s">
        <v>409</v>
      </c>
      <c r="C13" s="16">
        <v>2457</v>
      </c>
      <c r="D13" s="16">
        <v>2457</v>
      </c>
      <c r="E13" s="16">
        <v>0</v>
      </c>
      <c r="F13" s="16">
        <v>0</v>
      </c>
      <c r="G13" s="16">
        <v>0</v>
      </c>
      <c r="H13" s="16">
        <v>0</v>
      </c>
      <c r="I13" s="16">
        <v>0</v>
      </c>
      <c r="J13" s="16">
        <v>0</v>
      </c>
      <c r="K13" s="16">
        <v>0</v>
      </c>
      <c r="L13" s="16">
        <v>0</v>
      </c>
      <c r="M13" s="16">
        <v>0</v>
      </c>
      <c r="N13" s="16">
        <v>0</v>
      </c>
      <c r="O13" s="16">
        <v>4914</v>
      </c>
    </row>
    <row r="14" spans="1:15">
      <c r="A14" t="s">
        <v>133</v>
      </c>
      <c r="B14" t="s">
        <v>429</v>
      </c>
      <c r="C14" s="16">
        <v>1590</v>
      </c>
      <c r="D14" s="16">
        <v>1590</v>
      </c>
      <c r="E14" s="16">
        <v>1590</v>
      </c>
      <c r="F14" s="16">
        <v>1590</v>
      </c>
      <c r="G14" s="16">
        <v>1590</v>
      </c>
      <c r="H14" s="16">
        <v>1590</v>
      </c>
      <c r="I14" s="16">
        <v>1590</v>
      </c>
      <c r="J14" s="16">
        <v>1590</v>
      </c>
      <c r="K14" s="16">
        <v>1590</v>
      </c>
      <c r="L14" s="16">
        <v>1590</v>
      </c>
      <c r="M14" s="16">
        <v>1590</v>
      </c>
      <c r="N14" s="16">
        <v>1590</v>
      </c>
      <c r="O14" s="16">
        <v>19080</v>
      </c>
    </row>
    <row r="15" spans="1:15">
      <c r="A15" t="s">
        <v>133</v>
      </c>
      <c r="B15" t="s">
        <v>384</v>
      </c>
      <c r="C15" s="16">
        <v>3690</v>
      </c>
      <c r="D15" s="16">
        <v>3690</v>
      </c>
      <c r="E15" s="16">
        <v>3690</v>
      </c>
      <c r="F15" s="16">
        <v>3690</v>
      </c>
      <c r="G15" s="16">
        <v>3690</v>
      </c>
      <c r="H15" s="16">
        <v>3690</v>
      </c>
      <c r="I15" s="16">
        <v>3690</v>
      </c>
      <c r="J15" s="16">
        <v>3690</v>
      </c>
      <c r="K15" s="16">
        <v>3690</v>
      </c>
      <c r="L15" s="16">
        <v>3690</v>
      </c>
      <c r="M15" s="16">
        <v>3690</v>
      </c>
      <c r="N15" s="16">
        <v>3690</v>
      </c>
      <c r="O15" s="16">
        <v>44280</v>
      </c>
    </row>
    <row r="16" spans="1:15">
      <c r="A16" t="s">
        <v>133</v>
      </c>
      <c r="B16" t="s">
        <v>383</v>
      </c>
      <c r="C16" s="16">
        <v>3908</v>
      </c>
      <c r="D16" s="16">
        <v>3908</v>
      </c>
      <c r="E16" s="16">
        <v>3908</v>
      </c>
      <c r="F16" s="16">
        <v>3908</v>
      </c>
      <c r="G16" s="16">
        <v>3908</v>
      </c>
      <c r="H16" s="16">
        <v>3908</v>
      </c>
      <c r="I16" s="16">
        <v>3908</v>
      </c>
      <c r="J16" s="16">
        <v>3908</v>
      </c>
      <c r="K16" s="16">
        <v>3908</v>
      </c>
      <c r="L16" s="16">
        <v>3908</v>
      </c>
      <c r="M16" s="16">
        <v>3908</v>
      </c>
      <c r="N16" s="16">
        <v>3908</v>
      </c>
      <c r="O16" s="16">
        <v>46896</v>
      </c>
    </row>
    <row r="17" spans="1:15">
      <c r="A17" t="s">
        <v>133</v>
      </c>
      <c r="B17" t="s">
        <v>392</v>
      </c>
      <c r="C17" s="16">
        <v>0</v>
      </c>
      <c r="D17" s="16">
        <v>8500</v>
      </c>
      <c r="E17" s="16">
        <v>8500</v>
      </c>
      <c r="F17" s="16">
        <v>8500</v>
      </c>
      <c r="G17" s="16">
        <v>8500</v>
      </c>
      <c r="H17" s="16">
        <v>8500</v>
      </c>
      <c r="I17" s="16">
        <v>8500</v>
      </c>
      <c r="J17" s="16">
        <v>8500</v>
      </c>
      <c r="K17" s="16">
        <v>8500</v>
      </c>
      <c r="L17" s="16">
        <v>8500</v>
      </c>
      <c r="M17" s="16">
        <v>8500</v>
      </c>
      <c r="N17" s="16">
        <v>8500</v>
      </c>
      <c r="O17" s="16">
        <v>93500</v>
      </c>
    </row>
    <row r="18" spans="1:15">
      <c r="A18" t="s">
        <v>133</v>
      </c>
      <c r="B18" t="s">
        <v>404</v>
      </c>
      <c r="C18" s="16">
        <v>3024</v>
      </c>
      <c r="D18" s="16">
        <v>3024</v>
      </c>
      <c r="E18" s="16">
        <v>3024</v>
      </c>
      <c r="F18" s="16">
        <v>3024</v>
      </c>
      <c r="G18" s="16">
        <v>3024</v>
      </c>
      <c r="H18" s="16">
        <v>3024</v>
      </c>
      <c r="I18" s="16">
        <v>3024</v>
      </c>
      <c r="J18" s="16">
        <v>3024</v>
      </c>
      <c r="K18" s="16">
        <v>3024</v>
      </c>
      <c r="L18" s="16">
        <v>3024</v>
      </c>
      <c r="M18" s="16">
        <v>3024</v>
      </c>
      <c r="N18" s="16">
        <v>3024</v>
      </c>
      <c r="O18" s="16">
        <v>36288</v>
      </c>
    </row>
    <row r="19" spans="1:15">
      <c r="A19" t="s">
        <v>133</v>
      </c>
      <c r="B19" t="s">
        <v>366</v>
      </c>
      <c r="C19" s="16">
        <v>8677</v>
      </c>
      <c r="D19" s="16">
        <v>8677</v>
      </c>
      <c r="E19" s="16">
        <v>8677</v>
      </c>
      <c r="F19" s="16">
        <v>0</v>
      </c>
      <c r="G19" s="16">
        <v>0</v>
      </c>
      <c r="H19" s="16">
        <v>0</v>
      </c>
      <c r="I19" s="16">
        <v>0</v>
      </c>
      <c r="J19" s="16">
        <v>0</v>
      </c>
      <c r="K19" s="16">
        <v>0</v>
      </c>
      <c r="L19" s="16">
        <v>0</v>
      </c>
      <c r="M19" s="16">
        <v>0</v>
      </c>
      <c r="N19" s="16">
        <v>0</v>
      </c>
      <c r="O19" s="16">
        <v>26031</v>
      </c>
    </row>
    <row r="20" spans="1:15">
      <c r="A20" t="s">
        <v>133</v>
      </c>
      <c r="B20" t="s">
        <v>367</v>
      </c>
      <c r="C20" s="16">
        <v>8579</v>
      </c>
      <c r="D20" s="16">
        <v>8579</v>
      </c>
      <c r="E20" s="16">
        <v>8579</v>
      </c>
      <c r="F20" s="16">
        <v>8579</v>
      </c>
      <c r="G20" s="16">
        <v>8579</v>
      </c>
      <c r="H20" s="16">
        <v>8579</v>
      </c>
      <c r="I20" s="16">
        <v>8579</v>
      </c>
      <c r="J20" s="16">
        <v>8579</v>
      </c>
      <c r="K20" s="16">
        <v>8579</v>
      </c>
      <c r="L20" s="16">
        <v>8579</v>
      </c>
      <c r="M20" s="16">
        <v>8579</v>
      </c>
      <c r="N20" s="16">
        <v>8579</v>
      </c>
      <c r="O20" s="16">
        <v>102948</v>
      </c>
    </row>
    <row r="21" spans="1:15">
      <c r="A21" t="s">
        <v>133</v>
      </c>
      <c r="B21" t="s">
        <v>396</v>
      </c>
      <c r="C21" s="16">
        <v>3283</v>
      </c>
      <c r="D21" s="16">
        <v>3283</v>
      </c>
      <c r="E21" s="16">
        <v>3283</v>
      </c>
      <c r="F21" s="16">
        <v>3283</v>
      </c>
      <c r="G21" s="16">
        <v>3283</v>
      </c>
      <c r="H21" s="16">
        <v>3283</v>
      </c>
      <c r="I21" s="16">
        <v>3283</v>
      </c>
      <c r="J21" s="16">
        <v>3283</v>
      </c>
      <c r="K21" s="16">
        <v>3283</v>
      </c>
      <c r="L21" s="16">
        <v>3283</v>
      </c>
      <c r="M21" s="16">
        <v>3283</v>
      </c>
      <c r="N21" s="16">
        <v>3283</v>
      </c>
      <c r="O21" s="16">
        <v>39396</v>
      </c>
    </row>
    <row r="22" spans="1:15">
      <c r="A22" t="s">
        <v>133</v>
      </c>
      <c r="B22" t="s">
        <v>382</v>
      </c>
      <c r="C22" s="16">
        <v>3918</v>
      </c>
      <c r="D22" s="16">
        <v>3918</v>
      </c>
      <c r="E22" s="16">
        <v>3918</v>
      </c>
      <c r="F22" s="16">
        <v>3918</v>
      </c>
      <c r="G22" s="16">
        <v>3918</v>
      </c>
      <c r="H22" s="16">
        <v>3918</v>
      </c>
      <c r="I22" s="16">
        <v>3918</v>
      </c>
      <c r="J22" s="16">
        <v>3918</v>
      </c>
      <c r="K22" s="16">
        <v>3918</v>
      </c>
      <c r="L22" s="16">
        <v>3918</v>
      </c>
      <c r="M22" s="16">
        <v>3918</v>
      </c>
      <c r="N22" s="16">
        <v>3918</v>
      </c>
      <c r="O22" s="16">
        <v>47016</v>
      </c>
    </row>
    <row r="23" spans="1:15">
      <c r="A23" t="s">
        <v>133</v>
      </c>
      <c r="B23" t="s">
        <v>362</v>
      </c>
      <c r="C23" s="16">
        <v>10125</v>
      </c>
      <c r="D23" s="16">
        <v>10125</v>
      </c>
      <c r="E23" s="16">
        <v>10125</v>
      </c>
      <c r="F23" s="16">
        <v>10125</v>
      </c>
      <c r="G23" s="16">
        <v>10125</v>
      </c>
      <c r="H23" s="16">
        <v>10125</v>
      </c>
      <c r="I23" s="16">
        <v>10125</v>
      </c>
      <c r="J23" s="16">
        <v>10125</v>
      </c>
      <c r="K23" s="16">
        <v>10125</v>
      </c>
      <c r="L23" s="16">
        <v>10125</v>
      </c>
      <c r="M23" s="16">
        <v>10125</v>
      </c>
      <c r="N23" s="16">
        <v>10125</v>
      </c>
      <c r="O23" s="16">
        <v>121500</v>
      </c>
    </row>
    <row r="24" spans="1:15">
      <c r="A24" t="s">
        <v>133</v>
      </c>
      <c r="B24" t="s">
        <v>388</v>
      </c>
      <c r="C24" s="16">
        <v>3607</v>
      </c>
      <c r="D24" s="16">
        <v>3607</v>
      </c>
      <c r="E24" s="16">
        <v>0</v>
      </c>
      <c r="F24" s="16">
        <v>0</v>
      </c>
      <c r="G24" s="16">
        <v>0</v>
      </c>
      <c r="H24" s="16">
        <v>0</v>
      </c>
      <c r="I24" s="16">
        <v>0</v>
      </c>
      <c r="J24" s="16">
        <v>0</v>
      </c>
      <c r="K24" s="16">
        <v>0</v>
      </c>
      <c r="L24" s="16">
        <v>0</v>
      </c>
      <c r="M24" s="16">
        <v>0</v>
      </c>
      <c r="N24" s="16">
        <v>0</v>
      </c>
      <c r="O24" s="16">
        <v>7214</v>
      </c>
    </row>
    <row r="25" spans="1:15">
      <c r="A25" t="s">
        <v>133</v>
      </c>
      <c r="B25" t="s">
        <v>378</v>
      </c>
      <c r="C25" s="16">
        <v>4726</v>
      </c>
      <c r="D25" s="16">
        <v>4726</v>
      </c>
      <c r="E25" s="16">
        <v>0</v>
      </c>
      <c r="F25" s="16">
        <v>0</v>
      </c>
      <c r="G25" s="16">
        <v>0</v>
      </c>
      <c r="H25" s="16">
        <v>0</v>
      </c>
      <c r="I25" s="16">
        <v>0</v>
      </c>
      <c r="J25" s="16">
        <v>0</v>
      </c>
      <c r="K25" s="16">
        <v>0</v>
      </c>
      <c r="L25" s="16">
        <v>0</v>
      </c>
      <c r="M25" s="16">
        <v>0</v>
      </c>
      <c r="N25" s="16">
        <v>0</v>
      </c>
      <c r="O25" s="16">
        <v>9452</v>
      </c>
    </row>
    <row r="26" spans="1:15">
      <c r="A26" t="s">
        <v>133</v>
      </c>
      <c r="B26" t="s">
        <v>442</v>
      </c>
      <c r="C26" s="16">
        <v>8131</v>
      </c>
      <c r="D26" s="16">
        <v>8131</v>
      </c>
      <c r="E26" s="16">
        <v>8131</v>
      </c>
      <c r="F26" s="16">
        <v>8131</v>
      </c>
      <c r="G26" s="16">
        <v>8131</v>
      </c>
      <c r="H26" s="16">
        <v>8131</v>
      </c>
      <c r="I26" s="16">
        <v>8131</v>
      </c>
      <c r="J26" s="16">
        <v>8131</v>
      </c>
      <c r="K26" s="16">
        <v>8131</v>
      </c>
      <c r="L26" s="16">
        <v>8131</v>
      </c>
      <c r="M26" s="16">
        <v>8131</v>
      </c>
      <c r="N26" s="16">
        <v>8131</v>
      </c>
      <c r="O26" s="16">
        <v>97572</v>
      </c>
    </row>
    <row r="27" spans="1:15">
      <c r="A27" t="s">
        <v>133</v>
      </c>
      <c r="B27" t="s">
        <v>385</v>
      </c>
      <c r="C27" s="16">
        <v>3641</v>
      </c>
      <c r="D27" s="16">
        <v>0</v>
      </c>
      <c r="E27" s="16">
        <v>0</v>
      </c>
      <c r="F27" s="16">
        <v>0</v>
      </c>
      <c r="G27" s="16">
        <v>0</v>
      </c>
      <c r="H27" s="16">
        <v>0</v>
      </c>
      <c r="I27" s="16">
        <v>0</v>
      </c>
      <c r="J27" s="16">
        <v>0</v>
      </c>
      <c r="K27" s="16">
        <v>0</v>
      </c>
      <c r="L27" s="16">
        <v>0</v>
      </c>
      <c r="M27" s="16">
        <v>0</v>
      </c>
      <c r="N27" s="16">
        <v>0</v>
      </c>
      <c r="O27" s="16">
        <v>3641</v>
      </c>
    </row>
    <row r="28" spans="1:15">
      <c r="A28" t="s">
        <v>133</v>
      </c>
      <c r="B28" t="s">
        <v>374</v>
      </c>
      <c r="C28" s="16">
        <v>5382</v>
      </c>
      <c r="D28" s="16">
        <v>0</v>
      </c>
      <c r="E28" s="16">
        <v>0</v>
      </c>
      <c r="F28" s="16">
        <v>0</v>
      </c>
      <c r="G28" s="16">
        <v>0</v>
      </c>
      <c r="H28" s="16">
        <v>0</v>
      </c>
      <c r="I28" s="16">
        <v>0</v>
      </c>
      <c r="J28" s="16">
        <v>0</v>
      </c>
      <c r="K28" s="16">
        <v>0</v>
      </c>
      <c r="L28" s="16">
        <v>0</v>
      </c>
      <c r="M28" s="16">
        <v>0</v>
      </c>
      <c r="N28" s="16">
        <v>0</v>
      </c>
      <c r="O28" s="16">
        <v>5382</v>
      </c>
    </row>
    <row r="29" spans="1:15">
      <c r="A29" t="s">
        <v>133</v>
      </c>
      <c r="B29" s="76" t="s">
        <v>371</v>
      </c>
      <c r="C29" s="16">
        <v>6514</v>
      </c>
      <c r="D29" s="16">
        <v>0</v>
      </c>
      <c r="E29" s="16">
        <v>0</v>
      </c>
      <c r="F29" s="16">
        <v>0</v>
      </c>
      <c r="G29" s="16">
        <v>0</v>
      </c>
      <c r="H29" s="16">
        <v>0</v>
      </c>
      <c r="I29" s="16">
        <v>0</v>
      </c>
      <c r="J29" s="16">
        <v>0</v>
      </c>
      <c r="K29" s="16">
        <v>0</v>
      </c>
      <c r="L29" s="16">
        <v>0</v>
      </c>
      <c r="M29" s="16">
        <v>0</v>
      </c>
      <c r="N29" s="16">
        <v>0</v>
      </c>
      <c r="O29" s="16">
        <v>6514</v>
      </c>
    </row>
    <row r="30" spans="1:15">
      <c r="A30" t="s">
        <v>133</v>
      </c>
      <c r="B30" t="s">
        <v>410</v>
      </c>
      <c r="C30" s="16">
        <v>2430</v>
      </c>
      <c r="D30" s="16">
        <v>2430</v>
      </c>
      <c r="E30" s="16">
        <v>2430</v>
      </c>
      <c r="F30" s="16">
        <v>2430</v>
      </c>
      <c r="G30" s="16">
        <v>2430</v>
      </c>
      <c r="H30" s="16">
        <v>2430</v>
      </c>
      <c r="I30" s="16">
        <v>2430</v>
      </c>
      <c r="J30" s="16">
        <v>2430</v>
      </c>
      <c r="K30" s="16">
        <v>2430</v>
      </c>
      <c r="L30" s="16">
        <v>2430</v>
      </c>
      <c r="M30" s="16">
        <v>2430</v>
      </c>
      <c r="N30" s="16">
        <v>2430</v>
      </c>
      <c r="O30" s="16">
        <v>29160</v>
      </c>
    </row>
    <row r="31" spans="1:15">
      <c r="A31" t="s">
        <v>133</v>
      </c>
      <c r="B31" t="s">
        <v>368</v>
      </c>
      <c r="C31" s="16">
        <v>7674</v>
      </c>
      <c r="D31" s="16">
        <v>7674</v>
      </c>
      <c r="E31" s="16">
        <v>7674</v>
      </c>
      <c r="F31" s="16">
        <v>7674</v>
      </c>
      <c r="G31" s="16">
        <v>7674</v>
      </c>
      <c r="H31" s="16">
        <v>7674</v>
      </c>
      <c r="I31" s="16">
        <v>7674</v>
      </c>
      <c r="J31" s="16">
        <v>7674</v>
      </c>
      <c r="K31" s="16">
        <v>7674</v>
      </c>
      <c r="L31" s="16">
        <v>7674</v>
      </c>
      <c r="M31" s="16">
        <v>7674</v>
      </c>
      <c r="N31" s="16">
        <v>7674</v>
      </c>
      <c r="O31" s="16">
        <v>92088</v>
      </c>
    </row>
    <row r="32" spans="1:15">
      <c r="A32" t="s">
        <v>133</v>
      </c>
      <c r="B32" t="s">
        <v>444</v>
      </c>
      <c r="C32" s="16">
        <v>2000</v>
      </c>
      <c r="D32" s="16">
        <v>4000</v>
      </c>
      <c r="E32" s="16">
        <v>4000</v>
      </c>
      <c r="F32" s="16">
        <v>4000</v>
      </c>
      <c r="G32" s="16">
        <v>4000</v>
      </c>
      <c r="H32" s="16">
        <v>4000</v>
      </c>
      <c r="I32" s="16">
        <v>4000</v>
      </c>
      <c r="J32" s="16">
        <v>4000</v>
      </c>
      <c r="K32" s="16">
        <v>4000</v>
      </c>
      <c r="L32" s="16">
        <v>4000</v>
      </c>
      <c r="M32" s="16">
        <v>4000</v>
      </c>
      <c r="N32" s="16">
        <v>4000</v>
      </c>
      <c r="O32" s="16">
        <v>46000</v>
      </c>
    </row>
    <row r="33" spans="1:15">
      <c r="A33" t="s">
        <v>133</v>
      </c>
      <c r="B33" t="s">
        <v>423</v>
      </c>
      <c r="C33" s="16">
        <v>1920</v>
      </c>
      <c r="D33" s="16">
        <v>0</v>
      </c>
      <c r="E33" s="16">
        <v>0</v>
      </c>
      <c r="F33" s="16">
        <v>0</v>
      </c>
      <c r="G33" s="16">
        <v>0</v>
      </c>
      <c r="H33" s="16">
        <v>0</v>
      </c>
      <c r="I33" s="16">
        <v>0</v>
      </c>
      <c r="J33" s="16">
        <v>0</v>
      </c>
      <c r="K33" s="16">
        <v>0</v>
      </c>
      <c r="L33" s="16">
        <v>0</v>
      </c>
      <c r="M33" s="16">
        <v>0</v>
      </c>
      <c r="N33" s="16">
        <v>0</v>
      </c>
      <c r="O33" s="16">
        <v>1920</v>
      </c>
    </row>
    <row r="34" spans="1:15">
      <c r="A34" t="s">
        <v>133</v>
      </c>
      <c r="B34" t="s">
        <v>426</v>
      </c>
      <c r="C34" s="16">
        <v>1831</v>
      </c>
      <c r="D34" s="16">
        <v>1831</v>
      </c>
      <c r="E34" s="16">
        <v>1831</v>
      </c>
      <c r="F34" s="16">
        <v>1831</v>
      </c>
      <c r="G34" s="16">
        <v>1831</v>
      </c>
      <c r="H34" s="16">
        <v>1831</v>
      </c>
      <c r="I34" s="16">
        <v>1831</v>
      </c>
      <c r="J34" s="16">
        <v>1831</v>
      </c>
      <c r="K34" s="16">
        <v>1831</v>
      </c>
      <c r="L34" s="16">
        <v>1831</v>
      </c>
      <c r="M34" s="16">
        <v>1831</v>
      </c>
      <c r="N34" s="16">
        <v>1831</v>
      </c>
      <c r="O34" s="16">
        <v>21972</v>
      </c>
    </row>
    <row r="35" spans="1:15">
      <c r="A35" t="s">
        <v>133</v>
      </c>
      <c r="B35" t="s">
        <v>381</v>
      </c>
      <c r="C35" s="16">
        <v>4085</v>
      </c>
      <c r="D35" s="16">
        <v>4085</v>
      </c>
      <c r="E35" s="16">
        <v>4085</v>
      </c>
      <c r="F35" s="16">
        <v>4085</v>
      </c>
      <c r="G35" s="16">
        <v>4085</v>
      </c>
      <c r="H35" s="16">
        <v>4085</v>
      </c>
      <c r="I35" s="16">
        <v>4085</v>
      </c>
      <c r="J35" s="16">
        <v>4085</v>
      </c>
      <c r="K35" s="16">
        <v>4085</v>
      </c>
      <c r="L35" s="16">
        <v>4085</v>
      </c>
      <c r="M35" s="16">
        <v>4085</v>
      </c>
      <c r="N35" s="16">
        <v>4085</v>
      </c>
      <c r="O35" s="16">
        <v>49020</v>
      </c>
    </row>
    <row r="36" spans="1:15">
      <c r="A36" t="s">
        <v>133</v>
      </c>
      <c r="B36" t="s">
        <v>411</v>
      </c>
      <c r="C36" s="16">
        <v>2338</v>
      </c>
      <c r="D36" s="16">
        <v>2338</v>
      </c>
      <c r="E36" s="16">
        <v>2338</v>
      </c>
      <c r="F36" s="16">
        <v>2338</v>
      </c>
      <c r="G36" s="16">
        <v>2338</v>
      </c>
      <c r="H36" s="16">
        <v>2338</v>
      </c>
      <c r="I36" s="16">
        <v>2338</v>
      </c>
      <c r="J36" s="16">
        <v>2338</v>
      </c>
      <c r="K36" s="16">
        <v>2338</v>
      </c>
      <c r="L36" s="16">
        <v>2338</v>
      </c>
      <c r="M36" s="16">
        <v>2338</v>
      </c>
      <c r="N36" s="16">
        <v>2338</v>
      </c>
      <c r="O36" s="16">
        <v>28056</v>
      </c>
    </row>
    <row r="37" spans="1:15">
      <c r="A37" t="s">
        <v>133</v>
      </c>
      <c r="B37" t="s">
        <v>422</v>
      </c>
      <c r="C37" s="16">
        <v>2018</v>
      </c>
      <c r="D37" s="16">
        <v>2018</v>
      </c>
      <c r="E37" s="16">
        <v>2018</v>
      </c>
      <c r="F37" s="16">
        <v>2018</v>
      </c>
      <c r="G37" s="16">
        <v>2018</v>
      </c>
      <c r="H37" s="16">
        <v>2018</v>
      </c>
      <c r="I37" s="16">
        <v>2018</v>
      </c>
      <c r="J37" s="16">
        <v>2018</v>
      </c>
      <c r="K37" s="16">
        <v>2018</v>
      </c>
      <c r="L37" s="16">
        <v>2018</v>
      </c>
      <c r="M37" s="16">
        <v>2018</v>
      </c>
      <c r="N37" s="16">
        <v>2018</v>
      </c>
      <c r="O37" s="16">
        <v>24216</v>
      </c>
    </row>
    <row r="38" spans="1:15">
      <c r="A38" t="s">
        <v>133</v>
      </c>
      <c r="B38" t="s">
        <v>408</v>
      </c>
      <c r="C38" s="16">
        <v>2460</v>
      </c>
      <c r="D38" s="16">
        <v>2460</v>
      </c>
      <c r="E38" s="16">
        <v>2460</v>
      </c>
      <c r="F38" s="16">
        <v>2460</v>
      </c>
      <c r="G38" s="16">
        <v>2460</v>
      </c>
      <c r="H38" s="16">
        <v>2460</v>
      </c>
      <c r="I38" s="16">
        <v>2460</v>
      </c>
      <c r="J38" s="16">
        <v>2460</v>
      </c>
      <c r="K38" s="16">
        <v>2460</v>
      </c>
      <c r="L38" s="16">
        <v>2460</v>
      </c>
      <c r="M38" s="16">
        <v>2460</v>
      </c>
      <c r="N38" s="16">
        <v>2460</v>
      </c>
      <c r="O38" s="16">
        <v>29520</v>
      </c>
    </row>
    <row r="39" spans="1:15">
      <c r="A39" t="s">
        <v>133</v>
      </c>
      <c r="B39" t="s">
        <v>380</v>
      </c>
      <c r="C39" s="16">
        <v>4174</v>
      </c>
      <c r="D39" s="16">
        <v>4174</v>
      </c>
      <c r="E39" s="16">
        <v>4174</v>
      </c>
      <c r="F39" s="16">
        <v>4174</v>
      </c>
      <c r="G39" s="16">
        <v>4174</v>
      </c>
      <c r="H39" s="16">
        <v>4174</v>
      </c>
      <c r="I39" s="16">
        <v>4174</v>
      </c>
      <c r="J39" s="16">
        <v>4174</v>
      </c>
      <c r="K39" s="16">
        <v>4174</v>
      </c>
      <c r="L39" s="16">
        <v>4174</v>
      </c>
      <c r="M39" s="16">
        <v>4174</v>
      </c>
      <c r="N39" s="16">
        <v>4174</v>
      </c>
      <c r="O39" s="16">
        <v>50088</v>
      </c>
    </row>
    <row r="40" spans="1:15">
      <c r="A40" t="s">
        <v>133</v>
      </c>
      <c r="B40" t="s">
        <v>416</v>
      </c>
      <c r="C40" s="16">
        <v>2163</v>
      </c>
      <c r="D40" s="16">
        <v>2163</v>
      </c>
      <c r="E40" s="16">
        <v>2163</v>
      </c>
      <c r="F40" s="16">
        <v>2163</v>
      </c>
      <c r="G40" s="16">
        <v>2163</v>
      </c>
      <c r="H40" s="16">
        <v>2163</v>
      </c>
      <c r="I40" s="16">
        <v>2163</v>
      </c>
      <c r="J40" s="16">
        <v>2163</v>
      </c>
      <c r="K40" s="16">
        <v>2163</v>
      </c>
      <c r="L40" s="16">
        <v>2163</v>
      </c>
      <c r="M40" s="16">
        <v>2163</v>
      </c>
      <c r="N40" s="16">
        <v>2163</v>
      </c>
      <c r="O40" s="16">
        <v>25956</v>
      </c>
    </row>
    <row r="41" spans="1:15">
      <c r="A41" t="s">
        <v>133</v>
      </c>
      <c r="B41" t="s">
        <v>424</v>
      </c>
      <c r="C41" s="16">
        <v>1918</v>
      </c>
      <c r="D41" s="16">
        <v>1918</v>
      </c>
      <c r="E41" s="16">
        <v>1918</v>
      </c>
      <c r="F41" s="16">
        <v>1918</v>
      </c>
      <c r="G41" s="16">
        <v>1918</v>
      </c>
      <c r="H41" s="16">
        <v>1918</v>
      </c>
      <c r="I41" s="16">
        <v>1918</v>
      </c>
      <c r="J41" s="16">
        <v>1918</v>
      </c>
      <c r="K41" s="16">
        <v>1918</v>
      </c>
      <c r="L41" s="16">
        <v>1918</v>
      </c>
      <c r="M41" s="16">
        <v>1918</v>
      </c>
      <c r="N41" s="16">
        <v>1918</v>
      </c>
      <c r="O41" s="16">
        <v>23016</v>
      </c>
    </row>
    <row r="42" spans="1:15">
      <c r="A42" t="s">
        <v>133</v>
      </c>
      <c r="B42" t="s">
        <v>379</v>
      </c>
      <c r="C42" s="16">
        <v>4263</v>
      </c>
      <c r="D42" s="16">
        <v>4263</v>
      </c>
      <c r="E42" s="16">
        <v>4263</v>
      </c>
      <c r="F42" s="16">
        <v>4263</v>
      </c>
      <c r="G42" s="16">
        <v>4263</v>
      </c>
      <c r="H42" s="16">
        <v>4263</v>
      </c>
      <c r="I42" s="16">
        <v>4263</v>
      </c>
      <c r="J42" s="16">
        <v>4263</v>
      </c>
      <c r="K42" s="16">
        <v>4263</v>
      </c>
      <c r="L42" s="16">
        <v>4263</v>
      </c>
      <c r="M42" s="16">
        <v>4263</v>
      </c>
      <c r="N42" s="16">
        <v>4263</v>
      </c>
      <c r="O42" s="16">
        <v>51156</v>
      </c>
    </row>
    <row r="43" spans="1:15">
      <c r="A43" t="s">
        <v>133</v>
      </c>
      <c r="B43" t="s">
        <v>401</v>
      </c>
      <c r="C43" s="16">
        <v>3218</v>
      </c>
      <c r="D43" s="16">
        <v>0</v>
      </c>
      <c r="E43" s="16">
        <v>0</v>
      </c>
      <c r="F43" s="16">
        <v>0</v>
      </c>
      <c r="G43" s="16">
        <v>0</v>
      </c>
      <c r="H43" s="16">
        <v>0</v>
      </c>
      <c r="I43" s="16">
        <v>0</v>
      </c>
      <c r="J43" s="16">
        <v>0</v>
      </c>
      <c r="K43" s="16">
        <v>0</v>
      </c>
      <c r="L43" s="16">
        <v>0</v>
      </c>
      <c r="M43" s="16">
        <v>0</v>
      </c>
      <c r="N43" s="16">
        <v>0</v>
      </c>
      <c r="O43" s="16">
        <v>3218</v>
      </c>
    </row>
    <row r="44" spans="1:15">
      <c r="A44" t="s">
        <v>133</v>
      </c>
      <c r="B44" t="s">
        <v>370</v>
      </c>
      <c r="C44" s="16">
        <v>6841</v>
      </c>
      <c r="D44" s="16">
        <v>6841</v>
      </c>
      <c r="E44" s="16">
        <v>0</v>
      </c>
      <c r="F44" s="16">
        <v>0</v>
      </c>
      <c r="G44" s="16">
        <v>0</v>
      </c>
      <c r="H44" s="16">
        <v>0</v>
      </c>
      <c r="I44" s="16">
        <v>0</v>
      </c>
      <c r="J44" s="16">
        <v>0</v>
      </c>
      <c r="K44" s="16">
        <v>0</v>
      </c>
      <c r="L44" s="16">
        <v>0</v>
      </c>
      <c r="M44" s="16">
        <v>0</v>
      </c>
      <c r="N44" s="16">
        <v>0</v>
      </c>
      <c r="O44" s="16">
        <v>13682</v>
      </c>
    </row>
    <row r="45" spans="1:15">
      <c r="A45" t="s">
        <v>133</v>
      </c>
      <c r="B45" t="s">
        <v>361</v>
      </c>
      <c r="C45" s="16">
        <v>12993</v>
      </c>
      <c r="D45" s="16">
        <v>12993</v>
      </c>
      <c r="E45" s="16">
        <v>12993</v>
      </c>
      <c r="F45" s="16">
        <v>12993</v>
      </c>
      <c r="G45" s="16">
        <v>12993</v>
      </c>
      <c r="H45" s="16">
        <v>12993</v>
      </c>
      <c r="I45" s="16">
        <v>12993</v>
      </c>
      <c r="J45" s="16">
        <v>12993</v>
      </c>
      <c r="K45" s="16">
        <v>12993</v>
      </c>
      <c r="L45" s="16">
        <v>12993</v>
      </c>
      <c r="M45" s="16">
        <v>12993</v>
      </c>
      <c r="N45" s="16">
        <v>12993</v>
      </c>
      <c r="O45" s="16">
        <v>155916</v>
      </c>
    </row>
    <row r="46" spans="1:15">
      <c r="A46" t="s">
        <v>133</v>
      </c>
      <c r="B46" t="s">
        <v>391</v>
      </c>
      <c r="C46" s="16">
        <v>3550</v>
      </c>
      <c r="D46" s="16">
        <v>3550</v>
      </c>
      <c r="E46" s="16">
        <v>3550</v>
      </c>
      <c r="F46" s="16">
        <v>3550</v>
      </c>
      <c r="G46" s="16">
        <v>3550</v>
      </c>
      <c r="H46" s="16">
        <v>3550</v>
      </c>
      <c r="I46" s="16">
        <v>3550</v>
      </c>
      <c r="J46" s="16">
        <v>3550</v>
      </c>
      <c r="K46" s="16">
        <v>3550</v>
      </c>
      <c r="L46" s="16">
        <v>3550</v>
      </c>
      <c r="M46" s="16">
        <v>3550</v>
      </c>
      <c r="N46" s="16">
        <v>3550</v>
      </c>
      <c r="O46" s="16">
        <v>42600</v>
      </c>
    </row>
    <row r="47" spans="1:15">
      <c r="A47" t="s">
        <v>133</v>
      </c>
      <c r="B47" t="s">
        <v>369</v>
      </c>
      <c r="C47" s="16">
        <v>7280</v>
      </c>
      <c r="D47" s="16">
        <v>7280</v>
      </c>
      <c r="E47" s="16">
        <v>7280</v>
      </c>
      <c r="F47" s="16">
        <v>7280</v>
      </c>
      <c r="G47" s="16">
        <v>7280</v>
      </c>
      <c r="H47" s="16">
        <v>7280</v>
      </c>
      <c r="I47" s="16">
        <v>7280</v>
      </c>
      <c r="J47" s="16">
        <v>7280</v>
      </c>
      <c r="K47" s="16">
        <v>7280</v>
      </c>
      <c r="L47" s="16">
        <v>7280</v>
      </c>
      <c r="M47" s="16">
        <v>7280</v>
      </c>
      <c r="N47" s="16">
        <v>7280</v>
      </c>
      <c r="O47" s="16">
        <v>87360</v>
      </c>
    </row>
    <row r="48" spans="1:15">
      <c r="A48" t="s">
        <v>133</v>
      </c>
      <c r="B48" t="s">
        <v>420</v>
      </c>
      <c r="C48" s="16">
        <v>2023</v>
      </c>
      <c r="D48" s="16">
        <v>2023</v>
      </c>
      <c r="E48" s="16">
        <v>2023</v>
      </c>
      <c r="F48" s="16">
        <v>2023</v>
      </c>
      <c r="G48" s="16">
        <v>2023</v>
      </c>
      <c r="H48" s="16">
        <v>2023</v>
      </c>
      <c r="I48" s="16">
        <v>2023</v>
      </c>
      <c r="J48" s="16">
        <v>2023</v>
      </c>
      <c r="K48" s="16">
        <v>2023</v>
      </c>
      <c r="L48" s="16">
        <v>2023</v>
      </c>
      <c r="M48" s="16">
        <v>2023</v>
      </c>
      <c r="N48" s="16">
        <v>2023</v>
      </c>
      <c r="O48" s="16">
        <v>24276</v>
      </c>
    </row>
    <row r="49" spans="1:15">
      <c r="A49" t="s">
        <v>133</v>
      </c>
      <c r="B49" t="s">
        <v>406</v>
      </c>
      <c r="C49" s="16">
        <v>2604</v>
      </c>
      <c r="D49" s="16">
        <v>2604</v>
      </c>
      <c r="E49" s="16">
        <v>2604</v>
      </c>
      <c r="F49" s="16">
        <v>2604</v>
      </c>
      <c r="G49" s="16">
        <v>2604</v>
      </c>
      <c r="H49" s="16">
        <v>2604</v>
      </c>
      <c r="I49" s="16">
        <v>2604</v>
      </c>
      <c r="J49" s="16">
        <v>2604</v>
      </c>
      <c r="K49" s="16">
        <v>2604</v>
      </c>
      <c r="L49" s="16">
        <v>2604</v>
      </c>
      <c r="M49" s="16">
        <v>2604</v>
      </c>
      <c r="N49" s="16">
        <v>2604</v>
      </c>
      <c r="O49" s="16">
        <v>31248</v>
      </c>
    </row>
    <row r="50" spans="1:15">
      <c r="A50" t="s">
        <v>133</v>
      </c>
      <c r="B50" t="s">
        <v>446</v>
      </c>
      <c r="C50" s="16">
        <v>2430</v>
      </c>
      <c r="D50" s="16">
        <v>2430</v>
      </c>
      <c r="E50" s="16">
        <v>2430</v>
      </c>
      <c r="F50" s="16">
        <v>2430</v>
      </c>
      <c r="G50" s="16">
        <v>2430</v>
      </c>
      <c r="H50" s="16">
        <v>2430</v>
      </c>
      <c r="I50" s="16">
        <v>2430</v>
      </c>
      <c r="J50" s="16">
        <v>2430</v>
      </c>
      <c r="K50" s="16">
        <v>2430</v>
      </c>
      <c r="L50" s="16">
        <v>2430</v>
      </c>
      <c r="M50" s="16">
        <v>2430</v>
      </c>
      <c r="N50" s="16">
        <v>2430</v>
      </c>
      <c r="O50" s="16">
        <v>29160</v>
      </c>
    </row>
    <row r="51" spans="1:15">
      <c r="A51" t="s">
        <v>135</v>
      </c>
      <c r="B51" t="s">
        <v>430</v>
      </c>
      <c r="C51" s="16">
        <v>1539</v>
      </c>
      <c r="D51" s="16">
        <v>1539</v>
      </c>
      <c r="E51" s="16">
        <v>0</v>
      </c>
      <c r="F51" s="16">
        <v>0</v>
      </c>
      <c r="G51" s="16">
        <v>0</v>
      </c>
      <c r="H51" s="16">
        <v>0</v>
      </c>
      <c r="I51" s="16">
        <v>0</v>
      </c>
      <c r="J51" s="16">
        <v>0</v>
      </c>
      <c r="K51" s="16">
        <v>0</v>
      </c>
      <c r="L51" s="16">
        <v>0</v>
      </c>
      <c r="M51" s="16">
        <v>0</v>
      </c>
      <c r="N51" s="16">
        <v>0</v>
      </c>
      <c r="O51" s="16">
        <v>3078</v>
      </c>
    </row>
    <row r="52" spans="1:15">
      <c r="A52" t="s">
        <v>135</v>
      </c>
      <c r="B52" t="s">
        <v>425</v>
      </c>
      <c r="C52" s="16">
        <v>1885</v>
      </c>
      <c r="D52" s="16">
        <v>1885</v>
      </c>
      <c r="E52" s="16">
        <v>1885</v>
      </c>
      <c r="F52" s="16">
        <v>1885</v>
      </c>
      <c r="G52" s="16">
        <v>1885</v>
      </c>
      <c r="H52" s="16">
        <v>1885</v>
      </c>
      <c r="I52" s="16">
        <v>1885</v>
      </c>
      <c r="J52" s="16">
        <v>1885</v>
      </c>
      <c r="K52" s="16">
        <v>1885</v>
      </c>
      <c r="L52" s="16">
        <v>1885</v>
      </c>
      <c r="M52" s="16">
        <v>1885</v>
      </c>
      <c r="N52" s="16">
        <v>1885</v>
      </c>
      <c r="O52" s="16">
        <v>22620</v>
      </c>
    </row>
    <row r="53" spans="1:15">
      <c r="A53" t="s">
        <v>135</v>
      </c>
      <c r="B53" t="s">
        <v>390</v>
      </c>
      <c r="C53" s="16">
        <v>3591</v>
      </c>
      <c r="D53" s="16">
        <v>3591</v>
      </c>
      <c r="E53" s="16">
        <v>3591</v>
      </c>
      <c r="F53" s="16">
        <v>3591</v>
      </c>
      <c r="G53" s="16">
        <v>3591</v>
      </c>
      <c r="H53" s="16">
        <v>3591</v>
      </c>
      <c r="I53" s="16">
        <v>3591</v>
      </c>
      <c r="J53" s="16">
        <v>3591</v>
      </c>
      <c r="K53" s="16">
        <v>3591</v>
      </c>
      <c r="L53" s="16">
        <v>3591</v>
      </c>
      <c r="M53" s="16">
        <v>3591</v>
      </c>
      <c r="N53" s="16">
        <v>3591</v>
      </c>
      <c r="O53" s="16">
        <v>43092</v>
      </c>
    </row>
    <row r="54" spans="1:15">
      <c r="A54" t="s">
        <v>135</v>
      </c>
      <c r="B54" t="s">
        <v>397</v>
      </c>
      <c r="C54" s="16">
        <v>3219</v>
      </c>
      <c r="D54" s="16">
        <v>3219</v>
      </c>
      <c r="E54" s="16">
        <v>3219</v>
      </c>
      <c r="F54" s="16">
        <v>3219</v>
      </c>
      <c r="G54" s="16">
        <v>3219</v>
      </c>
      <c r="H54" s="16">
        <v>3219</v>
      </c>
      <c r="I54" s="16">
        <v>3219</v>
      </c>
      <c r="J54" s="16">
        <v>3219</v>
      </c>
      <c r="K54" s="16">
        <v>3219</v>
      </c>
      <c r="L54" s="16">
        <v>3219</v>
      </c>
      <c r="M54" s="16">
        <v>3219</v>
      </c>
      <c r="N54" s="16">
        <v>3219</v>
      </c>
      <c r="O54" s="16">
        <v>38628</v>
      </c>
    </row>
    <row r="55" spans="1:15">
      <c r="A55" t="s">
        <v>135</v>
      </c>
      <c r="B55" t="s">
        <v>419</v>
      </c>
      <c r="C55" s="16">
        <v>2025</v>
      </c>
      <c r="D55" s="16">
        <v>2025</v>
      </c>
      <c r="E55" s="16">
        <v>2025</v>
      </c>
      <c r="F55" s="16">
        <v>2025</v>
      </c>
      <c r="G55" s="16">
        <v>2025</v>
      </c>
      <c r="H55" s="16">
        <v>2025</v>
      </c>
      <c r="I55" s="16">
        <v>2025</v>
      </c>
      <c r="J55" s="16">
        <v>2025</v>
      </c>
      <c r="K55" s="16">
        <v>2025</v>
      </c>
      <c r="L55" s="16">
        <v>2025</v>
      </c>
      <c r="M55" s="16">
        <v>2025</v>
      </c>
      <c r="N55" s="16">
        <v>2025</v>
      </c>
      <c r="O55" s="16">
        <v>24300</v>
      </c>
    </row>
    <row r="56" spans="1:15">
      <c r="A56" t="s">
        <v>135</v>
      </c>
      <c r="B56" t="s">
        <v>428</v>
      </c>
      <c r="C56" s="16">
        <v>1746</v>
      </c>
      <c r="D56" s="16">
        <v>1746</v>
      </c>
      <c r="E56" s="16">
        <v>1746</v>
      </c>
      <c r="F56" s="16">
        <v>1746</v>
      </c>
      <c r="G56" s="16">
        <v>1746</v>
      </c>
      <c r="H56" s="16">
        <v>1746</v>
      </c>
      <c r="I56" s="16">
        <v>1746</v>
      </c>
      <c r="J56" s="16">
        <v>1746</v>
      </c>
      <c r="K56" s="16">
        <v>1746</v>
      </c>
      <c r="L56" s="16">
        <v>1746</v>
      </c>
      <c r="M56" s="16">
        <v>1746</v>
      </c>
      <c r="N56" s="16">
        <v>1746</v>
      </c>
      <c r="O56" s="16">
        <v>20952</v>
      </c>
    </row>
    <row r="57" spans="1:15">
      <c r="A57" t="s">
        <v>135</v>
      </c>
      <c r="B57" t="s">
        <v>372</v>
      </c>
      <c r="C57" s="16">
        <v>5737</v>
      </c>
      <c r="D57" s="16">
        <v>5737</v>
      </c>
      <c r="E57" s="16">
        <v>5737</v>
      </c>
      <c r="F57" s="16">
        <v>5737</v>
      </c>
      <c r="G57" s="16">
        <v>5737</v>
      </c>
      <c r="H57" s="16">
        <v>5737</v>
      </c>
      <c r="I57" s="16">
        <v>5737</v>
      </c>
      <c r="J57" s="16">
        <v>5737</v>
      </c>
      <c r="K57" s="16">
        <v>5737</v>
      </c>
      <c r="L57" s="16">
        <v>5737</v>
      </c>
      <c r="M57" s="16">
        <v>5737</v>
      </c>
      <c r="N57" s="16">
        <v>5737</v>
      </c>
      <c r="O57" s="16">
        <v>68844</v>
      </c>
    </row>
    <row r="58" spans="1:15">
      <c r="A58" t="s">
        <v>135</v>
      </c>
      <c r="B58" t="s">
        <v>427</v>
      </c>
      <c r="C58" s="16">
        <v>1765</v>
      </c>
      <c r="D58" s="16">
        <v>1765</v>
      </c>
      <c r="E58" s="16">
        <v>1765</v>
      </c>
      <c r="F58" s="16">
        <v>1765</v>
      </c>
      <c r="G58" s="16">
        <v>1765</v>
      </c>
      <c r="H58" s="16">
        <v>1765</v>
      </c>
      <c r="I58" s="16">
        <v>1765</v>
      </c>
      <c r="J58" s="16">
        <v>1765</v>
      </c>
      <c r="K58" s="16">
        <v>1765</v>
      </c>
      <c r="L58" s="16">
        <v>1765</v>
      </c>
      <c r="M58" s="16">
        <v>1765</v>
      </c>
      <c r="N58" s="16">
        <v>1765</v>
      </c>
      <c r="O58" s="16">
        <v>21180</v>
      </c>
    </row>
    <row r="59" spans="1:15">
      <c r="A59" t="s">
        <v>135</v>
      </c>
      <c r="B59" t="s">
        <v>393</v>
      </c>
      <c r="C59" s="16">
        <v>3459</v>
      </c>
      <c r="D59" s="16">
        <v>3459</v>
      </c>
      <c r="E59" s="16">
        <v>3459</v>
      </c>
      <c r="F59" s="16">
        <v>3459</v>
      </c>
      <c r="G59" s="16">
        <v>3459</v>
      </c>
      <c r="H59" s="16">
        <v>3459</v>
      </c>
      <c r="I59" s="16">
        <v>3459</v>
      </c>
      <c r="J59" s="16">
        <v>3459</v>
      </c>
      <c r="K59" s="16">
        <v>3459</v>
      </c>
      <c r="L59" s="16">
        <v>3459</v>
      </c>
      <c r="M59" s="16">
        <v>3459</v>
      </c>
      <c r="N59" s="16">
        <v>3459</v>
      </c>
      <c r="O59" s="16">
        <v>41508</v>
      </c>
    </row>
    <row r="60" spans="1:15">
      <c r="A60" t="s">
        <v>135</v>
      </c>
      <c r="B60" t="s">
        <v>400</v>
      </c>
      <c r="C60" s="16">
        <v>3219</v>
      </c>
      <c r="D60" s="16">
        <v>3219</v>
      </c>
      <c r="E60" s="16">
        <v>3219</v>
      </c>
      <c r="F60" s="16">
        <v>0</v>
      </c>
      <c r="G60" s="16">
        <v>0</v>
      </c>
      <c r="H60" s="16">
        <v>0</v>
      </c>
      <c r="I60" s="16">
        <v>0</v>
      </c>
      <c r="J60" s="16">
        <v>0</v>
      </c>
      <c r="K60" s="16">
        <v>0</v>
      </c>
      <c r="L60" s="16">
        <v>0</v>
      </c>
      <c r="M60" s="16">
        <v>0</v>
      </c>
      <c r="N60" s="16">
        <v>0</v>
      </c>
      <c r="O60" s="16">
        <v>9657</v>
      </c>
    </row>
    <row r="61" spans="1:15">
      <c r="A61" t="s">
        <v>135</v>
      </c>
      <c r="B61" t="s">
        <v>432</v>
      </c>
      <c r="C61" s="16">
        <v>1468</v>
      </c>
      <c r="D61" s="16">
        <v>1468</v>
      </c>
      <c r="E61" s="16">
        <v>1468</v>
      </c>
      <c r="F61" s="16">
        <v>1468</v>
      </c>
      <c r="G61" s="16">
        <v>1468</v>
      </c>
      <c r="H61" s="16">
        <v>1468</v>
      </c>
      <c r="I61" s="16">
        <v>1468</v>
      </c>
      <c r="J61" s="16">
        <v>1468</v>
      </c>
      <c r="K61" s="16">
        <v>1468</v>
      </c>
      <c r="L61" s="16">
        <v>1468</v>
      </c>
      <c r="M61" s="16">
        <v>1468</v>
      </c>
      <c r="N61" s="16">
        <v>1468</v>
      </c>
      <c r="O61" s="16">
        <v>17616</v>
      </c>
    </row>
    <row r="62" spans="1:15">
      <c r="A62" t="s">
        <v>135</v>
      </c>
      <c r="B62" t="s">
        <v>436</v>
      </c>
      <c r="C62" s="16">
        <v>1200</v>
      </c>
      <c r="D62" s="16">
        <v>1200</v>
      </c>
      <c r="E62" s="16">
        <v>1200</v>
      </c>
      <c r="F62" s="16">
        <v>1200</v>
      </c>
      <c r="G62" s="16">
        <v>1200</v>
      </c>
      <c r="H62" s="16">
        <v>1200</v>
      </c>
      <c r="I62" s="16">
        <v>1200</v>
      </c>
      <c r="J62" s="16">
        <v>1200</v>
      </c>
      <c r="K62" s="16">
        <v>1200</v>
      </c>
      <c r="L62" s="16">
        <v>1200</v>
      </c>
      <c r="M62" s="16">
        <v>1200</v>
      </c>
      <c r="N62" s="16">
        <v>1200</v>
      </c>
      <c r="O62" s="16">
        <v>14400</v>
      </c>
    </row>
    <row r="63" spans="1:15">
      <c r="A63" t="s">
        <v>135</v>
      </c>
      <c r="B63" t="s">
        <v>399</v>
      </c>
      <c r="C63" s="16">
        <v>3219</v>
      </c>
      <c r="D63" s="16">
        <v>3219</v>
      </c>
      <c r="E63" s="16">
        <v>3219</v>
      </c>
      <c r="F63" s="16">
        <v>3219</v>
      </c>
      <c r="G63" s="16">
        <v>3219</v>
      </c>
      <c r="H63" s="16">
        <v>3219</v>
      </c>
      <c r="I63" s="16">
        <v>3219</v>
      </c>
      <c r="J63" s="16">
        <v>3219</v>
      </c>
      <c r="K63" s="16">
        <v>3219</v>
      </c>
      <c r="L63" s="16">
        <v>3219</v>
      </c>
      <c r="M63" s="16">
        <v>3219</v>
      </c>
      <c r="N63" s="16">
        <v>3219</v>
      </c>
      <c r="O63" s="16">
        <v>38628</v>
      </c>
    </row>
    <row r="64" spans="1:15">
      <c r="A64" t="s">
        <v>135</v>
      </c>
      <c r="B64" t="s">
        <v>434</v>
      </c>
      <c r="C64" s="16">
        <v>1071</v>
      </c>
      <c r="D64" s="16">
        <v>1071</v>
      </c>
      <c r="E64" s="16">
        <v>2000</v>
      </c>
      <c r="F64" s="16">
        <v>2000</v>
      </c>
      <c r="G64" s="16">
        <v>2000</v>
      </c>
      <c r="H64" s="16">
        <v>2000</v>
      </c>
      <c r="I64" s="16">
        <v>2000</v>
      </c>
      <c r="J64" s="16">
        <v>2000</v>
      </c>
      <c r="K64" s="16">
        <v>2000</v>
      </c>
      <c r="L64" s="16">
        <v>2000</v>
      </c>
      <c r="M64" s="16">
        <v>2000</v>
      </c>
      <c r="N64" s="16">
        <v>2000</v>
      </c>
      <c r="O64" s="16">
        <v>22142</v>
      </c>
    </row>
    <row r="65" spans="1:15">
      <c r="A65" t="s">
        <v>135</v>
      </c>
      <c r="B65" t="s">
        <v>439</v>
      </c>
      <c r="C65" s="16">
        <v>3824</v>
      </c>
      <c r="D65" s="16">
        <v>3824</v>
      </c>
      <c r="E65" s="16">
        <v>3824</v>
      </c>
      <c r="F65" s="16">
        <v>3824</v>
      </c>
      <c r="G65" s="16">
        <v>3824</v>
      </c>
      <c r="H65" s="16">
        <v>3824</v>
      </c>
      <c r="I65" s="16">
        <v>3824</v>
      </c>
      <c r="J65" s="16">
        <v>3824</v>
      </c>
      <c r="K65" s="16">
        <v>3824</v>
      </c>
      <c r="L65" s="16">
        <v>3824</v>
      </c>
      <c r="M65" s="16">
        <v>3824</v>
      </c>
      <c r="N65" s="16">
        <v>3824</v>
      </c>
      <c r="O65" s="16">
        <v>45888</v>
      </c>
    </row>
    <row r="66" spans="1:15">
      <c r="A66" t="s">
        <v>135</v>
      </c>
      <c r="B66" t="s">
        <v>398</v>
      </c>
      <c r="C66" s="16">
        <v>3219</v>
      </c>
      <c r="D66" s="16">
        <v>3219</v>
      </c>
      <c r="E66" s="16">
        <v>3219</v>
      </c>
      <c r="F66" s="16">
        <v>3219</v>
      </c>
      <c r="G66" s="16">
        <v>3219</v>
      </c>
      <c r="H66" s="16">
        <v>3219</v>
      </c>
      <c r="I66" s="16">
        <v>3219</v>
      </c>
      <c r="J66" s="16">
        <v>3219</v>
      </c>
      <c r="K66" s="16">
        <v>3219</v>
      </c>
      <c r="L66" s="16">
        <v>3219</v>
      </c>
      <c r="M66" s="16">
        <v>3219</v>
      </c>
      <c r="N66" s="16">
        <v>3219</v>
      </c>
      <c r="O66" s="16">
        <v>38628</v>
      </c>
    </row>
    <row r="67" spans="1:15">
      <c r="A67" t="s">
        <v>135</v>
      </c>
      <c r="B67" t="s">
        <v>440</v>
      </c>
      <c r="C67" s="16">
        <v>2476</v>
      </c>
      <c r="D67" s="16">
        <v>2476</v>
      </c>
      <c r="E67" s="16">
        <v>2476</v>
      </c>
      <c r="F67" s="16">
        <v>0</v>
      </c>
      <c r="G67" s="16">
        <v>0</v>
      </c>
      <c r="H67" s="16">
        <v>0</v>
      </c>
      <c r="I67" s="16">
        <v>0</v>
      </c>
      <c r="J67" s="16">
        <v>0</v>
      </c>
      <c r="K67" s="16">
        <v>0</v>
      </c>
      <c r="L67" s="16">
        <v>0</v>
      </c>
      <c r="M67" s="16">
        <v>0</v>
      </c>
      <c r="N67" s="16">
        <v>0</v>
      </c>
      <c r="O67" s="16">
        <v>7428</v>
      </c>
    </row>
    <row r="68" spans="1:15">
      <c r="A68" t="s">
        <v>135</v>
      </c>
      <c r="B68" t="s">
        <v>407</v>
      </c>
      <c r="C68" s="16">
        <v>2539</v>
      </c>
      <c r="D68" s="16">
        <v>2539</v>
      </c>
      <c r="E68" s="16">
        <v>1777</v>
      </c>
      <c r="F68" s="16">
        <v>1777</v>
      </c>
      <c r="G68" s="16">
        <v>1777</v>
      </c>
      <c r="H68" s="16">
        <v>1777</v>
      </c>
      <c r="I68" s="16">
        <v>1777</v>
      </c>
      <c r="J68" s="16">
        <v>1777</v>
      </c>
      <c r="K68" s="16">
        <v>1777</v>
      </c>
      <c r="L68" s="16">
        <v>1777</v>
      </c>
      <c r="M68" s="16">
        <v>1777</v>
      </c>
      <c r="N68" s="16">
        <v>1777</v>
      </c>
      <c r="O68" s="16">
        <v>22848</v>
      </c>
    </row>
    <row r="69" spans="1:15">
      <c r="A69" t="s">
        <v>520</v>
      </c>
      <c r="C69" s="16">
        <v>239814</v>
      </c>
      <c r="D69" s="16">
        <v>226608</v>
      </c>
      <c r="E69" s="16">
        <v>188819</v>
      </c>
      <c r="F69" s="16">
        <v>174447</v>
      </c>
      <c r="G69" s="16">
        <v>174447</v>
      </c>
      <c r="H69" s="16">
        <v>174447</v>
      </c>
      <c r="I69" s="16">
        <v>174447</v>
      </c>
      <c r="J69" s="16">
        <v>174447</v>
      </c>
      <c r="K69" s="16">
        <v>174447</v>
      </c>
      <c r="L69" s="16">
        <v>174447</v>
      </c>
      <c r="M69" s="16">
        <v>174447</v>
      </c>
      <c r="N69" s="16">
        <v>174447</v>
      </c>
      <c r="O69" s="16">
        <v>2225264</v>
      </c>
    </row>
    <row r="71" spans="1:15">
      <c r="B71" s="64" t="s">
        <v>468</v>
      </c>
      <c r="C71" s="64">
        <f>+COUNTIF(C5:C68,"&gt;0")</f>
        <v>63</v>
      </c>
      <c r="D71" s="64">
        <f t="shared" ref="D71:N71" si="0">+COUNTIF(D5:D68,"&gt;0")</f>
        <v>57</v>
      </c>
      <c r="E71" s="64">
        <f t="shared" si="0"/>
        <v>47</v>
      </c>
      <c r="F71" s="64">
        <f t="shared" si="0"/>
        <v>44</v>
      </c>
      <c r="G71" s="64">
        <f t="shared" si="0"/>
        <v>44</v>
      </c>
      <c r="H71" s="64">
        <f t="shared" si="0"/>
        <v>44</v>
      </c>
      <c r="I71" s="64">
        <f t="shared" si="0"/>
        <v>44</v>
      </c>
      <c r="J71" s="64">
        <f t="shared" si="0"/>
        <v>44</v>
      </c>
      <c r="K71" s="64">
        <f t="shared" si="0"/>
        <v>44</v>
      </c>
      <c r="L71" s="64">
        <f t="shared" si="0"/>
        <v>44</v>
      </c>
      <c r="M71" s="64">
        <f t="shared" si="0"/>
        <v>44</v>
      </c>
      <c r="N71" s="64">
        <f t="shared" si="0"/>
        <v>44</v>
      </c>
    </row>
    <row r="74" spans="1:15">
      <c r="C74" s="19">
        <v>46023</v>
      </c>
      <c r="D74" s="19">
        <v>46054</v>
      </c>
      <c r="E74" s="19">
        <v>46082</v>
      </c>
      <c r="F74" s="19">
        <v>46113</v>
      </c>
      <c r="G74" s="19">
        <v>46143</v>
      </c>
      <c r="H74" s="19">
        <v>46174</v>
      </c>
      <c r="I74" s="19">
        <v>46204</v>
      </c>
      <c r="J74" s="19">
        <v>46235</v>
      </c>
      <c r="K74" s="19">
        <v>46266</v>
      </c>
      <c r="L74" s="19">
        <v>46296</v>
      </c>
      <c r="M74" s="19">
        <v>46327</v>
      </c>
      <c r="N74" s="19">
        <v>46357</v>
      </c>
    </row>
    <row r="75" spans="1:15">
      <c r="B75" t="s">
        <v>133</v>
      </c>
      <c r="C75">
        <f t="shared" ref="C75:N76" si="1">+COUNTIFS($A:$A,$B75,C:C,"&gt;0")</f>
        <v>45</v>
      </c>
      <c r="D75">
        <f t="shared" si="1"/>
        <v>39</v>
      </c>
      <c r="E75">
        <f t="shared" si="1"/>
        <v>30</v>
      </c>
      <c r="F75">
        <f t="shared" si="1"/>
        <v>29</v>
      </c>
      <c r="G75">
        <f t="shared" si="1"/>
        <v>29</v>
      </c>
      <c r="H75">
        <f t="shared" si="1"/>
        <v>29</v>
      </c>
      <c r="I75">
        <f t="shared" si="1"/>
        <v>29</v>
      </c>
      <c r="J75">
        <f t="shared" si="1"/>
        <v>29</v>
      </c>
      <c r="K75">
        <f t="shared" si="1"/>
        <v>29</v>
      </c>
      <c r="L75">
        <f t="shared" si="1"/>
        <v>29</v>
      </c>
      <c r="M75">
        <f t="shared" si="1"/>
        <v>29</v>
      </c>
      <c r="N75">
        <f t="shared" si="1"/>
        <v>29</v>
      </c>
    </row>
    <row r="76" spans="1:15">
      <c r="B76" t="s">
        <v>135</v>
      </c>
      <c r="C76">
        <f t="shared" si="1"/>
        <v>18</v>
      </c>
      <c r="D76">
        <f t="shared" si="1"/>
        <v>18</v>
      </c>
      <c r="E76">
        <f t="shared" si="1"/>
        <v>17</v>
      </c>
      <c r="F76">
        <f t="shared" si="1"/>
        <v>15</v>
      </c>
      <c r="G76">
        <f t="shared" si="1"/>
        <v>15</v>
      </c>
      <c r="H76">
        <f t="shared" si="1"/>
        <v>15</v>
      </c>
      <c r="I76">
        <f t="shared" si="1"/>
        <v>15</v>
      </c>
      <c r="J76">
        <f t="shared" si="1"/>
        <v>15</v>
      </c>
      <c r="K76">
        <f t="shared" si="1"/>
        <v>15</v>
      </c>
      <c r="L76">
        <f t="shared" si="1"/>
        <v>15</v>
      </c>
      <c r="M76">
        <f t="shared" si="1"/>
        <v>15</v>
      </c>
      <c r="N76">
        <f t="shared" si="1"/>
        <v>15</v>
      </c>
    </row>
    <row r="77" spans="1:15">
      <c r="C77" s="64">
        <f>SUM(C75:C76)</f>
        <v>63</v>
      </c>
      <c r="D77" s="64">
        <f t="shared" ref="D77:N77" si="2">SUM(D75:D76)</f>
        <v>57</v>
      </c>
      <c r="E77" s="64">
        <f t="shared" si="2"/>
        <v>47</v>
      </c>
      <c r="F77" s="64">
        <f t="shared" si="2"/>
        <v>44</v>
      </c>
      <c r="G77" s="64">
        <f t="shared" si="2"/>
        <v>44</v>
      </c>
      <c r="H77" s="64">
        <f t="shared" si="2"/>
        <v>44</v>
      </c>
      <c r="I77" s="64">
        <f t="shared" si="2"/>
        <v>44</v>
      </c>
      <c r="J77" s="64">
        <f t="shared" si="2"/>
        <v>44</v>
      </c>
      <c r="K77" s="64">
        <f t="shared" si="2"/>
        <v>44</v>
      </c>
      <c r="L77" s="64">
        <f t="shared" si="2"/>
        <v>44</v>
      </c>
      <c r="M77" s="64">
        <f t="shared" si="2"/>
        <v>44</v>
      </c>
      <c r="N77" s="64">
        <f t="shared" si="2"/>
        <v>44</v>
      </c>
    </row>
    <row r="78" spans="1:15">
      <c r="C78" t="b">
        <f>+C71=C77</f>
        <v>1</v>
      </c>
      <c r="D78" t="b">
        <f t="shared" ref="D78:N78" si="3">+D71=D77</f>
        <v>1</v>
      </c>
      <c r="E78" t="b">
        <f t="shared" si="3"/>
        <v>1</v>
      </c>
      <c r="F78" t="b">
        <f t="shared" si="3"/>
        <v>1</v>
      </c>
      <c r="G78" t="b">
        <f t="shared" si="3"/>
        <v>1</v>
      </c>
      <c r="H78" t="b">
        <f t="shared" si="3"/>
        <v>1</v>
      </c>
      <c r="I78" t="b">
        <f t="shared" si="3"/>
        <v>1</v>
      </c>
      <c r="J78" t="b">
        <f t="shared" si="3"/>
        <v>1</v>
      </c>
      <c r="K78" t="b">
        <f t="shared" si="3"/>
        <v>1</v>
      </c>
      <c r="L78" t="b">
        <f t="shared" si="3"/>
        <v>1</v>
      </c>
      <c r="M78" t="b">
        <f t="shared" si="3"/>
        <v>1</v>
      </c>
      <c r="N78" t="b">
        <f t="shared" si="3"/>
        <v>1</v>
      </c>
    </row>
    <row r="80" spans="1:15">
      <c r="E80">
        <f>+COUNTIF(E5:E68,"&gt;0")</f>
        <v>47</v>
      </c>
    </row>
  </sheetData>
  <conditionalFormatting sqref="C78:N78">
    <cfRule type="containsText" dxfId="1" priority="2" operator="containsText" text="VERDADERO">
      <formula>NOT(ISERROR(SEARCH("VERDADERO",C78)))</formula>
    </cfRule>
  </conditionalFormatting>
  <conditionalFormatting pivot="1" sqref="C5:N68">
    <cfRule type="cellIs" dxfId="0" priority="1" operator="equal">
      <formula>0</formula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5D9C87-8730-4BC9-AEC1-734F5AB311E4}">
  <dimension ref="A1:X14"/>
  <sheetViews>
    <sheetView zoomScale="70" zoomScaleNormal="70" workbookViewId="0">
      <selection activeCell="S25" sqref="S25"/>
    </sheetView>
  </sheetViews>
  <sheetFormatPr defaultColWidth="11.42578125" defaultRowHeight="14.45"/>
  <cols>
    <col min="15" max="15" width="12.7109375" bestFit="1" customWidth="1"/>
  </cols>
  <sheetData>
    <row r="1" spans="1:24">
      <c r="A1" t="s">
        <v>85</v>
      </c>
      <c r="B1" t="s">
        <v>688</v>
      </c>
      <c r="C1" t="s">
        <v>689</v>
      </c>
      <c r="D1" t="s">
        <v>690</v>
      </c>
      <c r="E1" t="s">
        <v>691</v>
      </c>
      <c r="F1" t="s">
        <v>692</v>
      </c>
      <c r="G1" t="s">
        <v>693</v>
      </c>
      <c r="H1" t="s">
        <v>694</v>
      </c>
      <c r="I1" t="s">
        <v>695</v>
      </c>
      <c r="K1" t="s">
        <v>85</v>
      </c>
      <c r="L1" s="65">
        <v>46023</v>
      </c>
      <c r="M1" s="65">
        <v>46054</v>
      </c>
      <c r="N1" s="65">
        <v>46082</v>
      </c>
      <c r="O1" s="65">
        <v>46113</v>
      </c>
      <c r="P1" s="65">
        <v>46143</v>
      </c>
      <c r="Q1" s="65">
        <v>46174</v>
      </c>
      <c r="R1" s="65">
        <v>46204</v>
      </c>
      <c r="S1" s="65">
        <v>46235</v>
      </c>
      <c r="T1" s="65">
        <v>46266</v>
      </c>
      <c r="U1" s="65">
        <v>46296</v>
      </c>
      <c r="V1" s="65">
        <v>46327</v>
      </c>
      <c r="W1" s="65">
        <v>46357</v>
      </c>
    </row>
    <row r="2" spans="1:24">
      <c r="A2" s="65">
        <v>46023</v>
      </c>
      <c r="B2" s="16">
        <v>45</v>
      </c>
      <c r="C2" s="16">
        <v>18</v>
      </c>
      <c r="D2" s="16">
        <v>174</v>
      </c>
      <c r="E2" s="16">
        <v>174</v>
      </c>
      <c r="F2" s="16">
        <f>+B2*D2</f>
        <v>7830</v>
      </c>
      <c r="G2" s="16">
        <f>+C2*E2</f>
        <v>3132</v>
      </c>
      <c r="H2" s="16">
        <f>+F2+G2</f>
        <v>10962</v>
      </c>
      <c r="I2" s="16">
        <f>+B2+C2</f>
        <v>63</v>
      </c>
      <c r="K2" t="s">
        <v>688</v>
      </c>
      <c r="L2" s="16">
        <v>45</v>
      </c>
      <c r="M2" s="16">
        <v>39</v>
      </c>
      <c r="N2" s="16">
        <v>30</v>
      </c>
      <c r="O2" s="16">
        <v>29</v>
      </c>
      <c r="P2" s="16">
        <v>29</v>
      </c>
      <c r="Q2" s="16">
        <v>29</v>
      </c>
      <c r="R2" s="16">
        <v>29</v>
      </c>
      <c r="S2" s="16">
        <v>29</v>
      </c>
      <c r="T2" s="16">
        <v>29</v>
      </c>
      <c r="U2" s="16">
        <v>29</v>
      </c>
      <c r="V2" s="16">
        <v>29</v>
      </c>
      <c r="W2" s="16">
        <v>29</v>
      </c>
      <c r="X2" s="16">
        <f>+AVERAGE(L2:W2)</f>
        <v>31.25</v>
      </c>
    </row>
    <row r="3" spans="1:24">
      <c r="A3" s="65">
        <v>46054</v>
      </c>
      <c r="B3" s="16">
        <v>39</v>
      </c>
      <c r="C3" s="16">
        <v>18</v>
      </c>
      <c r="D3" s="16">
        <v>168</v>
      </c>
      <c r="E3" s="16">
        <v>168</v>
      </c>
      <c r="F3" s="16">
        <f t="shared" ref="F3:F13" si="0">+B3*D3</f>
        <v>6552</v>
      </c>
      <c r="G3" s="16">
        <f t="shared" ref="G3:G13" si="1">+C3*E3</f>
        <v>3024</v>
      </c>
      <c r="H3" s="16">
        <f t="shared" ref="H3:H13" si="2">+F3+G3</f>
        <v>9576</v>
      </c>
      <c r="I3" s="16">
        <f t="shared" ref="I3:I13" si="3">+B3+C3</f>
        <v>57</v>
      </c>
      <c r="K3" t="s">
        <v>689</v>
      </c>
      <c r="L3" s="16">
        <v>18</v>
      </c>
      <c r="M3" s="16">
        <v>18</v>
      </c>
      <c r="N3" s="16">
        <v>17</v>
      </c>
      <c r="O3" s="16">
        <v>15</v>
      </c>
      <c r="P3" s="66">
        <v>15</v>
      </c>
      <c r="Q3" s="16">
        <v>15</v>
      </c>
      <c r="R3" s="16">
        <v>15</v>
      </c>
      <c r="S3" s="16">
        <v>15</v>
      </c>
      <c r="T3" s="16">
        <v>15</v>
      </c>
      <c r="U3" s="16">
        <v>15</v>
      </c>
      <c r="V3" s="16">
        <v>15</v>
      </c>
      <c r="W3" s="16">
        <v>15</v>
      </c>
      <c r="X3" s="16">
        <f t="shared" ref="X3:X4" si="4">+AVERAGE(L3:W3)</f>
        <v>15.666666666666666</v>
      </c>
    </row>
    <row r="4" spans="1:24">
      <c r="A4" s="65">
        <v>46082</v>
      </c>
      <c r="B4" s="16">
        <v>30</v>
      </c>
      <c r="C4" s="16">
        <v>17</v>
      </c>
      <c r="D4" s="16">
        <v>186</v>
      </c>
      <c r="E4" s="16">
        <v>186</v>
      </c>
      <c r="F4" s="16">
        <f t="shared" si="0"/>
        <v>5580</v>
      </c>
      <c r="G4" s="16">
        <f t="shared" si="1"/>
        <v>3162</v>
      </c>
      <c r="H4" s="16">
        <f t="shared" si="2"/>
        <v>8742</v>
      </c>
      <c r="I4" s="16">
        <f t="shared" si="3"/>
        <v>47</v>
      </c>
      <c r="K4" t="s">
        <v>696</v>
      </c>
      <c r="L4" s="16">
        <f>+L2+L3</f>
        <v>63</v>
      </c>
      <c r="M4" s="16">
        <f t="shared" ref="M4:W4" si="5">+M2+M3</f>
        <v>57</v>
      </c>
      <c r="N4" s="16">
        <f t="shared" si="5"/>
        <v>47</v>
      </c>
      <c r="O4" s="16">
        <f t="shared" si="5"/>
        <v>44</v>
      </c>
      <c r="P4" s="16">
        <f t="shared" si="5"/>
        <v>44</v>
      </c>
      <c r="Q4" s="16">
        <f t="shared" si="5"/>
        <v>44</v>
      </c>
      <c r="R4" s="16">
        <f t="shared" si="5"/>
        <v>44</v>
      </c>
      <c r="S4" s="16">
        <f t="shared" si="5"/>
        <v>44</v>
      </c>
      <c r="T4" s="16">
        <f t="shared" si="5"/>
        <v>44</v>
      </c>
      <c r="U4" s="16">
        <f t="shared" si="5"/>
        <v>44</v>
      </c>
      <c r="V4" s="16">
        <f t="shared" si="5"/>
        <v>44</v>
      </c>
      <c r="W4" s="16">
        <f t="shared" si="5"/>
        <v>44</v>
      </c>
      <c r="X4" s="16">
        <f t="shared" si="4"/>
        <v>46.916666666666664</v>
      </c>
    </row>
    <row r="5" spans="1:24">
      <c r="A5" s="65">
        <v>46113</v>
      </c>
      <c r="B5" s="16">
        <v>29</v>
      </c>
      <c r="C5" s="16">
        <v>15</v>
      </c>
      <c r="D5" s="16">
        <v>171</v>
      </c>
      <c r="E5" s="16">
        <v>171</v>
      </c>
      <c r="F5" s="16">
        <f t="shared" si="0"/>
        <v>4959</v>
      </c>
      <c r="G5" s="16">
        <f t="shared" si="1"/>
        <v>2565</v>
      </c>
      <c r="H5" s="16">
        <f t="shared" si="2"/>
        <v>7524</v>
      </c>
      <c r="I5" s="16">
        <f t="shared" si="3"/>
        <v>44</v>
      </c>
      <c r="K5" t="s">
        <v>697</v>
      </c>
      <c r="L5">
        <f>7920/132</f>
        <v>60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</row>
    <row r="6" spans="1:24">
      <c r="A6" s="65">
        <v>46143</v>
      </c>
      <c r="B6" s="16">
        <v>29</v>
      </c>
      <c r="C6" s="66">
        <v>15</v>
      </c>
      <c r="D6" s="16">
        <v>159</v>
      </c>
      <c r="E6" s="16">
        <v>162</v>
      </c>
      <c r="F6" s="16">
        <f t="shared" si="0"/>
        <v>4611</v>
      </c>
      <c r="G6" s="66">
        <f t="shared" si="1"/>
        <v>2430</v>
      </c>
      <c r="H6" s="16">
        <f t="shared" si="2"/>
        <v>7041</v>
      </c>
      <c r="I6" s="16">
        <f t="shared" si="3"/>
        <v>44</v>
      </c>
      <c r="O6" s="16"/>
    </row>
    <row r="7" spans="1:24">
      <c r="A7" s="65">
        <v>46174</v>
      </c>
      <c r="B7" s="16">
        <v>29</v>
      </c>
      <c r="C7" s="16">
        <v>15</v>
      </c>
      <c r="D7" s="16">
        <v>186</v>
      </c>
      <c r="E7" s="16">
        <v>177</v>
      </c>
      <c r="F7" s="16">
        <f t="shared" si="0"/>
        <v>5394</v>
      </c>
      <c r="G7" s="16">
        <f t="shared" si="1"/>
        <v>2655</v>
      </c>
      <c r="H7" s="16">
        <f t="shared" si="2"/>
        <v>8049</v>
      </c>
      <c r="I7" s="16">
        <f t="shared" si="3"/>
        <v>44</v>
      </c>
      <c r="O7" s="55"/>
    </row>
    <row r="8" spans="1:24">
      <c r="A8" s="65">
        <v>46204</v>
      </c>
      <c r="B8" s="16">
        <v>29</v>
      </c>
      <c r="C8" s="16">
        <v>15</v>
      </c>
      <c r="D8" s="16">
        <v>183</v>
      </c>
      <c r="E8" s="16">
        <v>174</v>
      </c>
      <c r="F8" s="16">
        <f t="shared" si="0"/>
        <v>5307</v>
      </c>
      <c r="G8" s="16">
        <f t="shared" si="1"/>
        <v>2610</v>
      </c>
      <c r="H8" s="16">
        <f t="shared" si="2"/>
        <v>7917</v>
      </c>
      <c r="I8" s="16">
        <f t="shared" si="3"/>
        <v>44</v>
      </c>
    </row>
    <row r="9" spans="1:24">
      <c r="A9" s="65">
        <v>46235</v>
      </c>
      <c r="B9" s="16">
        <v>29</v>
      </c>
      <c r="C9" s="16">
        <v>15</v>
      </c>
      <c r="D9" s="16">
        <v>177</v>
      </c>
      <c r="E9" s="16">
        <v>177</v>
      </c>
      <c r="F9" s="16">
        <f t="shared" si="0"/>
        <v>5133</v>
      </c>
      <c r="G9" s="16">
        <f t="shared" si="1"/>
        <v>2655</v>
      </c>
      <c r="H9" s="16">
        <f t="shared" si="2"/>
        <v>7788</v>
      </c>
      <c r="I9" s="16">
        <f t="shared" si="3"/>
        <v>44</v>
      </c>
    </row>
    <row r="10" spans="1:24">
      <c r="A10" s="65">
        <v>46266</v>
      </c>
      <c r="B10" s="16">
        <v>29</v>
      </c>
      <c r="C10" s="16">
        <v>15</v>
      </c>
      <c r="D10" s="16">
        <v>171</v>
      </c>
      <c r="E10" s="16">
        <v>186</v>
      </c>
      <c r="F10" s="16">
        <f t="shared" si="0"/>
        <v>4959</v>
      </c>
      <c r="G10" s="16">
        <f t="shared" si="1"/>
        <v>2790</v>
      </c>
      <c r="H10" s="16">
        <f t="shared" si="2"/>
        <v>7749</v>
      </c>
      <c r="I10" s="16">
        <f t="shared" si="3"/>
        <v>44</v>
      </c>
    </row>
    <row r="11" spans="1:24">
      <c r="A11" s="65">
        <v>46296</v>
      </c>
      <c r="B11" s="16">
        <v>29</v>
      </c>
      <c r="C11" s="16">
        <v>15</v>
      </c>
      <c r="D11" s="16">
        <v>174</v>
      </c>
      <c r="E11" s="16">
        <v>174</v>
      </c>
      <c r="F11" s="16">
        <f t="shared" si="0"/>
        <v>5046</v>
      </c>
      <c r="G11" s="16">
        <f t="shared" si="1"/>
        <v>2610</v>
      </c>
      <c r="H11" s="16">
        <f t="shared" si="2"/>
        <v>7656</v>
      </c>
      <c r="I11" s="16">
        <f t="shared" si="3"/>
        <v>44</v>
      </c>
    </row>
    <row r="12" spans="1:24">
      <c r="A12" s="65">
        <v>46327</v>
      </c>
      <c r="B12" s="16">
        <v>29</v>
      </c>
      <c r="C12" s="16">
        <v>15</v>
      </c>
      <c r="D12" s="16">
        <v>177</v>
      </c>
      <c r="E12" s="16">
        <v>177</v>
      </c>
      <c r="F12" s="16">
        <f t="shared" si="0"/>
        <v>5133</v>
      </c>
      <c r="G12" s="16">
        <f t="shared" si="1"/>
        <v>2655</v>
      </c>
      <c r="H12" s="16">
        <f t="shared" si="2"/>
        <v>7788</v>
      </c>
      <c r="I12" s="16">
        <f t="shared" si="3"/>
        <v>44</v>
      </c>
    </row>
    <row r="13" spans="1:24">
      <c r="A13" s="65">
        <v>46357</v>
      </c>
      <c r="B13" s="16">
        <v>29</v>
      </c>
      <c r="C13" s="16">
        <v>15</v>
      </c>
      <c r="D13" s="16">
        <v>180</v>
      </c>
      <c r="E13" s="16">
        <v>180</v>
      </c>
      <c r="F13" s="16">
        <f t="shared" si="0"/>
        <v>5220</v>
      </c>
      <c r="G13" s="16">
        <f t="shared" si="1"/>
        <v>2700</v>
      </c>
      <c r="H13" s="16">
        <f t="shared" si="2"/>
        <v>7920</v>
      </c>
      <c r="I13" s="16">
        <f t="shared" si="3"/>
        <v>44</v>
      </c>
    </row>
    <row r="14" spans="1:24">
      <c r="A14" t="s">
        <v>698</v>
      </c>
      <c r="B14" s="16"/>
      <c r="C14" s="16"/>
      <c r="D14" s="16"/>
      <c r="E14" s="16"/>
      <c r="F14" s="16">
        <f>SUM(F2:F13)</f>
        <v>65724</v>
      </c>
      <c r="G14" s="66">
        <f>SUM(G2:G13)</f>
        <v>32988</v>
      </c>
      <c r="H14" s="66">
        <f>SUM(H2:H13)</f>
        <v>98712</v>
      </c>
      <c r="I14" s="16">
        <f>+AVERAGE(I2:I13)</f>
        <v>46.916666666666664</v>
      </c>
    </row>
  </sheetData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972961-E787-444C-8824-54E7A5AFD8AA}">
  <dimension ref="A1:U12"/>
  <sheetViews>
    <sheetView workbookViewId="0">
      <selection activeCell="S23" sqref="S23"/>
    </sheetView>
  </sheetViews>
  <sheetFormatPr defaultColWidth="11.42578125" defaultRowHeight="14.45"/>
  <cols>
    <col min="2" max="2" width="12" bestFit="1" customWidth="1"/>
  </cols>
  <sheetData>
    <row r="1" spans="1:21">
      <c r="B1" s="65">
        <v>46023</v>
      </c>
      <c r="C1" s="65">
        <v>46054</v>
      </c>
      <c r="D1" s="65">
        <v>46082</v>
      </c>
      <c r="E1" s="65">
        <v>46113</v>
      </c>
      <c r="F1" s="65">
        <v>46143</v>
      </c>
      <c r="G1" s="65">
        <v>46174</v>
      </c>
      <c r="H1" s="65">
        <v>46204</v>
      </c>
      <c r="I1" s="65">
        <v>46235</v>
      </c>
      <c r="J1" s="65">
        <v>46266</v>
      </c>
      <c r="K1" s="65">
        <v>46296</v>
      </c>
      <c r="L1" s="65">
        <v>46327</v>
      </c>
      <c r="M1" s="65">
        <v>46357</v>
      </c>
    </row>
    <row r="2" spans="1:21">
      <c r="A2" t="s">
        <v>699</v>
      </c>
      <c r="B2" s="16">
        <v>1648.8062267823732</v>
      </c>
      <c r="C2" s="16">
        <v>896.55735628207128</v>
      </c>
      <c r="D2" s="16">
        <v>1394.8275033925872</v>
      </c>
      <c r="E2" s="16">
        <v>1366.0311621247306</v>
      </c>
      <c r="F2" s="16">
        <v>1216.5183296014416</v>
      </c>
      <c r="G2" s="16">
        <v>984.76061377292569</v>
      </c>
      <c r="H2" s="16">
        <v>981.68674694041169</v>
      </c>
      <c r="I2" s="16">
        <v>964.06195322703866</v>
      </c>
      <c r="J2" s="16">
        <v>964.06195322703866</v>
      </c>
      <c r="K2" s="16">
        <v>954.25550161413548</v>
      </c>
      <c r="L2" s="16">
        <v>915.76672663200202</v>
      </c>
      <c r="M2" s="16">
        <v>915.76672663200202</v>
      </c>
      <c r="N2" s="16">
        <f>SUM(B2:M2)</f>
        <v>13203.10080022876</v>
      </c>
      <c r="R2" t="s">
        <v>700</v>
      </c>
      <c r="S2" t="s">
        <v>701</v>
      </c>
      <c r="T2" t="s">
        <v>702</v>
      </c>
      <c r="U2" t="s">
        <v>703</v>
      </c>
    </row>
    <row r="3" spans="1:21">
      <c r="A3" t="s">
        <v>704</v>
      </c>
      <c r="B3" s="16">
        <v>903.92499999999995</v>
      </c>
      <c r="C3" s="16">
        <v>760.89499999999998</v>
      </c>
      <c r="D3" s="16">
        <v>590.86500000000001</v>
      </c>
      <c r="E3" s="16">
        <v>570.79399999999998</v>
      </c>
      <c r="F3" s="16">
        <v>574.12199999999996</v>
      </c>
      <c r="G3" s="16">
        <v>607.71699999999998</v>
      </c>
      <c r="H3" s="16">
        <v>570.93499999999995</v>
      </c>
      <c r="I3" s="16">
        <v>586.31600000000003</v>
      </c>
      <c r="J3" s="16">
        <v>605.303</v>
      </c>
      <c r="K3" s="16">
        <v>568.61300000000006</v>
      </c>
      <c r="L3" s="16">
        <v>607.20799999999997</v>
      </c>
      <c r="M3" s="16">
        <v>698.18100000000004</v>
      </c>
      <c r="N3" s="16">
        <f>SUM(B3:M3)</f>
        <v>7644.8739999999998</v>
      </c>
      <c r="O3">
        <v>1000</v>
      </c>
      <c r="Q3" t="s">
        <v>705</v>
      </c>
      <c r="R3" s="16">
        <f>+N6</f>
        <v>10893.774301300742</v>
      </c>
      <c r="S3" s="16">
        <f>+N7</f>
        <v>6594.442</v>
      </c>
      <c r="T3" s="16">
        <f>+R3-S3</f>
        <v>4299.3323013007421</v>
      </c>
      <c r="U3" s="55">
        <f>+T3/R3</f>
        <v>0.39465957182419242</v>
      </c>
    </row>
    <row r="4" spans="1:21">
      <c r="A4" s="1" t="s">
        <v>706</v>
      </c>
      <c r="B4" s="18">
        <f>+B2-B3</f>
        <v>744.88122678237323</v>
      </c>
      <c r="C4" s="18">
        <f t="shared" ref="C4:M4" si="0">+C2-C3</f>
        <v>135.6623562820713</v>
      </c>
      <c r="D4" s="18">
        <f t="shared" si="0"/>
        <v>803.96250339258722</v>
      </c>
      <c r="E4" s="18">
        <f t="shared" si="0"/>
        <v>795.23716212473062</v>
      </c>
      <c r="F4" s="18">
        <f t="shared" si="0"/>
        <v>642.39632960144161</v>
      </c>
      <c r="G4" s="18">
        <f t="shared" si="0"/>
        <v>377.04361377292571</v>
      </c>
      <c r="H4" s="18">
        <f t="shared" si="0"/>
        <v>410.75174694041175</v>
      </c>
      <c r="I4" s="18">
        <f t="shared" si="0"/>
        <v>377.74595322703863</v>
      </c>
      <c r="J4" s="18">
        <f t="shared" si="0"/>
        <v>358.75895322703866</v>
      </c>
      <c r="K4" s="18">
        <f t="shared" si="0"/>
        <v>385.64250161413543</v>
      </c>
      <c r="L4" s="18">
        <f t="shared" si="0"/>
        <v>308.55872663200205</v>
      </c>
      <c r="M4" s="18">
        <f t="shared" si="0"/>
        <v>217.58572663200198</v>
      </c>
      <c r="N4" s="18">
        <f>SUM(B4:M4)</f>
        <v>5558.2268002287583</v>
      </c>
      <c r="O4" s="72">
        <f>+N4/N2</f>
        <v>0.4209788961190431</v>
      </c>
      <c r="Q4" t="s">
        <v>707</v>
      </c>
      <c r="R4" s="16">
        <f>+N2</f>
        <v>13203.10080022876</v>
      </c>
      <c r="S4" s="16">
        <f>+N3</f>
        <v>7644.8739999999998</v>
      </c>
      <c r="T4" s="16">
        <f>+R4-S4</f>
        <v>5558.2268002287601</v>
      </c>
      <c r="U4" s="55">
        <f>+T4/R4</f>
        <v>0.42097889611904327</v>
      </c>
    </row>
    <row r="5" spans="1:21">
      <c r="Q5" t="s">
        <v>708</v>
      </c>
      <c r="R5" s="16">
        <f>+R4-R3</f>
        <v>2309.3264989280178</v>
      </c>
      <c r="S5" s="16">
        <f t="shared" ref="S5:U5" si="1">+S4-S3</f>
        <v>1050.4319999999998</v>
      </c>
      <c r="T5" s="16">
        <f t="shared" si="1"/>
        <v>1258.894498928018</v>
      </c>
      <c r="U5" s="55">
        <f t="shared" si="1"/>
        <v>2.6319324294850843E-2</v>
      </c>
    </row>
    <row r="6" spans="1:21">
      <c r="A6" t="s">
        <v>709</v>
      </c>
      <c r="B6" s="16">
        <f>'[1]EC___Tipo de Estudio'!E135</f>
        <v>1648.8062267823732</v>
      </c>
      <c r="C6" s="16">
        <f>'[1]EC___Tipo de Estudio'!F135</f>
        <v>896.55735628207128</v>
      </c>
      <c r="D6" s="16">
        <f>'[1]EC___Tipo de Estudio'!G135</f>
        <v>1317.8499534283201</v>
      </c>
      <c r="E6" s="16">
        <f>'[1]EC___Tipo de Estudio'!H135</f>
        <v>1019.6321872855281</v>
      </c>
      <c r="F6" s="16">
        <f>'[1]EC___Tipo de Estudio'!I135</f>
        <v>908.60812974437249</v>
      </c>
      <c r="G6" s="16">
        <f>'[1]EC___Tipo de Estudio'!J135</f>
        <v>773.07235137119085</v>
      </c>
      <c r="H6" s="16">
        <f>'[1]EC___Tipo de Estudio'!K135</f>
        <v>750.75409704760989</v>
      </c>
      <c r="I6" s="16">
        <f>'[1]EC___Tipo de Estudio'!L135</f>
        <v>713.88491584317023</v>
      </c>
      <c r="J6" s="16">
        <f>'[1]EC___Tipo de Estudio'!M135</f>
        <v>713.88491584317023</v>
      </c>
      <c r="K6" s="16">
        <f>'[1]EC___Tipo de Estudio'!N135</f>
        <v>742.56723921240064</v>
      </c>
      <c r="L6" s="16">
        <f>'[1]EC___Tipo de Estudio'!O135</f>
        <v>704.07846423026706</v>
      </c>
      <c r="M6" s="16">
        <f>'[1]EC___Tipo de Estudio'!P135</f>
        <v>704.07846423026706</v>
      </c>
      <c r="N6" s="16">
        <f>SUM(B6:M6)</f>
        <v>10893.774301300742</v>
      </c>
      <c r="Q6" t="s">
        <v>710</v>
      </c>
      <c r="R6" s="55">
        <f>+R5/R3</f>
        <v>0.21198589534320339</v>
      </c>
      <c r="S6" s="55">
        <f t="shared" ref="S6:U6" si="2">+S5/S3</f>
        <v>0.15929050554997676</v>
      </c>
      <c r="T6" s="55">
        <f t="shared" si="2"/>
        <v>0.29281162997034343</v>
      </c>
      <c r="U6" s="55">
        <f t="shared" si="2"/>
        <v>6.6688675947216655E-2</v>
      </c>
    </row>
    <row r="7" spans="1:21">
      <c r="A7" t="s">
        <v>711</v>
      </c>
      <c r="B7" s="16">
        <v>752.58900000000006</v>
      </c>
      <c r="C7" s="16">
        <v>754.55899999999997</v>
      </c>
      <c r="D7" s="16">
        <v>576.029</v>
      </c>
      <c r="E7" s="16">
        <v>485.358</v>
      </c>
      <c r="F7" s="16">
        <v>488.68599999999998</v>
      </c>
      <c r="G7" s="16">
        <v>522.28099999999995</v>
      </c>
      <c r="H7" s="16">
        <v>485.49900000000002</v>
      </c>
      <c r="I7" s="16">
        <v>496.38</v>
      </c>
      <c r="J7" s="16">
        <v>515.36699999999996</v>
      </c>
      <c r="K7" s="16">
        <v>483.17700000000002</v>
      </c>
      <c r="L7" s="16">
        <v>521.77200000000005</v>
      </c>
      <c r="M7" s="16">
        <v>512.745</v>
      </c>
      <c r="N7" s="16">
        <f>SUM(B7:M7)</f>
        <v>6594.442</v>
      </c>
    </row>
    <row r="8" spans="1:21">
      <c r="A8" s="1" t="s">
        <v>712</v>
      </c>
      <c r="B8" s="18">
        <f>+B6-B7</f>
        <v>896.21722678237313</v>
      </c>
      <c r="C8" s="18">
        <f t="shared" ref="C8:M8" si="3">+C6-C7</f>
        <v>141.99835628207131</v>
      </c>
      <c r="D8" s="18">
        <f t="shared" si="3"/>
        <v>741.82095342832008</v>
      </c>
      <c r="E8" s="18">
        <f t="shared" si="3"/>
        <v>534.27418728552811</v>
      </c>
      <c r="F8" s="18">
        <f t="shared" si="3"/>
        <v>419.92212974437251</v>
      </c>
      <c r="G8" s="18">
        <f t="shared" si="3"/>
        <v>250.7913513711909</v>
      </c>
      <c r="H8" s="18">
        <f t="shared" si="3"/>
        <v>265.25509704760987</v>
      </c>
      <c r="I8" s="18">
        <f t="shared" si="3"/>
        <v>217.50491584317024</v>
      </c>
      <c r="J8" s="18">
        <f t="shared" si="3"/>
        <v>198.51791584317027</v>
      </c>
      <c r="K8" s="18">
        <f t="shared" si="3"/>
        <v>259.39023921240062</v>
      </c>
      <c r="L8" s="18">
        <f t="shared" si="3"/>
        <v>182.30646423026701</v>
      </c>
      <c r="M8" s="18">
        <f t="shared" si="3"/>
        <v>191.33346423026705</v>
      </c>
      <c r="N8" s="18">
        <f>SUM(B8:M8)</f>
        <v>4299.3323013007412</v>
      </c>
      <c r="O8" s="72">
        <f>+N8/N6</f>
        <v>0.39465957182419237</v>
      </c>
    </row>
    <row r="10" spans="1:21">
      <c r="B10" s="65">
        <f>+B1</f>
        <v>46023</v>
      </c>
      <c r="C10" s="65">
        <f t="shared" ref="C10:M10" si="4">+C1</f>
        <v>46054</v>
      </c>
      <c r="D10" s="65">
        <f t="shared" si="4"/>
        <v>46082</v>
      </c>
      <c r="E10" s="65">
        <f t="shared" si="4"/>
        <v>46113</v>
      </c>
      <c r="F10" s="65">
        <f t="shared" si="4"/>
        <v>46143</v>
      </c>
      <c r="G10" s="65">
        <f t="shared" si="4"/>
        <v>46174</v>
      </c>
      <c r="H10" s="65">
        <f t="shared" si="4"/>
        <v>46204</v>
      </c>
      <c r="I10" s="65">
        <f t="shared" si="4"/>
        <v>46235</v>
      </c>
      <c r="J10" s="65">
        <f t="shared" si="4"/>
        <v>46266</v>
      </c>
      <c r="K10" s="65">
        <f t="shared" si="4"/>
        <v>46296</v>
      </c>
      <c r="L10" s="65">
        <f t="shared" si="4"/>
        <v>46327</v>
      </c>
      <c r="M10" s="65">
        <f t="shared" si="4"/>
        <v>46357</v>
      </c>
    </row>
    <row r="11" spans="1:21">
      <c r="A11" t="s">
        <v>705</v>
      </c>
      <c r="B11" s="16">
        <f>+B8</f>
        <v>896.21722678237313</v>
      </c>
      <c r="C11" s="16">
        <f t="shared" ref="C11:M11" si="5">+C8</f>
        <v>141.99835628207131</v>
      </c>
      <c r="D11" s="16">
        <f t="shared" si="5"/>
        <v>741.82095342832008</v>
      </c>
      <c r="E11" s="16">
        <f t="shared" si="5"/>
        <v>534.27418728552811</v>
      </c>
      <c r="F11" s="16">
        <f t="shared" si="5"/>
        <v>419.92212974437251</v>
      </c>
      <c r="G11" s="16">
        <f t="shared" si="5"/>
        <v>250.7913513711909</v>
      </c>
      <c r="H11" s="16">
        <f t="shared" si="5"/>
        <v>265.25509704760987</v>
      </c>
      <c r="I11" s="16">
        <f t="shared" si="5"/>
        <v>217.50491584317024</v>
      </c>
      <c r="J11" s="16">
        <f t="shared" si="5"/>
        <v>198.51791584317027</v>
      </c>
      <c r="K11" s="16">
        <f t="shared" si="5"/>
        <v>259.39023921240062</v>
      </c>
      <c r="L11" s="16">
        <f t="shared" si="5"/>
        <v>182.30646423026701</v>
      </c>
      <c r="M11" s="16">
        <f t="shared" si="5"/>
        <v>191.33346423026705</v>
      </c>
    </row>
    <row r="12" spans="1:21">
      <c r="A12" t="s">
        <v>707</v>
      </c>
      <c r="B12" s="16">
        <f>+B4</f>
        <v>744.88122678237323</v>
      </c>
      <c r="C12" s="16">
        <f t="shared" ref="C12:M12" si="6">+C4</f>
        <v>135.6623562820713</v>
      </c>
      <c r="D12" s="16">
        <f t="shared" si="6"/>
        <v>803.96250339258722</v>
      </c>
      <c r="E12" s="16">
        <f t="shared" si="6"/>
        <v>795.23716212473062</v>
      </c>
      <c r="F12" s="16">
        <f t="shared" si="6"/>
        <v>642.39632960144161</v>
      </c>
      <c r="G12" s="16">
        <f t="shared" si="6"/>
        <v>377.04361377292571</v>
      </c>
      <c r="H12" s="16">
        <f t="shared" si="6"/>
        <v>410.75174694041175</v>
      </c>
      <c r="I12" s="16">
        <f t="shared" si="6"/>
        <v>377.74595322703863</v>
      </c>
      <c r="J12" s="16">
        <f t="shared" si="6"/>
        <v>358.75895322703866</v>
      </c>
      <c r="K12" s="16">
        <f t="shared" si="6"/>
        <v>385.64250161413543</v>
      </c>
      <c r="L12" s="16">
        <f t="shared" si="6"/>
        <v>308.55872663200205</v>
      </c>
      <c r="M12" s="16">
        <f t="shared" si="6"/>
        <v>217.58572663200198</v>
      </c>
    </row>
  </sheetData>
  <pageMargins left="0.7" right="0.7" top="0.75" bottom="0.75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28D0E6-90F3-4B0F-BE7E-EFB530559638}">
  <sheetPr>
    <tabColor rgb="FFFFC000"/>
  </sheetPr>
  <dimension ref="A1:P163"/>
  <sheetViews>
    <sheetView topLeftCell="A51" zoomScaleNormal="100" workbookViewId="0">
      <selection activeCell="P71" sqref="P71"/>
    </sheetView>
  </sheetViews>
  <sheetFormatPr defaultColWidth="11.5703125" defaultRowHeight="12.6" outlineLevelCol="1"/>
  <cols>
    <col min="1" max="1" width="29.28515625" style="35" customWidth="1"/>
    <col min="2" max="2" width="28.85546875" style="35" bestFit="1" customWidth="1"/>
    <col min="3" max="3" width="20.140625" style="35" bestFit="1" customWidth="1"/>
    <col min="4" max="15" width="17.140625" style="35" bestFit="1" customWidth="1" outlineLevel="1"/>
    <col min="16" max="16" width="13.28515625" style="35" bestFit="1" customWidth="1"/>
    <col min="17" max="16384" width="11.5703125" style="35"/>
  </cols>
  <sheetData>
    <row r="1" spans="1:16" ht="14.45">
      <c r="A1"/>
      <c r="B1"/>
    </row>
    <row r="2" spans="1:16" ht="14.45">
      <c r="A2"/>
      <c r="B2"/>
    </row>
    <row r="3" spans="1:16" ht="14.45">
      <c r="A3" s="54" t="s">
        <v>153</v>
      </c>
      <c r="B3" s="35" t="s">
        <v>521</v>
      </c>
      <c r="C3"/>
      <c r="D3"/>
      <c r="E3"/>
      <c r="F3"/>
      <c r="G3"/>
      <c r="H3"/>
      <c r="I3"/>
      <c r="J3"/>
      <c r="K3"/>
      <c r="L3"/>
      <c r="M3"/>
      <c r="N3"/>
      <c r="O3"/>
      <c r="P3"/>
    </row>
    <row r="4" spans="1:16" ht="14.45">
      <c r="A4"/>
      <c r="B4"/>
      <c r="C4"/>
      <c r="D4"/>
      <c r="E4"/>
      <c r="F4"/>
      <c r="G4"/>
      <c r="H4"/>
      <c r="I4"/>
      <c r="J4"/>
      <c r="K4"/>
      <c r="L4"/>
      <c r="M4"/>
      <c r="N4"/>
      <c r="O4"/>
      <c r="P4"/>
    </row>
    <row r="5" spans="1:16">
      <c r="A5" s="54" t="s">
        <v>523</v>
      </c>
      <c r="D5" s="54" t="s">
        <v>522</v>
      </c>
    </row>
    <row r="6" spans="1:16">
      <c r="A6" s="54" t="s">
        <v>209</v>
      </c>
      <c r="B6" s="54" t="s">
        <v>1</v>
      </c>
      <c r="C6" s="54" t="s">
        <v>211</v>
      </c>
      <c r="D6" s="35" t="s">
        <v>558</v>
      </c>
      <c r="E6" s="35" t="s">
        <v>559</v>
      </c>
      <c r="F6" s="35" t="s">
        <v>560</v>
      </c>
      <c r="G6" s="35" t="s">
        <v>561</v>
      </c>
      <c r="H6" s="35" t="s">
        <v>562</v>
      </c>
      <c r="I6" s="35" t="s">
        <v>563</v>
      </c>
      <c r="J6" s="35" t="s">
        <v>564</v>
      </c>
      <c r="K6" s="35" t="s">
        <v>565</v>
      </c>
      <c r="L6" s="35" t="s">
        <v>566</v>
      </c>
      <c r="M6" s="35" t="s">
        <v>567</v>
      </c>
      <c r="N6" s="35" t="s">
        <v>568</v>
      </c>
      <c r="O6" s="35" t="s">
        <v>569</v>
      </c>
      <c r="P6" s="35" t="s">
        <v>520</v>
      </c>
    </row>
    <row r="7" spans="1:16">
      <c r="A7" s="35" t="s">
        <v>242</v>
      </c>
      <c r="B7" s="35" t="s">
        <v>357</v>
      </c>
      <c r="D7" s="36">
        <v>265011</v>
      </c>
      <c r="E7" s="36">
        <v>243305</v>
      </c>
      <c r="F7" s="36">
        <v>214016</v>
      </c>
      <c r="G7" s="36">
        <v>284616</v>
      </c>
      <c r="H7" s="36">
        <v>284616</v>
      </c>
      <c r="I7" s="36">
        <v>284616</v>
      </c>
      <c r="J7" s="36">
        <v>284616</v>
      </c>
      <c r="K7" s="36">
        <v>289116</v>
      </c>
      <c r="L7" s="36">
        <v>289116</v>
      </c>
      <c r="M7" s="36">
        <v>284616</v>
      </c>
      <c r="N7" s="36">
        <v>284616</v>
      </c>
      <c r="O7" s="36">
        <v>284616</v>
      </c>
      <c r="P7" s="36">
        <v>3292876</v>
      </c>
    </row>
    <row r="8" spans="1:16">
      <c r="B8" s="35" t="s">
        <v>68</v>
      </c>
      <c r="D8" s="36">
        <v>19000</v>
      </c>
      <c r="E8" s="36">
        <v>188000</v>
      </c>
      <c r="F8" s="36">
        <v>29000</v>
      </c>
      <c r="G8" s="36">
        <v>11250</v>
      </c>
      <c r="H8" s="36">
        <v>31000</v>
      </c>
      <c r="I8" s="36">
        <v>9500</v>
      </c>
      <c r="J8" s="36">
        <v>22500</v>
      </c>
      <c r="K8" s="36">
        <v>19000</v>
      </c>
      <c r="L8" s="36">
        <v>21000</v>
      </c>
      <c r="M8" s="36">
        <v>9500</v>
      </c>
      <c r="N8" s="36">
        <v>31000</v>
      </c>
      <c r="O8" s="36">
        <v>10500</v>
      </c>
      <c r="P8" s="36">
        <v>401250</v>
      </c>
    </row>
    <row r="9" spans="1:16">
      <c r="B9" s="35" t="s">
        <v>172</v>
      </c>
      <c r="D9" s="36">
        <v>19150</v>
      </c>
      <c r="E9" s="36">
        <v>22650</v>
      </c>
      <c r="F9" s="36">
        <v>12150</v>
      </c>
      <c r="G9" s="36">
        <v>2150</v>
      </c>
      <c r="H9" s="36">
        <v>2150</v>
      </c>
      <c r="I9" s="36">
        <v>2150</v>
      </c>
      <c r="J9" s="36">
        <v>2150</v>
      </c>
      <c r="K9" s="36">
        <v>10150</v>
      </c>
      <c r="L9" s="36">
        <v>2150</v>
      </c>
      <c r="M9" s="36">
        <v>2150</v>
      </c>
      <c r="N9" s="36">
        <v>2150</v>
      </c>
      <c r="O9" s="36">
        <v>2150</v>
      </c>
      <c r="P9" s="36">
        <v>81300</v>
      </c>
    </row>
    <row r="10" spans="1:16">
      <c r="B10" s="35" t="s">
        <v>187</v>
      </c>
      <c r="D10" s="36">
        <v>5000</v>
      </c>
      <c r="E10" s="36">
        <v>5000</v>
      </c>
      <c r="F10" s="36">
        <v>5000</v>
      </c>
      <c r="G10" s="36">
        <v>5000</v>
      </c>
      <c r="H10" s="36">
        <v>5000</v>
      </c>
      <c r="I10" s="36">
        <v>5000</v>
      </c>
      <c r="J10" s="36">
        <v>5000</v>
      </c>
      <c r="K10" s="36">
        <v>5000</v>
      </c>
      <c r="L10" s="36">
        <v>5000</v>
      </c>
      <c r="M10" s="36">
        <v>5000</v>
      </c>
      <c r="N10" s="36">
        <v>5000</v>
      </c>
      <c r="O10" s="36">
        <v>5000</v>
      </c>
      <c r="P10" s="36">
        <v>60000</v>
      </c>
    </row>
    <row r="11" spans="1:16">
      <c r="B11" s="35" t="s">
        <v>62</v>
      </c>
      <c r="D11" s="36">
        <v>2700</v>
      </c>
      <c r="E11" s="36">
        <v>2700</v>
      </c>
      <c r="F11" s="36">
        <v>2700</v>
      </c>
      <c r="G11" s="36">
        <v>2700</v>
      </c>
      <c r="H11" s="36">
        <v>2700</v>
      </c>
      <c r="I11" s="36">
        <v>2700</v>
      </c>
      <c r="J11" s="36">
        <v>2700</v>
      </c>
      <c r="K11" s="36">
        <v>2700</v>
      </c>
      <c r="L11" s="36">
        <v>2700</v>
      </c>
      <c r="M11" s="36">
        <v>2700</v>
      </c>
      <c r="N11" s="36">
        <v>2700</v>
      </c>
      <c r="O11" s="36">
        <v>2700</v>
      </c>
      <c r="P11" s="36">
        <v>32400</v>
      </c>
    </row>
    <row r="12" spans="1:16">
      <c r="B12" s="35" t="s">
        <v>167</v>
      </c>
      <c r="D12" s="36">
        <v>0</v>
      </c>
      <c r="E12" s="36">
        <v>2500</v>
      </c>
      <c r="F12" s="36">
        <v>0</v>
      </c>
      <c r="G12" s="36">
        <v>0</v>
      </c>
      <c r="H12" s="36">
        <v>2500</v>
      </c>
      <c r="I12" s="36">
        <v>0</v>
      </c>
      <c r="J12" s="36">
        <v>0</v>
      </c>
      <c r="K12" s="36">
        <v>2500</v>
      </c>
      <c r="L12" s="36">
        <v>0</v>
      </c>
      <c r="M12" s="36">
        <v>0</v>
      </c>
      <c r="N12" s="36">
        <v>2500</v>
      </c>
      <c r="O12" s="36">
        <v>0</v>
      </c>
      <c r="P12" s="36">
        <v>10000</v>
      </c>
    </row>
    <row r="13" spans="1:16">
      <c r="B13" s="35" t="s">
        <v>47</v>
      </c>
      <c r="D13" s="36">
        <v>0</v>
      </c>
      <c r="E13" s="36">
        <v>3000</v>
      </c>
      <c r="F13" s="36">
        <v>0</v>
      </c>
      <c r="G13" s="36">
        <v>0</v>
      </c>
      <c r="H13" s="36">
        <v>0</v>
      </c>
      <c r="I13" s="36">
        <v>3000</v>
      </c>
      <c r="J13" s="36">
        <v>0</v>
      </c>
      <c r="K13" s="36">
        <v>0</v>
      </c>
      <c r="L13" s="36">
        <v>0</v>
      </c>
      <c r="M13" s="36">
        <v>3000</v>
      </c>
      <c r="N13" s="36">
        <v>0</v>
      </c>
      <c r="O13" s="36">
        <v>0</v>
      </c>
      <c r="P13" s="36">
        <v>9000</v>
      </c>
    </row>
    <row r="14" spans="1:16">
      <c r="B14" s="35" t="s">
        <v>171</v>
      </c>
      <c r="D14" s="36">
        <v>851</v>
      </c>
      <c r="E14" s="36">
        <v>0</v>
      </c>
      <c r="F14" s="36">
        <v>0</v>
      </c>
      <c r="G14" s="36">
        <v>0</v>
      </c>
      <c r="H14" s="36">
        <v>0</v>
      </c>
      <c r="I14" s="36">
        <v>0</v>
      </c>
      <c r="J14" s="36">
        <v>0</v>
      </c>
      <c r="K14" s="36">
        <v>0</v>
      </c>
      <c r="L14" s="36">
        <v>0</v>
      </c>
      <c r="M14" s="36">
        <v>0</v>
      </c>
      <c r="N14" s="36">
        <v>0</v>
      </c>
      <c r="O14" s="36">
        <v>851</v>
      </c>
      <c r="P14" s="36">
        <v>1702</v>
      </c>
    </row>
    <row r="15" spans="1:16">
      <c r="B15" s="35" t="s">
        <v>173</v>
      </c>
      <c r="D15" s="36">
        <v>0</v>
      </c>
      <c r="E15" s="36">
        <v>0</v>
      </c>
      <c r="F15" s="36">
        <v>0</v>
      </c>
      <c r="G15" s="36">
        <v>0</v>
      </c>
      <c r="H15" s="36">
        <v>0</v>
      </c>
      <c r="I15" s="36">
        <v>0</v>
      </c>
      <c r="J15" s="36">
        <v>0</v>
      </c>
      <c r="K15" s="36">
        <v>0</v>
      </c>
      <c r="L15" s="36">
        <v>0</v>
      </c>
      <c r="M15" s="36">
        <v>0</v>
      </c>
      <c r="N15" s="36">
        <v>0</v>
      </c>
      <c r="O15" s="36">
        <v>0</v>
      </c>
      <c r="P15" s="36">
        <v>0</v>
      </c>
    </row>
    <row r="16" spans="1:16">
      <c r="A16" s="35" t="s">
        <v>713</v>
      </c>
      <c r="D16" s="36">
        <v>311712</v>
      </c>
      <c r="E16" s="36">
        <v>467155</v>
      </c>
      <c r="F16" s="36">
        <v>262866</v>
      </c>
      <c r="G16" s="36">
        <v>305716</v>
      </c>
      <c r="H16" s="36">
        <v>327966</v>
      </c>
      <c r="I16" s="36">
        <v>306966</v>
      </c>
      <c r="J16" s="36">
        <v>316966</v>
      </c>
      <c r="K16" s="36">
        <v>328466</v>
      </c>
      <c r="L16" s="36">
        <v>319966</v>
      </c>
      <c r="M16" s="36">
        <v>306966</v>
      </c>
      <c r="N16" s="36">
        <v>327966</v>
      </c>
      <c r="O16" s="36">
        <v>305817</v>
      </c>
      <c r="P16" s="36">
        <v>3888528</v>
      </c>
    </row>
    <row r="17" spans="1:16">
      <c r="A17" s="35" t="s">
        <v>10</v>
      </c>
      <c r="B17" s="35" t="s">
        <v>198</v>
      </c>
      <c r="D17" s="36">
        <v>30000</v>
      </c>
      <c r="E17" s="36">
        <v>30000</v>
      </c>
      <c r="F17" s="36">
        <v>30000</v>
      </c>
      <c r="G17" s="36">
        <v>30000</v>
      </c>
      <c r="H17" s="36">
        <v>30000</v>
      </c>
      <c r="I17" s="36">
        <v>30000</v>
      </c>
      <c r="J17" s="36">
        <v>30000</v>
      </c>
      <c r="K17" s="36">
        <v>30000</v>
      </c>
      <c r="L17" s="36">
        <v>30000</v>
      </c>
      <c r="M17" s="36">
        <v>30000</v>
      </c>
      <c r="N17" s="36">
        <v>30000</v>
      </c>
      <c r="O17" s="36">
        <v>30000</v>
      </c>
      <c r="P17" s="36">
        <v>360000</v>
      </c>
    </row>
    <row r="18" spans="1:16">
      <c r="B18" s="35" t="s">
        <v>357</v>
      </c>
      <c r="D18" s="36">
        <v>19825</v>
      </c>
      <c r="E18" s="36">
        <v>21325</v>
      </c>
      <c r="F18" s="36">
        <v>20325</v>
      </c>
      <c r="G18" s="36">
        <v>20325</v>
      </c>
      <c r="H18" s="36">
        <v>19825</v>
      </c>
      <c r="I18" s="36">
        <v>19825</v>
      </c>
      <c r="J18" s="36">
        <v>19825</v>
      </c>
      <c r="K18" s="36">
        <v>19825</v>
      </c>
      <c r="L18" s="36">
        <v>20025</v>
      </c>
      <c r="M18" s="36">
        <v>21825</v>
      </c>
      <c r="N18" s="36">
        <v>19825</v>
      </c>
      <c r="O18" s="36">
        <v>19825</v>
      </c>
      <c r="P18" s="36">
        <v>242600</v>
      </c>
    </row>
    <row r="19" spans="1:16">
      <c r="B19" s="35" t="s">
        <v>187</v>
      </c>
      <c r="D19" s="36">
        <v>18229</v>
      </c>
      <c r="E19" s="36">
        <v>18229</v>
      </c>
      <c r="F19" s="36">
        <v>18229</v>
      </c>
      <c r="G19" s="36">
        <v>18229</v>
      </c>
      <c r="H19" s="36">
        <v>18229</v>
      </c>
      <c r="I19" s="36">
        <v>18229</v>
      </c>
      <c r="J19" s="36">
        <v>18229</v>
      </c>
      <c r="K19" s="36">
        <v>18229</v>
      </c>
      <c r="L19" s="36">
        <v>18229</v>
      </c>
      <c r="M19" s="36">
        <v>18229</v>
      </c>
      <c r="N19" s="36">
        <v>18229</v>
      </c>
      <c r="O19" s="36">
        <v>18229</v>
      </c>
      <c r="P19" s="36">
        <v>218748</v>
      </c>
    </row>
    <row r="20" spans="1:16">
      <c r="B20" s="35" t="s">
        <v>172</v>
      </c>
      <c r="D20" s="36">
        <v>6000</v>
      </c>
      <c r="E20" s="36">
        <v>6000</v>
      </c>
      <c r="F20" s="36">
        <v>6000</v>
      </c>
      <c r="G20" s="36">
        <v>6000</v>
      </c>
      <c r="H20" s="36">
        <v>6000</v>
      </c>
      <c r="I20" s="36">
        <v>6000</v>
      </c>
      <c r="J20" s="36">
        <v>6000</v>
      </c>
      <c r="K20" s="36">
        <v>6000</v>
      </c>
      <c r="L20" s="36">
        <v>6000</v>
      </c>
      <c r="M20" s="36">
        <v>6000</v>
      </c>
      <c r="N20" s="36">
        <v>6000</v>
      </c>
      <c r="O20" s="36">
        <v>6000</v>
      </c>
      <c r="P20" s="36">
        <v>72000</v>
      </c>
    </row>
    <row r="21" spans="1:16">
      <c r="B21" s="35" t="s">
        <v>195</v>
      </c>
      <c r="D21" s="36">
        <v>5955</v>
      </c>
      <c r="E21" s="36">
        <v>5770</v>
      </c>
      <c r="F21" s="36">
        <v>5800</v>
      </c>
      <c r="G21" s="36">
        <v>5955</v>
      </c>
      <c r="H21" s="36">
        <v>5800</v>
      </c>
      <c r="I21" s="36">
        <v>5755</v>
      </c>
      <c r="J21" s="36">
        <v>5955</v>
      </c>
      <c r="K21" s="36">
        <v>5755</v>
      </c>
      <c r="L21" s="36">
        <v>5800</v>
      </c>
      <c r="M21" s="36">
        <v>5955</v>
      </c>
      <c r="N21" s="36">
        <v>5755</v>
      </c>
      <c r="O21" s="36">
        <v>5755</v>
      </c>
      <c r="P21" s="36">
        <v>70010</v>
      </c>
    </row>
    <row r="22" spans="1:16">
      <c r="B22" s="35" t="s">
        <v>194</v>
      </c>
      <c r="D22" s="36">
        <v>3210</v>
      </c>
      <c r="E22" s="36">
        <v>3210</v>
      </c>
      <c r="F22" s="36">
        <v>3210</v>
      </c>
      <c r="G22" s="36">
        <v>3210</v>
      </c>
      <c r="H22" s="36">
        <v>3210</v>
      </c>
      <c r="I22" s="36">
        <v>3210</v>
      </c>
      <c r="J22" s="36">
        <v>3210</v>
      </c>
      <c r="K22" s="36">
        <v>3210</v>
      </c>
      <c r="L22" s="36">
        <v>3210</v>
      </c>
      <c r="M22" s="36">
        <v>3210</v>
      </c>
      <c r="N22" s="36">
        <v>3210</v>
      </c>
      <c r="O22" s="36">
        <v>3210</v>
      </c>
      <c r="P22" s="36">
        <v>38520</v>
      </c>
    </row>
    <row r="23" spans="1:16">
      <c r="B23" s="35" t="s">
        <v>35</v>
      </c>
      <c r="D23" s="36">
        <v>3470</v>
      </c>
      <c r="E23" s="36">
        <v>3470</v>
      </c>
      <c r="F23" s="36">
        <v>3010</v>
      </c>
      <c r="G23" s="36">
        <v>3010</v>
      </c>
      <c r="H23" s="36">
        <v>3010</v>
      </c>
      <c r="I23" s="36">
        <v>3010</v>
      </c>
      <c r="J23" s="36">
        <v>3010</v>
      </c>
      <c r="K23" s="36">
        <v>3010</v>
      </c>
      <c r="L23" s="36">
        <v>3010</v>
      </c>
      <c r="M23" s="36">
        <v>3010</v>
      </c>
      <c r="N23" s="36">
        <v>3010</v>
      </c>
      <c r="O23" s="36">
        <v>3010</v>
      </c>
      <c r="P23" s="36">
        <v>37040</v>
      </c>
    </row>
    <row r="24" spans="1:16">
      <c r="B24" s="35" t="s">
        <v>47</v>
      </c>
      <c r="D24" s="36">
        <v>2500</v>
      </c>
      <c r="E24" s="36">
        <v>2500</v>
      </c>
      <c r="F24" s="36">
        <v>2500</v>
      </c>
      <c r="G24" s="36">
        <v>2500</v>
      </c>
      <c r="H24" s="36">
        <v>2500</v>
      </c>
      <c r="I24" s="36">
        <v>2500</v>
      </c>
      <c r="J24" s="36">
        <v>2500</v>
      </c>
      <c r="K24" s="36">
        <v>2500</v>
      </c>
      <c r="L24" s="36">
        <v>2500</v>
      </c>
      <c r="M24" s="36">
        <v>2500</v>
      </c>
      <c r="N24" s="36">
        <v>2500</v>
      </c>
      <c r="O24" s="36">
        <v>2500</v>
      </c>
      <c r="P24" s="36">
        <v>30000</v>
      </c>
    </row>
    <row r="25" spans="1:16">
      <c r="B25" s="35" t="s">
        <v>66</v>
      </c>
      <c r="D25" s="36">
        <v>1778</v>
      </c>
      <c r="E25" s="36">
        <v>1778</v>
      </c>
      <c r="F25" s="36">
        <v>1778</v>
      </c>
      <c r="G25" s="36">
        <v>1778</v>
      </c>
      <c r="H25" s="36">
        <v>1778</v>
      </c>
      <c r="I25" s="36">
        <v>1778</v>
      </c>
      <c r="J25" s="36">
        <v>1778</v>
      </c>
      <c r="K25" s="36">
        <v>1778</v>
      </c>
      <c r="L25" s="36">
        <v>1778</v>
      </c>
      <c r="M25" s="36">
        <v>1778</v>
      </c>
      <c r="N25" s="36">
        <v>1778</v>
      </c>
      <c r="O25" s="36">
        <v>1778</v>
      </c>
      <c r="P25" s="36">
        <v>21336</v>
      </c>
    </row>
    <row r="26" spans="1:16">
      <c r="B26" s="35" t="s">
        <v>188</v>
      </c>
      <c r="D26" s="36">
        <v>2250</v>
      </c>
      <c r="E26" s="36">
        <v>1650</v>
      </c>
      <c r="F26" s="36">
        <v>1650</v>
      </c>
      <c r="G26" s="36">
        <v>1650</v>
      </c>
      <c r="H26" s="36">
        <v>1650</v>
      </c>
      <c r="I26" s="36">
        <v>1650</v>
      </c>
      <c r="J26" s="36">
        <v>1650</v>
      </c>
      <c r="K26" s="36">
        <v>1650</v>
      </c>
      <c r="L26" s="36">
        <v>1650</v>
      </c>
      <c r="M26" s="36">
        <v>1650</v>
      </c>
      <c r="N26" s="36">
        <v>1650</v>
      </c>
      <c r="O26" s="36">
        <v>1650</v>
      </c>
      <c r="P26" s="36">
        <v>20400</v>
      </c>
    </row>
    <row r="27" spans="1:16">
      <c r="B27" s="35" t="s">
        <v>186</v>
      </c>
      <c r="D27" s="36">
        <v>4800</v>
      </c>
      <c r="E27" s="36">
        <v>0</v>
      </c>
      <c r="F27" s="36">
        <v>0</v>
      </c>
      <c r="G27" s="36">
        <v>4800</v>
      </c>
      <c r="H27" s="36">
        <v>0</v>
      </c>
      <c r="I27" s="36">
        <v>0</v>
      </c>
      <c r="J27" s="36">
        <v>4800</v>
      </c>
      <c r="K27" s="36">
        <v>0</v>
      </c>
      <c r="L27" s="36">
        <v>0</v>
      </c>
      <c r="M27" s="36">
        <v>4800</v>
      </c>
      <c r="N27" s="36">
        <v>0</v>
      </c>
      <c r="O27" s="36">
        <v>0</v>
      </c>
      <c r="P27" s="36">
        <v>19200</v>
      </c>
    </row>
    <row r="28" spans="1:16">
      <c r="B28" s="35" t="s">
        <v>168</v>
      </c>
      <c r="D28" s="36">
        <v>1460</v>
      </c>
      <c r="E28" s="36">
        <v>1460</v>
      </c>
      <c r="F28" s="36">
        <v>1460</v>
      </c>
      <c r="G28" s="36">
        <v>1460</v>
      </c>
      <c r="H28" s="36">
        <v>1460</v>
      </c>
      <c r="I28" s="36">
        <v>1460</v>
      </c>
      <c r="J28" s="36">
        <v>1460</v>
      </c>
      <c r="K28" s="36">
        <v>1460</v>
      </c>
      <c r="L28" s="36">
        <v>1460</v>
      </c>
      <c r="M28" s="36">
        <v>1460</v>
      </c>
      <c r="N28" s="36">
        <v>1460</v>
      </c>
      <c r="O28" s="36">
        <v>1460</v>
      </c>
      <c r="P28" s="36">
        <v>17520</v>
      </c>
    </row>
    <row r="29" spans="1:16">
      <c r="B29" s="35" t="s">
        <v>34</v>
      </c>
      <c r="D29" s="36">
        <v>1189</v>
      </c>
      <c r="E29" s="36">
        <v>1189</v>
      </c>
      <c r="F29" s="36">
        <v>1189</v>
      </c>
      <c r="G29" s="36">
        <v>1189</v>
      </c>
      <c r="H29" s="36">
        <v>1189</v>
      </c>
      <c r="I29" s="36">
        <v>1189</v>
      </c>
      <c r="J29" s="36">
        <v>1189</v>
      </c>
      <c r="K29" s="36">
        <v>1189</v>
      </c>
      <c r="L29" s="36">
        <v>1189</v>
      </c>
      <c r="M29" s="36">
        <v>1189</v>
      </c>
      <c r="N29" s="36">
        <v>1189</v>
      </c>
      <c r="O29" s="36">
        <v>1189</v>
      </c>
      <c r="P29" s="36">
        <v>14268</v>
      </c>
    </row>
    <row r="30" spans="1:16">
      <c r="B30" s="35" t="s">
        <v>192</v>
      </c>
      <c r="D30" s="36">
        <v>850</v>
      </c>
      <c r="E30" s="36">
        <v>850</v>
      </c>
      <c r="F30" s="36">
        <v>4050</v>
      </c>
      <c r="G30" s="36">
        <v>850</v>
      </c>
      <c r="H30" s="36">
        <v>850</v>
      </c>
      <c r="I30" s="36">
        <v>850</v>
      </c>
      <c r="J30" s="36">
        <v>850</v>
      </c>
      <c r="K30" s="36">
        <v>850</v>
      </c>
      <c r="L30" s="36">
        <v>850</v>
      </c>
      <c r="M30" s="36">
        <v>850</v>
      </c>
      <c r="N30" s="36">
        <v>850</v>
      </c>
      <c r="O30" s="36">
        <v>850</v>
      </c>
      <c r="P30" s="36">
        <v>13400</v>
      </c>
    </row>
    <row r="31" spans="1:16">
      <c r="B31" s="35" t="s">
        <v>72</v>
      </c>
      <c r="D31" s="36">
        <v>0</v>
      </c>
      <c r="E31" s="36">
        <v>0</v>
      </c>
      <c r="F31" s="36">
        <v>4000</v>
      </c>
      <c r="G31" s="36">
        <v>4000</v>
      </c>
      <c r="H31" s="36">
        <v>4000</v>
      </c>
      <c r="I31" s="36">
        <v>0</v>
      </c>
      <c r="J31" s="36">
        <v>0</v>
      </c>
      <c r="K31" s="36">
        <v>0</v>
      </c>
      <c r="L31" s="36">
        <v>0</v>
      </c>
      <c r="M31" s="36">
        <v>0</v>
      </c>
      <c r="N31" s="36">
        <v>0</v>
      </c>
      <c r="O31" s="36">
        <v>0</v>
      </c>
      <c r="P31" s="36">
        <v>12000</v>
      </c>
    </row>
    <row r="32" spans="1:16">
      <c r="B32" s="35" t="s">
        <v>178</v>
      </c>
      <c r="D32" s="36">
        <v>900</v>
      </c>
      <c r="E32" s="36">
        <v>900</v>
      </c>
      <c r="F32" s="36">
        <v>900</v>
      </c>
      <c r="G32" s="36">
        <v>900</v>
      </c>
      <c r="H32" s="36">
        <v>900</v>
      </c>
      <c r="I32" s="36">
        <v>900</v>
      </c>
      <c r="J32" s="36">
        <v>900</v>
      </c>
      <c r="K32" s="36">
        <v>900</v>
      </c>
      <c r="L32" s="36">
        <v>900</v>
      </c>
      <c r="M32" s="36">
        <v>900</v>
      </c>
      <c r="N32" s="36">
        <v>900</v>
      </c>
      <c r="O32" s="36">
        <v>900</v>
      </c>
      <c r="P32" s="36">
        <v>10800</v>
      </c>
    </row>
    <row r="33" spans="1:16">
      <c r="B33" s="35" t="s">
        <v>67</v>
      </c>
      <c r="D33" s="36">
        <v>127</v>
      </c>
      <c r="E33" s="36">
        <v>127</v>
      </c>
      <c r="F33" s="36">
        <v>127</v>
      </c>
      <c r="G33" s="36">
        <v>127</v>
      </c>
      <c r="H33" s="36">
        <v>127</v>
      </c>
      <c r="I33" s="36">
        <v>1947</v>
      </c>
      <c r="J33" s="36">
        <v>127</v>
      </c>
      <c r="K33" s="36">
        <v>127</v>
      </c>
      <c r="L33" s="36">
        <v>127</v>
      </c>
      <c r="M33" s="36">
        <v>127</v>
      </c>
      <c r="N33" s="36">
        <v>127</v>
      </c>
      <c r="O33" s="36">
        <v>7434</v>
      </c>
      <c r="P33" s="36">
        <v>10651</v>
      </c>
    </row>
    <row r="34" spans="1:16">
      <c r="B34" s="35" t="s">
        <v>199</v>
      </c>
      <c r="D34" s="36">
        <v>0</v>
      </c>
      <c r="E34" s="36">
        <v>0</v>
      </c>
      <c r="F34" s="36">
        <v>0</v>
      </c>
      <c r="G34" s="36">
        <v>2400</v>
      </c>
      <c r="H34" s="36">
        <v>0</v>
      </c>
      <c r="I34" s="36">
        <v>2400</v>
      </c>
      <c r="J34" s="36">
        <v>0</v>
      </c>
      <c r="K34" s="36">
        <v>0</v>
      </c>
      <c r="L34" s="36">
        <v>2400</v>
      </c>
      <c r="M34" s="36">
        <v>0</v>
      </c>
      <c r="N34" s="36">
        <v>2400</v>
      </c>
      <c r="O34" s="36">
        <v>0</v>
      </c>
      <c r="P34" s="36">
        <v>9600</v>
      </c>
    </row>
    <row r="35" spans="1:16">
      <c r="B35" s="35" t="s">
        <v>189</v>
      </c>
      <c r="D35" s="36">
        <v>639</v>
      </c>
      <c r="E35" s="36">
        <v>639</v>
      </c>
      <c r="F35" s="36">
        <v>639</v>
      </c>
      <c r="G35" s="36">
        <v>639</v>
      </c>
      <c r="H35" s="36">
        <v>639</v>
      </c>
      <c r="I35" s="36">
        <v>639</v>
      </c>
      <c r="J35" s="36">
        <v>639</v>
      </c>
      <c r="K35" s="36">
        <v>639</v>
      </c>
      <c r="L35" s="36">
        <v>639</v>
      </c>
      <c r="M35" s="36">
        <v>639</v>
      </c>
      <c r="N35" s="36">
        <v>639</v>
      </c>
      <c r="O35" s="36">
        <v>639</v>
      </c>
      <c r="P35" s="36">
        <v>7668</v>
      </c>
    </row>
    <row r="36" spans="1:16">
      <c r="B36" s="35" t="s">
        <v>202</v>
      </c>
      <c r="D36" s="36">
        <v>552</v>
      </c>
      <c r="E36" s="36">
        <v>552</v>
      </c>
      <c r="F36" s="36">
        <v>552</v>
      </c>
      <c r="G36" s="36">
        <v>552</v>
      </c>
      <c r="H36" s="36">
        <v>552</v>
      </c>
      <c r="I36" s="36">
        <v>552</v>
      </c>
      <c r="J36" s="36">
        <v>552</v>
      </c>
      <c r="K36" s="36">
        <v>552</v>
      </c>
      <c r="L36" s="36">
        <v>552</v>
      </c>
      <c r="M36" s="36">
        <v>552</v>
      </c>
      <c r="N36" s="36">
        <v>552</v>
      </c>
      <c r="O36" s="36">
        <v>552</v>
      </c>
      <c r="P36" s="36">
        <v>6624</v>
      </c>
    </row>
    <row r="37" spans="1:16">
      <c r="B37" s="35" t="s">
        <v>201</v>
      </c>
      <c r="D37" s="36">
        <v>240</v>
      </c>
      <c r="E37" s="36">
        <v>240</v>
      </c>
      <c r="F37" s="36">
        <v>1740</v>
      </c>
      <c r="G37" s="36">
        <v>240</v>
      </c>
      <c r="H37" s="36">
        <v>240</v>
      </c>
      <c r="I37" s="36">
        <v>1240</v>
      </c>
      <c r="J37" s="36">
        <v>240</v>
      </c>
      <c r="K37" s="36">
        <v>240</v>
      </c>
      <c r="L37" s="36">
        <v>240</v>
      </c>
      <c r="M37" s="36">
        <v>240</v>
      </c>
      <c r="N37" s="36">
        <v>1240</v>
      </c>
      <c r="O37" s="36">
        <v>240</v>
      </c>
      <c r="P37" s="36">
        <v>6380</v>
      </c>
    </row>
    <row r="38" spans="1:16">
      <c r="B38" s="35" t="s">
        <v>46</v>
      </c>
      <c r="D38" s="36">
        <v>528</v>
      </c>
      <c r="E38" s="36">
        <v>528</v>
      </c>
      <c r="F38" s="36">
        <v>528</v>
      </c>
      <c r="G38" s="36">
        <v>528</v>
      </c>
      <c r="H38" s="36">
        <v>528</v>
      </c>
      <c r="I38" s="36">
        <v>528</v>
      </c>
      <c r="J38" s="36">
        <v>528</v>
      </c>
      <c r="K38" s="36">
        <v>528</v>
      </c>
      <c r="L38" s="36">
        <v>528</v>
      </c>
      <c r="M38" s="36">
        <v>528</v>
      </c>
      <c r="N38" s="36">
        <v>528</v>
      </c>
      <c r="O38" s="36">
        <v>528</v>
      </c>
      <c r="P38" s="36">
        <v>6336</v>
      </c>
    </row>
    <row r="39" spans="1:16">
      <c r="B39" s="35" t="s">
        <v>184</v>
      </c>
      <c r="D39" s="36">
        <v>320</v>
      </c>
      <c r="E39" s="36">
        <v>320</v>
      </c>
      <c r="F39" s="36">
        <v>320</v>
      </c>
      <c r="G39" s="36">
        <v>320</v>
      </c>
      <c r="H39" s="36">
        <v>320</v>
      </c>
      <c r="I39" s="36">
        <v>320</v>
      </c>
      <c r="J39" s="36">
        <v>320</v>
      </c>
      <c r="K39" s="36">
        <v>320</v>
      </c>
      <c r="L39" s="36">
        <v>320</v>
      </c>
      <c r="M39" s="36">
        <v>320</v>
      </c>
      <c r="N39" s="36">
        <v>320</v>
      </c>
      <c r="O39" s="36">
        <v>320</v>
      </c>
      <c r="P39" s="36">
        <v>3840</v>
      </c>
    </row>
    <row r="40" spans="1:16">
      <c r="B40" s="35" t="s">
        <v>191</v>
      </c>
      <c r="D40" s="36">
        <v>0</v>
      </c>
      <c r="E40" s="36">
        <v>600</v>
      </c>
      <c r="F40" s="36">
        <v>0</v>
      </c>
      <c r="G40" s="36">
        <v>600</v>
      </c>
      <c r="H40" s="36">
        <v>0</v>
      </c>
      <c r="I40" s="36">
        <v>600</v>
      </c>
      <c r="J40" s="36">
        <v>0</v>
      </c>
      <c r="K40" s="36">
        <v>600</v>
      </c>
      <c r="L40" s="36">
        <v>0</v>
      </c>
      <c r="M40" s="36">
        <v>600</v>
      </c>
      <c r="N40" s="36">
        <v>0</v>
      </c>
      <c r="O40" s="36">
        <v>600</v>
      </c>
      <c r="P40" s="36">
        <v>3600</v>
      </c>
    </row>
    <row r="41" spans="1:16">
      <c r="B41" s="35" t="s">
        <v>197</v>
      </c>
      <c r="D41" s="36">
        <v>800</v>
      </c>
      <c r="E41" s="36">
        <v>252</v>
      </c>
      <c r="F41" s="36">
        <v>152</v>
      </c>
      <c r="G41" s="36">
        <v>152</v>
      </c>
      <c r="H41" s="36">
        <v>152</v>
      </c>
      <c r="I41" s="36">
        <v>152</v>
      </c>
      <c r="J41" s="36">
        <v>952</v>
      </c>
      <c r="K41" s="36">
        <v>0</v>
      </c>
      <c r="L41" s="36">
        <v>0</v>
      </c>
      <c r="M41" s="36">
        <v>0</v>
      </c>
      <c r="N41" s="36">
        <v>0</v>
      </c>
      <c r="O41" s="36">
        <v>0</v>
      </c>
      <c r="P41" s="36">
        <v>2612</v>
      </c>
    </row>
    <row r="42" spans="1:16">
      <c r="B42" s="35" t="s">
        <v>182</v>
      </c>
      <c r="D42" s="36">
        <v>91</v>
      </c>
      <c r="E42" s="36">
        <v>91</v>
      </c>
      <c r="F42" s="36">
        <v>91</v>
      </c>
      <c r="G42" s="36">
        <v>91</v>
      </c>
      <c r="H42" s="36">
        <v>91</v>
      </c>
      <c r="I42" s="36">
        <v>91</v>
      </c>
      <c r="J42" s="36">
        <v>91</v>
      </c>
      <c r="K42" s="36">
        <v>91</v>
      </c>
      <c r="L42" s="36">
        <v>91</v>
      </c>
      <c r="M42" s="36">
        <v>91</v>
      </c>
      <c r="N42" s="36">
        <v>91</v>
      </c>
      <c r="O42" s="36">
        <v>91</v>
      </c>
      <c r="P42" s="36">
        <v>1092</v>
      </c>
    </row>
    <row r="43" spans="1:16">
      <c r="B43" s="35" t="s">
        <v>193</v>
      </c>
      <c r="D43" s="36">
        <v>0</v>
      </c>
      <c r="E43" s="36">
        <v>0</v>
      </c>
      <c r="F43" s="36">
        <v>0</v>
      </c>
      <c r="G43" s="36">
        <v>200</v>
      </c>
      <c r="H43" s="36">
        <v>0</v>
      </c>
      <c r="I43" s="36">
        <v>0</v>
      </c>
      <c r="J43" s="36">
        <v>0</v>
      </c>
      <c r="K43" s="36">
        <v>200</v>
      </c>
      <c r="L43" s="36">
        <v>0</v>
      </c>
      <c r="M43" s="36">
        <v>0</v>
      </c>
      <c r="N43" s="36">
        <v>0</v>
      </c>
      <c r="O43" s="36">
        <v>200</v>
      </c>
      <c r="P43" s="36">
        <v>600</v>
      </c>
    </row>
    <row r="44" spans="1:16">
      <c r="B44" s="35" t="s">
        <v>173</v>
      </c>
      <c r="D44" s="36">
        <v>0</v>
      </c>
      <c r="E44" s="36">
        <v>0</v>
      </c>
      <c r="F44" s="36">
        <v>0</v>
      </c>
      <c r="G44" s="36">
        <v>0</v>
      </c>
      <c r="H44" s="36">
        <v>0</v>
      </c>
      <c r="I44" s="36">
        <v>0</v>
      </c>
      <c r="J44" s="36">
        <v>0</v>
      </c>
      <c r="K44" s="36">
        <v>0</v>
      </c>
      <c r="L44" s="36">
        <v>0</v>
      </c>
      <c r="M44" s="36">
        <v>0</v>
      </c>
      <c r="N44" s="36">
        <v>0</v>
      </c>
      <c r="O44" s="36">
        <v>0</v>
      </c>
      <c r="P44" s="36">
        <v>0</v>
      </c>
    </row>
    <row r="45" spans="1:16">
      <c r="A45" s="35" t="s">
        <v>714</v>
      </c>
      <c r="D45" s="36">
        <v>105713</v>
      </c>
      <c r="E45" s="36">
        <v>101680</v>
      </c>
      <c r="F45" s="36">
        <v>108250</v>
      </c>
      <c r="G45" s="36">
        <v>111705</v>
      </c>
      <c r="H45" s="36">
        <v>103050</v>
      </c>
      <c r="I45" s="36">
        <v>104825</v>
      </c>
      <c r="J45" s="36">
        <v>104805</v>
      </c>
      <c r="K45" s="36">
        <v>99653</v>
      </c>
      <c r="L45" s="36">
        <v>101498</v>
      </c>
      <c r="M45" s="36">
        <v>106453</v>
      </c>
      <c r="N45" s="36">
        <v>102253</v>
      </c>
      <c r="O45" s="36">
        <v>106960</v>
      </c>
      <c r="P45" s="36">
        <v>1256845</v>
      </c>
    </row>
    <row r="46" spans="1:16">
      <c r="A46" s="35" t="s">
        <v>180</v>
      </c>
      <c r="B46" s="35" t="s">
        <v>357</v>
      </c>
      <c r="D46" s="36">
        <v>63881</v>
      </c>
      <c r="E46" s="36">
        <v>72381</v>
      </c>
      <c r="F46" s="36">
        <v>72381</v>
      </c>
      <c r="G46" s="36">
        <v>58009</v>
      </c>
      <c r="H46" s="36">
        <v>58009</v>
      </c>
      <c r="I46" s="36">
        <v>58009</v>
      </c>
      <c r="J46" s="36">
        <v>58009</v>
      </c>
      <c r="K46" s="36">
        <v>58009</v>
      </c>
      <c r="L46" s="36">
        <v>58009</v>
      </c>
      <c r="M46" s="36">
        <v>58009</v>
      </c>
      <c r="N46" s="36">
        <v>58009</v>
      </c>
      <c r="O46" s="36">
        <v>58009</v>
      </c>
      <c r="P46" s="36">
        <v>730724</v>
      </c>
    </row>
    <row r="47" spans="1:16">
      <c r="B47" s="35" t="s">
        <v>68</v>
      </c>
      <c r="D47" s="36">
        <v>30000</v>
      </c>
      <c r="E47" s="36">
        <v>25000</v>
      </c>
      <c r="F47" s="36">
        <v>25000</v>
      </c>
      <c r="G47" s="36">
        <v>20000</v>
      </c>
      <c r="H47" s="36">
        <v>5000</v>
      </c>
      <c r="I47" s="36">
        <v>20000</v>
      </c>
      <c r="J47" s="36">
        <v>5000</v>
      </c>
      <c r="K47" s="36">
        <v>20000</v>
      </c>
      <c r="L47" s="36">
        <v>5000</v>
      </c>
      <c r="M47" s="36">
        <v>20000</v>
      </c>
      <c r="N47" s="36">
        <v>5000</v>
      </c>
      <c r="O47" s="36">
        <v>20000</v>
      </c>
      <c r="P47" s="36">
        <v>200000</v>
      </c>
    </row>
    <row r="48" spans="1:16">
      <c r="B48" s="35" t="s">
        <v>172</v>
      </c>
      <c r="D48" s="36">
        <v>1500</v>
      </c>
      <c r="E48" s="36">
        <v>22300</v>
      </c>
      <c r="F48" s="36">
        <v>6500</v>
      </c>
      <c r="G48" s="36">
        <v>2300</v>
      </c>
      <c r="H48" s="36">
        <v>1500</v>
      </c>
      <c r="I48" s="36">
        <v>14300</v>
      </c>
      <c r="J48" s="36">
        <v>1500</v>
      </c>
      <c r="K48" s="36">
        <v>7300</v>
      </c>
      <c r="L48" s="36">
        <v>13500</v>
      </c>
      <c r="M48" s="36">
        <v>2300</v>
      </c>
      <c r="N48" s="36">
        <v>3000</v>
      </c>
      <c r="O48" s="36">
        <v>2300</v>
      </c>
      <c r="P48" s="36">
        <v>78300</v>
      </c>
    </row>
    <row r="49" spans="1:16">
      <c r="B49" s="35" t="s">
        <v>47</v>
      </c>
      <c r="D49" s="36">
        <v>1500</v>
      </c>
      <c r="E49" s="36">
        <v>1500</v>
      </c>
      <c r="F49" s="36">
        <v>6500</v>
      </c>
      <c r="G49" s="36">
        <v>3500</v>
      </c>
      <c r="H49" s="36">
        <v>1500</v>
      </c>
      <c r="I49" s="36">
        <v>1500</v>
      </c>
      <c r="J49" s="36">
        <v>1500</v>
      </c>
      <c r="K49" s="36">
        <v>1500</v>
      </c>
      <c r="L49" s="36">
        <v>1500</v>
      </c>
      <c r="M49" s="36">
        <v>3500</v>
      </c>
      <c r="N49" s="36">
        <v>1500</v>
      </c>
      <c r="O49" s="36">
        <v>1500</v>
      </c>
      <c r="P49" s="36">
        <v>27000</v>
      </c>
    </row>
    <row r="50" spans="1:16">
      <c r="B50" s="35" t="s">
        <v>171</v>
      </c>
      <c r="D50" s="36">
        <v>2000</v>
      </c>
      <c r="E50" s="36">
        <v>2000</v>
      </c>
      <c r="F50" s="36">
        <v>2000</v>
      </c>
      <c r="G50" s="36">
        <v>2000</v>
      </c>
      <c r="H50" s="36">
        <v>2000</v>
      </c>
      <c r="I50" s="36">
        <v>2000</v>
      </c>
      <c r="J50" s="36">
        <v>2000</v>
      </c>
      <c r="K50" s="36">
        <v>2000</v>
      </c>
      <c r="L50" s="36">
        <v>2000</v>
      </c>
      <c r="M50" s="36">
        <v>2000</v>
      </c>
      <c r="N50" s="36">
        <v>2000</v>
      </c>
      <c r="O50" s="36">
        <v>2000</v>
      </c>
      <c r="P50" s="36">
        <v>24000</v>
      </c>
    </row>
    <row r="51" spans="1:16">
      <c r="B51" s="35" t="s">
        <v>173</v>
      </c>
      <c r="D51" s="36">
        <v>0</v>
      </c>
      <c r="E51" s="36">
        <v>0</v>
      </c>
      <c r="F51" s="36">
        <v>0</v>
      </c>
      <c r="G51" s="36">
        <v>0</v>
      </c>
      <c r="H51" s="36">
        <v>0</v>
      </c>
      <c r="I51" s="36">
        <v>10000</v>
      </c>
      <c r="J51" s="36">
        <v>0</v>
      </c>
      <c r="K51" s="36">
        <v>0</v>
      </c>
      <c r="L51" s="36">
        <v>0</v>
      </c>
      <c r="M51" s="36">
        <v>0</v>
      </c>
      <c r="N51" s="36">
        <v>0</v>
      </c>
      <c r="O51" s="36">
        <v>0</v>
      </c>
      <c r="P51" s="36">
        <v>10000</v>
      </c>
    </row>
    <row r="52" spans="1:16">
      <c r="B52" s="35" t="s">
        <v>167</v>
      </c>
      <c r="D52" s="36">
        <v>3000</v>
      </c>
      <c r="E52" s="36">
        <v>0</v>
      </c>
      <c r="F52" s="36">
        <v>3000</v>
      </c>
      <c r="G52" s="36">
        <v>0</v>
      </c>
      <c r="H52" s="36">
        <v>0</v>
      </c>
      <c r="I52" s="36">
        <v>1500</v>
      </c>
      <c r="J52" s="36">
        <v>0</v>
      </c>
      <c r="K52" s="36">
        <v>0</v>
      </c>
      <c r="L52" s="36">
        <v>1500</v>
      </c>
      <c r="M52" s="36">
        <v>0</v>
      </c>
      <c r="N52" s="36">
        <v>0</v>
      </c>
      <c r="O52" s="36">
        <v>0</v>
      </c>
      <c r="P52" s="36">
        <v>9000</v>
      </c>
    </row>
    <row r="53" spans="1:16">
      <c r="A53" s="35" t="s">
        <v>715</v>
      </c>
      <c r="D53" s="36">
        <v>101881</v>
      </c>
      <c r="E53" s="36">
        <v>123181</v>
      </c>
      <c r="F53" s="36">
        <v>115381</v>
      </c>
      <c r="G53" s="36">
        <v>85809</v>
      </c>
      <c r="H53" s="36">
        <v>68009</v>
      </c>
      <c r="I53" s="36">
        <v>107309</v>
      </c>
      <c r="J53" s="36">
        <v>68009</v>
      </c>
      <c r="K53" s="36">
        <v>88809</v>
      </c>
      <c r="L53" s="36">
        <v>81509</v>
      </c>
      <c r="M53" s="36">
        <v>85809</v>
      </c>
      <c r="N53" s="36">
        <v>69509</v>
      </c>
      <c r="O53" s="36">
        <v>83809</v>
      </c>
      <c r="P53" s="36">
        <v>1079024</v>
      </c>
    </row>
    <row r="54" spans="1:16">
      <c r="A54" s="35" t="s">
        <v>132</v>
      </c>
      <c r="B54" s="35" t="s">
        <v>357</v>
      </c>
      <c r="D54" s="36">
        <v>48135</v>
      </c>
      <c r="E54" s="36">
        <v>48135</v>
      </c>
      <c r="F54" s="36">
        <v>48135</v>
      </c>
      <c r="G54" s="36">
        <v>48135</v>
      </c>
      <c r="H54" s="36">
        <v>48135</v>
      </c>
      <c r="I54" s="36">
        <v>48135</v>
      </c>
      <c r="J54" s="36">
        <v>48135</v>
      </c>
      <c r="K54" s="36">
        <v>48135</v>
      </c>
      <c r="L54" s="36">
        <v>48135</v>
      </c>
      <c r="M54" s="36">
        <v>48135</v>
      </c>
      <c r="N54" s="36">
        <v>48135</v>
      </c>
      <c r="O54" s="36">
        <v>48135</v>
      </c>
      <c r="P54" s="36">
        <v>577620</v>
      </c>
    </row>
    <row r="55" spans="1:16">
      <c r="B55" s="35" t="s">
        <v>174</v>
      </c>
      <c r="D55" s="36">
        <v>26825</v>
      </c>
      <c r="E55" s="36">
        <v>5723</v>
      </c>
      <c r="F55" s="36">
        <v>17162</v>
      </c>
      <c r="G55" s="36">
        <v>6184</v>
      </c>
      <c r="H55" s="36">
        <v>11217</v>
      </c>
      <c r="I55" s="36">
        <v>23817</v>
      </c>
      <c r="J55" s="36">
        <v>6690</v>
      </c>
      <c r="K55" s="36">
        <v>6858</v>
      </c>
      <c r="L55" s="36">
        <v>19800</v>
      </c>
      <c r="M55" s="36">
        <v>6855</v>
      </c>
      <c r="N55" s="36">
        <v>2700</v>
      </c>
      <c r="O55" s="36">
        <v>12466</v>
      </c>
      <c r="P55" s="36">
        <v>146297</v>
      </c>
    </row>
    <row r="56" spans="1:16">
      <c r="B56" s="35" t="s">
        <v>173</v>
      </c>
      <c r="D56" s="36">
        <v>0</v>
      </c>
      <c r="E56" s="36">
        <v>0</v>
      </c>
      <c r="F56" s="36">
        <v>17000</v>
      </c>
      <c r="G56" s="36">
        <v>0</v>
      </c>
      <c r="H56" s="36">
        <v>0</v>
      </c>
      <c r="I56" s="36">
        <v>0</v>
      </c>
      <c r="J56" s="36">
        <v>10000</v>
      </c>
      <c r="K56" s="36">
        <v>0</v>
      </c>
      <c r="L56" s="36">
        <v>0</v>
      </c>
      <c r="M56" s="36">
        <v>0</v>
      </c>
      <c r="N56" s="36">
        <v>10000</v>
      </c>
      <c r="O56" s="36">
        <v>0</v>
      </c>
      <c r="P56" s="36">
        <v>37000</v>
      </c>
    </row>
    <row r="57" spans="1:16">
      <c r="B57" s="35" t="s">
        <v>171</v>
      </c>
      <c r="D57" s="36">
        <v>2000</v>
      </c>
      <c r="E57" s="36">
        <v>2000</v>
      </c>
      <c r="F57" s="36">
        <v>2000</v>
      </c>
      <c r="G57" s="36">
        <v>2000</v>
      </c>
      <c r="H57" s="36">
        <v>2000</v>
      </c>
      <c r="I57" s="36">
        <v>2000</v>
      </c>
      <c r="J57" s="36">
        <v>2000</v>
      </c>
      <c r="K57" s="36">
        <v>2000</v>
      </c>
      <c r="L57" s="36">
        <v>2000</v>
      </c>
      <c r="M57" s="36">
        <v>2000</v>
      </c>
      <c r="N57" s="36">
        <v>2000</v>
      </c>
      <c r="O57" s="36">
        <v>2000</v>
      </c>
      <c r="P57" s="36">
        <v>24000</v>
      </c>
    </row>
    <row r="58" spans="1:16">
      <c r="B58" s="35" t="s">
        <v>67</v>
      </c>
      <c r="D58" s="36">
        <v>0</v>
      </c>
      <c r="E58" s="36">
        <v>0</v>
      </c>
      <c r="F58" s="36">
        <v>5436</v>
      </c>
      <c r="G58" s="36">
        <v>0</v>
      </c>
      <c r="H58" s="36">
        <v>2500</v>
      </c>
      <c r="I58" s="36">
        <v>2270</v>
      </c>
      <c r="J58" s="36">
        <v>1935</v>
      </c>
      <c r="K58" s="36">
        <v>0</v>
      </c>
      <c r="L58" s="36">
        <v>0</v>
      </c>
      <c r="M58" s="36">
        <v>0</v>
      </c>
      <c r="N58" s="36">
        <v>250</v>
      </c>
      <c r="O58" s="36">
        <v>0</v>
      </c>
      <c r="P58" s="36">
        <v>12391</v>
      </c>
    </row>
    <row r="59" spans="1:16">
      <c r="B59" s="35" t="s">
        <v>43</v>
      </c>
      <c r="D59" s="36">
        <v>1000</v>
      </c>
      <c r="E59" s="36">
        <v>1000</v>
      </c>
      <c r="F59" s="36">
        <v>1000</v>
      </c>
      <c r="G59" s="36">
        <v>1000</v>
      </c>
      <c r="H59" s="36">
        <v>1000</v>
      </c>
      <c r="I59" s="36">
        <v>1000</v>
      </c>
      <c r="J59" s="36">
        <v>1000</v>
      </c>
      <c r="K59" s="36">
        <v>1000</v>
      </c>
      <c r="L59" s="36">
        <v>1000</v>
      </c>
      <c r="M59" s="36">
        <v>1000</v>
      </c>
      <c r="N59" s="36">
        <v>1000</v>
      </c>
      <c r="O59" s="36">
        <v>1000</v>
      </c>
      <c r="P59" s="36">
        <v>12000</v>
      </c>
    </row>
    <row r="60" spans="1:16">
      <c r="B60" s="35" t="s">
        <v>166</v>
      </c>
      <c r="D60" s="36">
        <v>500</v>
      </c>
      <c r="E60" s="36">
        <v>500</v>
      </c>
      <c r="F60" s="36">
        <v>500</v>
      </c>
      <c r="G60" s="36">
        <v>500</v>
      </c>
      <c r="H60" s="36">
        <v>500</v>
      </c>
      <c r="I60" s="36">
        <v>500</v>
      </c>
      <c r="J60" s="36">
        <v>500</v>
      </c>
      <c r="K60" s="36">
        <v>500</v>
      </c>
      <c r="L60" s="36">
        <v>500</v>
      </c>
      <c r="M60" s="36">
        <v>500</v>
      </c>
      <c r="N60" s="36">
        <v>500</v>
      </c>
      <c r="O60" s="36">
        <v>500</v>
      </c>
      <c r="P60" s="36">
        <v>6000</v>
      </c>
    </row>
    <row r="61" spans="1:16">
      <c r="A61" s="35" t="s">
        <v>716</v>
      </c>
      <c r="D61" s="36">
        <v>78460</v>
      </c>
      <c r="E61" s="36">
        <v>57358</v>
      </c>
      <c r="F61" s="36">
        <v>91233</v>
      </c>
      <c r="G61" s="36">
        <v>57819</v>
      </c>
      <c r="H61" s="36">
        <v>65352</v>
      </c>
      <c r="I61" s="36">
        <v>77722</v>
      </c>
      <c r="J61" s="36">
        <v>70260</v>
      </c>
      <c r="K61" s="36">
        <v>58493</v>
      </c>
      <c r="L61" s="36">
        <v>71435</v>
      </c>
      <c r="M61" s="36">
        <v>58490</v>
      </c>
      <c r="N61" s="36">
        <v>64585</v>
      </c>
      <c r="O61" s="36">
        <v>64101</v>
      </c>
      <c r="P61" s="36">
        <v>815308</v>
      </c>
    </row>
    <row r="62" spans="1:16">
      <c r="A62" s="35" t="s">
        <v>179</v>
      </c>
      <c r="B62" s="35" t="s">
        <v>475</v>
      </c>
      <c r="D62" s="36">
        <v>295000</v>
      </c>
      <c r="E62" s="36">
        <v>0</v>
      </c>
      <c r="F62" s="36">
        <v>0</v>
      </c>
      <c r="G62" s="36">
        <v>0</v>
      </c>
      <c r="H62" s="36">
        <v>0</v>
      </c>
      <c r="I62" s="36">
        <v>0</v>
      </c>
      <c r="J62" s="36">
        <v>0</v>
      </c>
      <c r="K62" s="36">
        <v>0</v>
      </c>
      <c r="L62" s="36">
        <v>0</v>
      </c>
      <c r="M62" s="36">
        <v>0</v>
      </c>
      <c r="N62" s="36">
        <v>0</v>
      </c>
      <c r="O62" s="36">
        <v>100000</v>
      </c>
      <c r="P62" s="36">
        <v>395000</v>
      </c>
    </row>
    <row r="63" spans="1:16">
      <c r="B63" s="35" t="s">
        <v>477</v>
      </c>
      <c r="D63" s="36">
        <v>0</v>
      </c>
      <c r="E63" s="36">
        <v>0</v>
      </c>
      <c r="F63" s="36">
        <v>0</v>
      </c>
      <c r="G63" s="36">
        <v>0</v>
      </c>
      <c r="H63" s="36">
        <v>0</v>
      </c>
      <c r="I63" s="36">
        <v>0</v>
      </c>
      <c r="J63" s="36">
        <v>0</v>
      </c>
      <c r="K63" s="36">
        <v>0</v>
      </c>
      <c r="L63" s="36">
        <v>20000</v>
      </c>
      <c r="M63" s="36">
        <v>0</v>
      </c>
      <c r="N63" s="36">
        <v>0</v>
      </c>
      <c r="O63" s="36">
        <v>20000</v>
      </c>
      <c r="P63" s="36">
        <v>40000</v>
      </c>
    </row>
    <row r="64" spans="1:16">
      <c r="B64" s="35" t="s">
        <v>183</v>
      </c>
      <c r="D64" s="36">
        <v>220</v>
      </c>
      <c r="E64" s="36">
        <v>220</v>
      </c>
      <c r="F64" s="36">
        <v>220</v>
      </c>
      <c r="G64" s="36">
        <v>220</v>
      </c>
      <c r="H64" s="36">
        <v>220</v>
      </c>
      <c r="I64" s="36">
        <v>220</v>
      </c>
      <c r="J64" s="36">
        <v>220</v>
      </c>
      <c r="K64" s="36">
        <v>220</v>
      </c>
      <c r="L64" s="36">
        <v>220</v>
      </c>
      <c r="M64" s="36">
        <v>220</v>
      </c>
      <c r="N64" s="36">
        <v>32220</v>
      </c>
      <c r="O64" s="36">
        <v>2819</v>
      </c>
      <c r="P64" s="36">
        <v>37239</v>
      </c>
    </row>
    <row r="65" spans="1:16">
      <c r="B65" s="35" t="s">
        <v>28</v>
      </c>
      <c r="D65" s="36">
        <v>0</v>
      </c>
      <c r="E65" s="36">
        <v>0</v>
      </c>
      <c r="F65" s="36">
        <v>0</v>
      </c>
      <c r="G65" s="36">
        <v>0</v>
      </c>
      <c r="H65" s="36">
        <v>0</v>
      </c>
      <c r="I65" s="36">
        <v>0</v>
      </c>
      <c r="J65" s="36">
        <v>0</v>
      </c>
      <c r="K65" s="36">
        <v>0</v>
      </c>
      <c r="L65" s="36">
        <v>0</v>
      </c>
      <c r="M65" s="36">
        <v>0</v>
      </c>
      <c r="N65" s="36">
        <v>0</v>
      </c>
      <c r="O65" s="36">
        <v>4000</v>
      </c>
      <c r="P65" s="36">
        <v>4000</v>
      </c>
    </row>
    <row r="66" spans="1:16">
      <c r="B66" s="35" t="s">
        <v>478</v>
      </c>
      <c r="D66" s="36">
        <v>0</v>
      </c>
      <c r="E66" s="36">
        <v>0</v>
      </c>
      <c r="F66" s="36">
        <v>0</v>
      </c>
      <c r="G66" s="36">
        <v>0</v>
      </c>
      <c r="H66" s="36">
        <v>0</v>
      </c>
      <c r="I66" s="36">
        <v>0</v>
      </c>
      <c r="J66" s="36">
        <v>0</v>
      </c>
      <c r="K66" s="36">
        <v>0</v>
      </c>
      <c r="L66" s="36">
        <v>0</v>
      </c>
      <c r="M66" s="36">
        <v>0</v>
      </c>
      <c r="N66" s="36">
        <v>0</v>
      </c>
      <c r="O66" s="36">
        <v>0</v>
      </c>
      <c r="P66" s="36">
        <v>0</v>
      </c>
    </row>
    <row r="67" spans="1:16">
      <c r="A67" s="35" t="s">
        <v>717</v>
      </c>
      <c r="D67" s="36">
        <v>295220</v>
      </c>
      <c r="E67" s="36">
        <v>220</v>
      </c>
      <c r="F67" s="36">
        <v>220</v>
      </c>
      <c r="G67" s="36">
        <v>220</v>
      </c>
      <c r="H67" s="36">
        <v>220</v>
      </c>
      <c r="I67" s="36">
        <v>220</v>
      </c>
      <c r="J67" s="36">
        <v>220</v>
      </c>
      <c r="K67" s="36">
        <v>220</v>
      </c>
      <c r="L67" s="36">
        <v>20220</v>
      </c>
      <c r="M67" s="36">
        <v>220</v>
      </c>
      <c r="N67" s="36">
        <v>32220</v>
      </c>
      <c r="O67" s="36">
        <v>126819</v>
      </c>
      <c r="P67" s="36">
        <v>476239</v>
      </c>
    </row>
    <row r="68" spans="1:16">
      <c r="A68" s="35" t="s">
        <v>316</v>
      </c>
      <c r="B68" s="35" t="s">
        <v>357</v>
      </c>
      <c r="D68" s="36">
        <v>9698</v>
      </c>
      <c r="E68" s="36">
        <v>10060</v>
      </c>
      <c r="F68" s="36">
        <v>9434</v>
      </c>
      <c r="G68" s="36">
        <v>9434</v>
      </c>
      <c r="H68" s="36">
        <v>9434</v>
      </c>
      <c r="I68" s="36">
        <v>9434</v>
      </c>
      <c r="J68" s="36">
        <v>9434</v>
      </c>
      <c r="K68" s="36">
        <v>9434</v>
      </c>
      <c r="L68" s="36">
        <v>9434</v>
      </c>
      <c r="M68" s="36">
        <v>9434</v>
      </c>
      <c r="N68" s="36">
        <v>9434</v>
      </c>
      <c r="O68" s="36">
        <v>9434</v>
      </c>
      <c r="P68" s="36">
        <v>114098</v>
      </c>
    </row>
    <row r="69" spans="1:16">
      <c r="B69" s="35" t="s">
        <v>172</v>
      </c>
      <c r="D69" s="36">
        <v>1241</v>
      </c>
      <c r="E69" s="36">
        <v>1241</v>
      </c>
      <c r="F69" s="36">
        <v>3481</v>
      </c>
      <c r="G69" s="36">
        <v>91</v>
      </c>
      <c r="H69" s="36">
        <v>91</v>
      </c>
      <c r="I69" s="36">
        <v>1241</v>
      </c>
      <c r="J69" s="36">
        <v>1241</v>
      </c>
      <c r="K69" s="36">
        <v>1241</v>
      </c>
      <c r="L69" s="36">
        <v>1241</v>
      </c>
      <c r="M69" s="36">
        <v>1241</v>
      </c>
      <c r="N69" s="36">
        <v>1241</v>
      </c>
      <c r="O69" s="36">
        <v>1241</v>
      </c>
      <c r="P69" s="36">
        <v>14832</v>
      </c>
    </row>
    <row r="70" spans="1:16">
      <c r="A70" s="35" t="s">
        <v>718</v>
      </c>
      <c r="D70" s="36">
        <v>10939</v>
      </c>
      <c r="E70" s="36">
        <v>11301</v>
      </c>
      <c r="F70" s="36">
        <v>12915</v>
      </c>
      <c r="G70" s="36">
        <v>9525</v>
      </c>
      <c r="H70" s="36">
        <v>9525</v>
      </c>
      <c r="I70" s="36">
        <v>10675</v>
      </c>
      <c r="J70" s="36">
        <v>10675</v>
      </c>
      <c r="K70" s="36">
        <v>10675</v>
      </c>
      <c r="L70" s="36">
        <v>10675</v>
      </c>
      <c r="M70" s="36">
        <v>10675</v>
      </c>
      <c r="N70" s="36">
        <v>10675</v>
      </c>
      <c r="O70" s="36">
        <v>10675</v>
      </c>
      <c r="P70" s="36">
        <v>128930</v>
      </c>
    </row>
    <row r="71" spans="1:16">
      <c r="A71" s="35" t="s">
        <v>520</v>
      </c>
      <c r="D71" s="36">
        <v>903925</v>
      </c>
      <c r="E71" s="36">
        <v>760895</v>
      </c>
      <c r="F71" s="36">
        <v>590865</v>
      </c>
      <c r="G71" s="36">
        <v>570794</v>
      </c>
      <c r="H71" s="36">
        <v>574122</v>
      </c>
      <c r="I71" s="36">
        <v>607717</v>
      </c>
      <c r="J71" s="36">
        <v>570935</v>
      </c>
      <c r="K71" s="36">
        <v>586316</v>
      </c>
      <c r="L71" s="36">
        <v>605303</v>
      </c>
      <c r="M71" s="36">
        <v>568613</v>
      </c>
      <c r="N71" s="36">
        <v>607208</v>
      </c>
      <c r="O71" s="36">
        <v>698181</v>
      </c>
      <c r="P71" s="36">
        <v>7644874</v>
      </c>
    </row>
    <row r="72" spans="1:16" ht="14.4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</row>
    <row r="73" spans="1:16" ht="14.45">
      <c r="A73"/>
      <c r="B73"/>
      <c r="C73"/>
      <c r="D73" s="16">
        <f>+D71-D62</f>
        <v>608925</v>
      </c>
      <c r="E73"/>
      <c r="F73"/>
      <c r="G73"/>
      <c r="H73"/>
      <c r="I73"/>
      <c r="J73"/>
      <c r="K73"/>
      <c r="L73"/>
      <c r="M73"/>
      <c r="N73"/>
      <c r="O73"/>
      <c r="P73"/>
    </row>
    <row r="74" spans="1:16" ht="14.4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</row>
    <row r="75" spans="1:16" ht="14.4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</row>
    <row r="76" spans="1:16" ht="14.4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</row>
    <row r="77" spans="1:16" ht="14.4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</row>
    <row r="78" spans="1:16" ht="14.4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</row>
    <row r="79" spans="1:16" ht="14.4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</row>
    <row r="80" spans="1:16" ht="14.4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</row>
    <row r="81" spans="1:16" ht="14.4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</row>
    <row r="82" spans="1:16" ht="14.4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</row>
    <row r="83" spans="1:16" ht="14.4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</row>
    <row r="84" spans="1:16" ht="14.4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</row>
    <row r="85" spans="1:16" ht="14.4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</row>
    <row r="86" spans="1:16" ht="14.4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</row>
    <row r="87" spans="1:16" ht="14.4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</row>
    <row r="88" spans="1:16" ht="14.4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</row>
    <row r="89" spans="1:16" ht="14.4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</row>
    <row r="90" spans="1:16" ht="14.4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</row>
    <row r="91" spans="1:16" ht="14.4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</row>
    <row r="92" spans="1:16" ht="14.4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</row>
    <row r="93" spans="1:16" ht="14.4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</row>
    <row r="94" spans="1:16" ht="14.4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</row>
    <row r="95" spans="1:16" ht="14.4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</row>
    <row r="96" spans="1:16" ht="14.4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</row>
    <row r="97" spans="1:16" ht="14.4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</row>
    <row r="98" spans="1:16" ht="14.4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</row>
    <row r="99" spans="1:16" ht="14.4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</row>
    <row r="100" spans="1:16" ht="14.4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</row>
    <row r="101" spans="1:16" ht="14.4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</row>
    <row r="102" spans="1:16" ht="14.4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</row>
    <row r="103" spans="1:16" ht="14.4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</row>
    <row r="104" spans="1:16" ht="14.4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</row>
    <row r="105" spans="1:16" ht="14.4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</row>
    <row r="106" spans="1:16" ht="14.4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</row>
    <row r="107" spans="1:16" ht="14.4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</row>
    <row r="108" spans="1:16" ht="14.4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</row>
    <row r="109" spans="1:16" ht="14.4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</row>
    <row r="110" spans="1:16" ht="14.4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</row>
    <row r="111" spans="1:16" ht="14.4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</row>
    <row r="112" spans="1:16" ht="14.4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</row>
    <row r="113" spans="1:16" ht="14.4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</row>
    <row r="114" spans="1:16" ht="14.4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</row>
    <row r="115" spans="1:16" ht="14.4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</row>
    <row r="116" spans="1:16" ht="14.4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</row>
    <row r="117" spans="1:16" ht="14.4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</row>
    <row r="118" spans="1:16" ht="14.4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</row>
    <row r="119" spans="1:16" ht="14.4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</row>
    <row r="120" spans="1:16" ht="14.4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</row>
    <row r="121" spans="1:16" ht="14.4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</row>
    <row r="122" spans="1:16" ht="14.4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</row>
    <row r="123" spans="1:16" ht="14.4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</row>
    <row r="124" spans="1:16" ht="14.4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</row>
    <row r="125" spans="1:16" ht="14.4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</row>
    <row r="126" spans="1:16" ht="14.4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</row>
    <row r="127" spans="1:16" ht="14.4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</row>
    <row r="128" spans="1:16" ht="14.4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</row>
    <row r="129" spans="1:16" ht="14.4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</row>
    <row r="130" spans="1:16" ht="14.4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</row>
    <row r="131" spans="1:16" ht="14.4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</row>
    <row r="132" spans="1:16" ht="14.4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</row>
    <row r="133" spans="1:16" ht="14.4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</row>
    <row r="134" spans="1:16" ht="14.4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</row>
    <row r="135" spans="1:16" ht="14.4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</row>
    <row r="136" spans="1:16" ht="14.4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</row>
    <row r="137" spans="1:16" ht="14.4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</row>
    <row r="138" spans="1:16" ht="14.4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</row>
    <row r="139" spans="1:16" ht="14.4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</row>
    <row r="140" spans="1:16" ht="14.4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</row>
    <row r="141" spans="1:16" ht="14.4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</row>
    <row r="142" spans="1:16" ht="14.4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</row>
    <row r="143" spans="1:16" ht="14.4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</row>
    <row r="144" spans="1:16" ht="14.4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</row>
    <row r="145" spans="1:16" ht="14.4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</row>
    <row r="146" spans="1:16" ht="14.4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</row>
    <row r="147" spans="1:16" ht="14.4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</row>
    <row r="148" spans="1:16" ht="14.4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</row>
    <row r="149" spans="1:16" ht="14.4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</row>
    <row r="150" spans="1:16" ht="14.4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</row>
    <row r="151" spans="1:16" ht="14.4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</row>
    <row r="152" spans="1:16" ht="14.4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</row>
    <row r="153" spans="1:16" ht="14.4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</row>
    <row r="154" spans="1:16" ht="14.4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</row>
    <row r="155" spans="1:16" ht="14.4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</row>
    <row r="156" spans="1:16" ht="14.4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</row>
    <row r="157" spans="1:16" ht="14.4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</row>
    <row r="158" spans="1:16" ht="14.4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</row>
    <row r="159" spans="1:16" ht="14.4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</row>
    <row r="160" spans="1:16" ht="14.4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</row>
    <row r="161" spans="1:16" ht="14.4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</row>
    <row r="162" spans="1:16" ht="14.4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</row>
    <row r="163" spans="1:16" ht="14.4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379e1408-2888-4c35-8838-6acad26c5d63" xsi:nil="true"/>
    <lcf76f155ced4ddcb4097134ff3c332f xmlns="0aaa94c6-a08a-4f31-80d4-9ed0227976f0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0E5B92ACAE07D34EBD9C6E2622D0FB90" ma:contentTypeVersion="12" ma:contentTypeDescription="Crear nuevo documento." ma:contentTypeScope="" ma:versionID="b444f2bab3c9385280f09a934f960e9b">
  <xsd:schema xmlns:xsd="http://www.w3.org/2001/XMLSchema" xmlns:xs="http://www.w3.org/2001/XMLSchema" xmlns:p="http://schemas.microsoft.com/office/2006/metadata/properties" xmlns:ns2="0aaa94c6-a08a-4f31-80d4-9ed0227976f0" xmlns:ns3="379e1408-2888-4c35-8838-6acad26c5d63" targetNamespace="http://schemas.microsoft.com/office/2006/metadata/properties" ma:root="true" ma:fieldsID="52edec5c946cc200efe2e61d224a5ae1" ns2:_="" ns3:_="">
    <xsd:import namespace="0aaa94c6-a08a-4f31-80d4-9ed0227976f0"/>
    <xsd:import namespace="379e1408-2888-4c35-8838-6acad26c5d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aaa94c6-a08a-4f31-80d4-9ed0227976f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5" nillable="true" ma:taxonomy="true" ma:internalName="lcf76f155ced4ddcb4097134ff3c332f" ma:taxonomyFieldName="MediaServiceImageTags" ma:displayName="Etiquetas de imagen" ma:readOnly="false" ma:fieldId="{5cf76f15-5ced-4ddc-b409-7134ff3c332f}" ma:taxonomyMulti="true" ma:sspId="90e85e79-d9a7-4c0e-b556-3753633e16a0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7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79e1408-2888-4c35-8838-6acad26c5d63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TaxCatchAll" ma:index="16" nillable="true" ma:displayName="Taxonomy Catch All Column" ma:hidden="true" ma:list="{c83b9dc9-1702-4a21-9e9b-ae6102858314}" ma:internalName="TaxCatchAll" ma:showField="CatchAllData" ma:web="379e1408-2888-4c35-8838-6acad26c5d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�� 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84F772BF-1D8F-4DCC-AB2A-5E45E0D67AA1}"/>
</file>

<file path=customXml/itemProps2.xml><?xml version="1.0" encoding="utf-8"?>
<ds:datastoreItem xmlns:ds="http://schemas.openxmlformats.org/officeDocument/2006/customXml" ds:itemID="{BAEF73C3-AD5B-404E-9D4B-6D7347366F04}"/>
</file>

<file path=customXml/itemProps3.xml><?xml version="1.0" encoding="utf-8"?>
<ds:datastoreItem xmlns:ds="http://schemas.openxmlformats.org/officeDocument/2006/customXml" ds:itemID="{E36285B2-51C0-46E0-88C4-3F310826EFFA}"/>
</file>

<file path=customXml/itemProps4.xml><?xml version="1.0" encoding="utf-8"?>
<ds:datastoreItem xmlns:ds="http://schemas.openxmlformats.org/officeDocument/2006/customXml" ds:itemID="{203ED3C4-C1FB-4675-AECC-A6F43031E2AA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Eduardo Cuevas</dc:creator>
  <cp:keywords/>
  <dc:description/>
  <cp:lastModifiedBy/>
  <cp:revision/>
  <dcterms:created xsi:type="dcterms:W3CDTF">2025-11-06T18:33:34Z</dcterms:created>
  <dcterms:modified xsi:type="dcterms:W3CDTF">2026-07-03T15:00:50Z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0x0101000E5B92ACAE07D34EBD9C6E2622D0FB90</vt:lpwstr>
  </property>
  <property fmtid="{D5CDD505-2E9C-101B-9397-08002B2CF9AE}" pid="3" name="MediaServiceImageTags">
    <vt:lpwstr/>
  </property>
</Properties>
</file>